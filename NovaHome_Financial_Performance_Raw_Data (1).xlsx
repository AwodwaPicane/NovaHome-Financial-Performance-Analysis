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E:\Portiforlio\"/>
    </mc:Choice>
  </mc:AlternateContent>
  <xr:revisionPtr revIDLastSave="0" documentId="13_ncr:1_{AAE6E9C1-213B-49E7-8298-621B0DEB9EA5}" xr6:coauthVersionLast="47" xr6:coauthVersionMax="47" xr10:uidLastSave="{00000000-0000-0000-0000-000000000000}"/>
  <bookViews>
    <workbookView xWindow="-28908" yWindow="-4200" windowWidth="29016" windowHeight="16416" xr2:uid="{00000000-000D-0000-FFFF-FFFF00000000}"/>
  </bookViews>
  <sheets>
    <sheet name="Analysis" sheetId="15" r:id="rId1"/>
    <sheet name="Company_Info" sheetId="2" r:id="rId2"/>
    <sheet name="Products" sheetId="3" r:id="rId3"/>
    <sheet name="Regions" sheetId="4" r:id="rId4"/>
    <sheet name="Channels" sheetId="5" r:id="rId5"/>
    <sheet name="Sales_Data" sheetId="6" r:id="rId6"/>
    <sheet name="Expenses_Data" sheetId="7" r:id="rId7"/>
    <sheet name="Income_Statement" sheetId="8" r:id="rId8"/>
    <sheet name="Annual_Summary" sheetId="9" r:id="rId9"/>
    <sheet name="Balance_Sheet" sheetId="10" r:id="rId10"/>
    <sheet name="Cash_Flow" sheetId="11" r:id="rId11"/>
    <sheet name="Category_Performance" sheetId="12" r:id="rId12"/>
    <sheet name="Regional_Performance" sheetId="13" r:id="rId13"/>
    <sheet name="Assumptions" sheetId="14" r:id="rId14"/>
  </sheets>
  <calcPr calcId="191029"/>
  <pivotCaches>
    <pivotCache cacheId="0" r:id="rId15"/>
    <pivotCache cacheId="1" r:id="rId16"/>
    <pivotCache cacheId="2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3" i="15" l="1"/>
  <c r="I122" i="15"/>
  <c r="I121" i="15"/>
  <c r="J122" i="15"/>
  <c r="J123" i="15"/>
  <c r="J124" i="15"/>
  <c r="J121" i="15"/>
  <c r="I124" i="15"/>
  <c r="H125" i="15"/>
  <c r="H122" i="15" l="1"/>
  <c r="H123" i="15"/>
  <c r="H124" i="15"/>
  <c r="H121" i="15"/>
  <c r="D114" i="15"/>
  <c r="E110" i="15" s="1"/>
  <c r="B114" i="15"/>
  <c r="C112" i="15" s="1"/>
  <c r="H16" i="15"/>
  <c r="H17" i="15"/>
  <c r="H18" i="15"/>
  <c r="H19" i="15"/>
  <c r="H20" i="15"/>
  <c r="H21" i="15"/>
  <c r="H15" i="15"/>
  <c r="G16" i="15"/>
  <c r="G17" i="15"/>
  <c r="G18" i="15"/>
  <c r="G19" i="15"/>
  <c r="G20" i="15"/>
  <c r="G21" i="15"/>
  <c r="G15" i="15"/>
  <c r="E55" i="15"/>
  <c r="E56" i="15"/>
  <c r="E57" i="15"/>
  <c r="E58" i="15"/>
  <c r="E59" i="15"/>
  <c r="E60" i="15"/>
  <c r="E54" i="15"/>
  <c r="C96" i="15"/>
  <c r="C97" i="15"/>
  <c r="C98" i="15"/>
  <c r="C99" i="15"/>
  <c r="C100" i="15"/>
  <c r="C101" i="15"/>
  <c r="C102" i="15"/>
  <c r="C103" i="15"/>
  <c r="C104" i="15"/>
  <c r="C95" i="15"/>
  <c r="B96" i="15"/>
  <c r="B97" i="15"/>
  <c r="B98" i="15"/>
  <c r="B99" i="15"/>
  <c r="B100" i="15"/>
  <c r="B101" i="15"/>
  <c r="B102" i="15"/>
  <c r="B103" i="15"/>
  <c r="B104" i="15"/>
  <c r="B95" i="15"/>
  <c r="D68" i="15"/>
  <c r="D69" i="15"/>
  <c r="D70" i="15"/>
  <c r="D71" i="15"/>
  <c r="D67" i="15"/>
  <c r="C71" i="15"/>
  <c r="C70" i="15"/>
  <c r="C69" i="15"/>
  <c r="C68" i="15"/>
  <c r="C67" i="15"/>
  <c r="B71" i="15"/>
  <c r="B70" i="15"/>
  <c r="B69" i="15"/>
  <c r="B68" i="15"/>
  <c r="B67" i="15"/>
  <c r="B92" i="15"/>
  <c r="C92" i="15"/>
  <c r="C113" i="15" l="1"/>
  <c r="E113" i="15"/>
  <c r="E112" i="15"/>
  <c r="E114" i="15"/>
  <c r="E111" i="15"/>
  <c r="C111" i="15"/>
  <c r="C110" i="15"/>
  <c r="C114" i="15" s="1"/>
  <c r="B105" i="15"/>
  <c r="G22" i="15"/>
  <c r="C105" i="15"/>
  <c r="D96" i="15"/>
  <c r="D99" i="15"/>
  <c r="E95" i="15"/>
  <c r="E96" i="15"/>
  <c r="D98" i="15"/>
  <c r="E97" i="15"/>
  <c r="E104" i="15"/>
  <c r="D95" i="15"/>
  <c r="D100" i="15"/>
  <c r="D97" i="15"/>
  <c r="E100" i="15"/>
  <c r="E99" i="15"/>
  <c r="E102" i="15"/>
  <c r="E98" i="15"/>
  <c r="D101" i="15"/>
  <c r="E101" i="15"/>
  <c r="D102" i="15"/>
  <c r="D103" i="15"/>
  <c r="E103" i="15"/>
  <c r="D104" i="15"/>
  <c r="D92" i="15"/>
  <c r="B8" i="15"/>
  <c r="B9" i="15"/>
  <c r="B10" i="15"/>
  <c r="B11" i="15"/>
  <c r="C91" i="15" s="1"/>
  <c r="B7" i="15"/>
  <c r="B91" i="15" s="1"/>
  <c r="B39" i="15"/>
  <c r="B40" i="15"/>
  <c r="D39" i="15"/>
  <c r="D40" i="15"/>
  <c r="G95" i="15" l="1"/>
  <c r="D91" i="15"/>
  <c r="D105" i="15"/>
  <c r="G97" i="15" s="1"/>
  <c r="F39" i="15"/>
  <c r="F40" i="15"/>
  <c r="C10" i="15"/>
  <c r="C8" i="15"/>
  <c r="C11" i="15"/>
  <c r="C9" i="15"/>
  <c r="C40" i="15"/>
  <c r="E39" i="15"/>
  <c r="E40" i="15"/>
  <c r="C39" i="15"/>
</calcChain>
</file>

<file path=xl/sharedStrings.xml><?xml version="1.0" encoding="utf-8"?>
<sst xmlns="http://schemas.openxmlformats.org/spreadsheetml/2006/main" count="15020" uniqueCount="3573">
  <si>
    <t>NOVAHOME RETAIL (PTY) LTD</t>
  </si>
  <si>
    <t>Field</t>
  </si>
  <si>
    <t>Value</t>
  </si>
  <si>
    <t>Company</t>
  </si>
  <si>
    <t>NovaHome Retail (Pty) Ltd</t>
  </si>
  <si>
    <t>Industry</t>
  </si>
  <si>
    <t>Retail &amp; E-commerce</t>
  </si>
  <si>
    <t>Currency</t>
  </si>
  <si>
    <t>South African Rand (ZAR)</t>
  </si>
  <si>
    <t>Reporting Period</t>
  </si>
  <si>
    <t>January 2022 – December 2026</t>
  </si>
  <si>
    <t>Business Model</t>
  </si>
  <si>
    <t>Omnichannel homeware and lifestyle retailer</t>
  </si>
  <si>
    <t>Portfolio Note</t>
  </si>
  <si>
    <t>Fictional company and simulated data for portfolio use only</t>
  </si>
  <si>
    <t>Product_ID</t>
  </si>
  <si>
    <t>Category</t>
  </si>
  <si>
    <t>Subcategory</t>
  </si>
  <si>
    <t>PR001</t>
  </si>
  <si>
    <t>Living Room</t>
  </si>
  <si>
    <t>Sofas &amp; Seating</t>
  </si>
  <si>
    <t>PR002</t>
  </si>
  <si>
    <t>Coffee Tables</t>
  </si>
  <si>
    <t>PR003</t>
  </si>
  <si>
    <t>Bedroom</t>
  </si>
  <si>
    <t>Beds &amp; Bed Frames</t>
  </si>
  <si>
    <t>PR004</t>
  </si>
  <si>
    <t>Mattresses</t>
  </si>
  <si>
    <t>PR005</t>
  </si>
  <si>
    <t>Dining</t>
  </si>
  <si>
    <t>Dining Tables</t>
  </si>
  <si>
    <t>PR006</t>
  </si>
  <si>
    <t>Dining Chairs</t>
  </si>
  <si>
    <t>PR007</t>
  </si>
  <si>
    <t>Home Decor</t>
  </si>
  <si>
    <t>Decor &amp; Accessories</t>
  </si>
  <si>
    <t>PR008</t>
  </si>
  <si>
    <t>Kitchen</t>
  </si>
  <si>
    <t>Kitchenware</t>
  </si>
  <si>
    <t>PR009</t>
  </si>
  <si>
    <t>Outdoor</t>
  </si>
  <si>
    <t>Outdoor Furniture</t>
  </si>
  <si>
    <t>PR010</t>
  </si>
  <si>
    <t>Home Office</t>
  </si>
  <si>
    <t>Desks &amp; Office Furniture</t>
  </si>
  <si>
    <t>Region_ID</t>
  </si>
  <si>
    <t>Province</t>
  </si>
  <si>
    <t>City</t>
  </si>
  <si>
    <t>Store</t>
  </si>
  <si>
    <t>R001</t>
  </si>
  <si>
    <t>Gauteng</t>
  </si>
  <si>
    <t>Johannesburg</t>
  </si>
  <si>
    <t>Sandton</t>
  </si>
  <si>
    <t>R002</t>
  </si>
  <si>
    <t>Western Cape</t>
  </si>
  <si>
    <t>Cape Town</t>
  </si>
  <si>
    <t>Century City</t>
  </si>
  <si>
    <t>R003</t>
  </si>
  <si>
    <t>KwaZulu-Natal</t>
  </si>
  <si>
    <t>Durban</t>
  </si>
  <si>
    <t>Umhlanga</t>
  </si>
  <si>
    <t>R004</t>
  </si>
  <si>
    <t>Eastern Cape</t>
  </si>
  <si>
    <t>Gqeberha</t>
  </si>
  <si>
    <t>Walmer</t>
  </si>
  <si>
    <t>Channel</t>
  </si>
  <si>
    <t>Channel_Type</t>
  </si>
  <si>
    <t>Online</t>
  </si>
  <si>
    <t>E-commerce</t>
  </si>
  <si>
    <t>Physical Retail</t>
  </si>
  <si>
    <t>Order_ID</t>
  </si>
  <si>
    <t>Month</t>
  </si>
  <si>
    <t>Year</t>
  </si>
  <si>
    <t>Month_No</t>
  </si>
  <si>
    <t>Revenue</t>
  </si>
  <si>
    <t>Units_Sold</t>
  </si>
  <si>
    <t>COGS</t>
  </si>
  <si>
    <t>Gross_Profit</t>
  </si>
  <si>
    <t>ORD100000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</si>
  <si>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</si>
  <si>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</si>
  <si>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</si>
  <si>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</si>
  <si>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</si>
  <si>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</si>
  <si>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</si>
  <si>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</si>
  <si>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</si>
  <si>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</si>
  <si>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</si>
  <si>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</si>
  <si>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</si>
  <si>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</si>
  <si>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</si>
  <si>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</si>
  <si>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</si>
  <si>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</si>
  <si>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</si>
  <si>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</si>
  <si>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</si>
  <si>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</si>
  <si>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</si>
  <si>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</si>
  <si>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</si>
  <si>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</si>
  <si>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</si>
  <si>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</si>
  <si>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</si>
  <si>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</si>
  <si>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</si>
  <si>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</si>
  <si>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</si>
  <si>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</si>
  <si>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</si>
  <si>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</si>
  <si>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</si>
  <si>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</si>
  <si>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</si>
  <si>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</si>
  <si>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</si>
  <si>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</si>
  <si>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</si>
  <si>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</si>
  <si>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</si>
  <si>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</si>
  <si>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</si>
  <si>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</si>
  <si>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</si>
  <si>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</si>
  <si>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</si>
  <si>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</si>
  <si>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</si>
  <si>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</si>
  <si>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</si>
  <si>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</si>
  <si>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</si>
  <si>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</si>
  <si>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</si>
  <si>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</si>
  <si>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</si>
  <si>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</si>
  <si>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</si>
  <si>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</si>
  <si>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</si>
  <si>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</si>
  <si>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</si>
  <si>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</si>
  <si>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</si>
  <si>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</si>
  <si>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</si>
  <si>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</si>
  <si>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</si>
  <si>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</si>
  <si>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</si>
  <si>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</si>
  <si>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</si>
  <si>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</si>
  <si>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</si>
  <si>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</si>
  <si>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</si>
  <si>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</si>
  <si>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</si>
  <si>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</si>
  <si>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</si>
  <si>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</si>
  <si>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</si>
  <si>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</si>
  <si>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</si>
  <si>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</si>
  <si>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</si>
  <si>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</si>
  <si>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</si>
  <si>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</si>
  <si>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</si>
  <si>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</si>
  <si>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</si>
  <si>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</si>
  <si>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</si>
  <si>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</si>
  <si>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</si>
  <si>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</si>
  <si>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</si>
  <si>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</si>
  <si>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</si>
  <si>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</si>
  <si>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</si>
  <si>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</si>
  <si>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</si>
  <si>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</si>
  <si>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</si>
  <si>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</si>
  <si>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</si>
  <si>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</si>
  <si>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</si>
  <si>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</si>
  <si>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</si>
  <si>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</si>
  <si>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</si>
  <si>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</si>
  <si>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</si>
  <si>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</si>
  <si>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</si>
  <si>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</si>
  <si>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</si>
  <si>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</si>
  <si>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</si>
  <si>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</si>
  <si>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</si>
  <si>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</si>
  <si>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</si>
  <si>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</si>
  <si>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</si>
  <si>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</si>
  <si>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</si>
  <si>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</si>
  <si>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</si>
  <si>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</si>
  <si>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</si>
  <si>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</si>
  <si>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</si>
  <si>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</si>
  <si>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</si>
  <si>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</si>
  <si>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</si>
  <si>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</si>
  <si>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</si>
  <si>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</si>
  <si>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</si>
  <si>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</si>
  <si>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</si>
  <si>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</si>
  <si>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</si>
  <si>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</si>
  <si>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</si>
  <si>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</si>
  <si>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</si>
  <si>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</si>
  <si>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</si>
  <si>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</si>
  <si>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</si>
  <si>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</si>
  <si>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</si>
  <si>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</si>
  <si>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</si>
  <si>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</si>
  <si>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</si>
  <si>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</si>
  <si>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</si>
  <si>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</si>
  <si>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</si>
  <si>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</si>
  <si>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</si>
  <si>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</si>
  <si>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</si>
  <si>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</si>
  <si>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</si>
  <si>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</si>
  <si>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</si>
  <si>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</si>
  <si>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</si>
  <si>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</si>
  <si>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</si>
  <si>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</si>
  <si>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</si>
  <si>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</si>
  <si>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</si>
  <si>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</si>
  <si>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</si>
  <si>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</si>
  <si>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</si>
  <si>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</si>
  <si>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</si>
  <si>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</si>
  <si>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</si>
  <si>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</si>
  <si>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</si>
  <si>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</si>
  <si>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</si>
  <si>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</si>
  <si>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</si>
  <si>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</si>
  <si>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</si>
  <si>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</si>
  <si>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</si>
  <si>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</si>
  <si>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</si>
  <si>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</si>
  <si>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</si>
  <si>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</si>
  <si>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</si>
  <si>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</si>
  <si>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</si>
  <si>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</si>
  <si>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</si>
  <si>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</si>
  <si>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</si>
  <si>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</si>
  <si>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</si>
  <si>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</si>
  <si>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</si>
  <si>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</si>
  <si>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</si>
  <si>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</si>
  <si>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</si>
  <si>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</si>
  <si>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</si>
  <si>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</si>
  <si>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</si>
  <si>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</si>
  <si>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</si>
  <si>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</si>
  <si>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</si>
  <si>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</si>
  <si>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</si>
  <si>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</si>
  <si>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</si>
  <si>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</si>
  <si>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</si>
  <si>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</si>
  <si>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</si>
  <si>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</si>
  <si>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</si>
  <si>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</si>
  <si>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</si>
  <si>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</si>
  <si>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</si>
  <si>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</si>
  <si>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</si>
  <si>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</si>
  <si>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</si>
  <si>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</si>
  <si>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</si>
  <si>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</si>
  <si>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</si>
  <si>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</si>
  <si>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</si>
  <si>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</si>
  <si>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</si>
  <si>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</si>
  <si>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</si>
  <si>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</si>
  <si>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</si>
  <si>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</si>
  <si>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</si>
  <si>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</si>
  <si>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</si>
  <si>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</si>
  <si>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</si>
  <si>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</si>
  <si>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</si>
  <si>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</si>
  <si>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</si>
  <si>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</si>
  <si>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</si>
  <si>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</si>
  <si>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</si>
  <si>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</si>
  <si>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</si>
  <si>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</si>
  <si>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</si>
  <si>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</si>
  <si>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</si>
  <si>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</si>
  <si>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</si>
  <si>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</si>
  <si>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</si>
  <si>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</si>
  <si>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</si>
  <si>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</si>
  <si>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</si>
  <si>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</si>
  <si>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</si>
  <si>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</si>
  <si>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</si>
  <si>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</si>
  <si>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</si>
  <si>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</si>
  <si>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</si>
  <si>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</si>
  <si>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</si>
  <si>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</si>
  <si>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</si>
  <si>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</si>
  <si>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</si>
  <si>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</si>
  <si>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</si>
  <si>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</si>
  <si>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</si>
  <si>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</si>
  <si>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</si>
  <si>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</si>
  <si>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</si>
  <si>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</si>
  <si>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</si>
  <si>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</si>
  <si>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</si>
  <si>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</si>
  <si>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</si>
  <si>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</si>
  <si>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</si>
  <si>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</si>
  <si>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</si>
  <si>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</si>
  <si>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</si>
  <si>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</si>
  <si>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</si>
  <si>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</si>
  <si>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</si>
  <si>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</si>
  <si>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</si>
  <si>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</si>
  <si>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</si>
  <si>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</si>
  <si>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</si>
  <si>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</si>
  <si>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</si>
  <si>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</si>
  <si>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</si>
  <si>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</si>
  <si>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</si>
  <si>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</si>
  <si>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</si>
  <si>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</si>
  <si>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</si>
  <si>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</si>
  <si>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</si>
  <si>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</si>
  <si>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</si>
  <si>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</si>
  <si>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</si>
  <si>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</si>
  <si>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</si>
  <si>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</si>
  <si>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</si>
  <si>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</si>
  <si>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</si>
  <si>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</si>
  <si>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</si>
  <si>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</si>
  <si>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</si>
  <si>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</si>
  <si>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</si>
  <si>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</si>
  <si>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</si>
  <si>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</si>
  <si>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</si>
  <si>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</si>
  <si>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</si>
  <si>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</si>
  <si>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</si>
  <si>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</si>
  <si>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</si>
  <si>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</si>
  <si>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</si>
  <si>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</si>
  <si>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</si>
  <si>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</si>
  <si>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</si>
  <si>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</si>
  <si>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</si>
  <si>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</si>
  <si>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</si>
  <si>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</si>
  <si>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</si>
  <si>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</si>
  <si>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</si>
  <si>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</si>
  <si>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</si>
  <si>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</si>
  <si>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</si>
  <si>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</si>
  <si>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</si>
  <si>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</si>
  <si>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</si>
  <si>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</si>
  <si>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</si>
  <si>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</si>
  <si>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</si>
  <si>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</si>
  <si>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</si>
  <si>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</si>
  <si>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</si>
  <si>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</si>
  <si>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</si>
  <si>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</si>
  <si>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</si>
  <si>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</si>
  <si>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</si>
  <si>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</si>
  <si>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</si>
  <si>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</si>
  <si>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</si>
  <si>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</si>
  <si>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</si>
  <si>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</si>
  <si>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</si>
  <si>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</si>
  <si>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</si>
  <si>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</si>
  <si>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</si>
  <si>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</si>
  <si>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</si>
  <si>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</si>
  <si>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</si>
  <si>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</si>
  <si>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</si>
  <si>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</si>
  <si>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</si>
  <si>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</si>
  <si>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</si>
  <si>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</si>
  <si>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</si>
  <si>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</si>
  <si>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</si>
  <si>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</si>
  <si>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</si>
  <si>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</si>
  <si>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</si>
  <si>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</si>
  <si>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</si>
  <si>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</si>
  <si>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</si>
  <si>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</si>
  <si>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</si>
  <si>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</si>
  <si>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</si>
  <si>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</si>
  <si>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</si>
  <si>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</si>
  <si>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</si>
  <si>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</si>
  <si>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</si>
  <si>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</si>
  <si>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</si>
  <si>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</si>
  <si>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</si>
  <si>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</si>
  <si>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</si>
  <si>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</si>
  <si>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</si>
  <si>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</si>
  <si>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</si>
  <si>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</si>
  <si>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</si>
  <si>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</si>
  <si>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</si>
  <si>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</si>
  <si>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</si>
  <si>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</si>
  <si>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</si>
  <si>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</si>
  <si>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</si>
  <si>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</si>
  <si>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</si>
  <si>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</si>
  <si>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</si>
  <si>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</si>
  <si>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</si>
  <si>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</si>
  <si>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</si>
  <si>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</si>
  <si>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</si>
  <si>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</si>
  <si>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</si>
  <si>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</si>
  <si>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</si>
  <si>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</si>
  <si>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</si>
  <si>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</si>
  <si>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</si>
  <si>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</si>
  <si>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</si>
  <si>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</si>
  <si>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</si>
  <si>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</si>
  <si>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</si>
  <si>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</si>
  <si>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</si>
  <si>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</si>
  <si>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</si>
  <si>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</si>
  <si>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</si>
  <si>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</si>
  <si>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</si>
  <si>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</si>
  <si>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</si>
  <si>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</si>
  <si>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</si>
  <si>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</si>
  <si>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</si>
  <si>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</si>
  <si>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</si>
  <si>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</si>
  <si>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</si>
  <si>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</si>
  <si>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</si>
  <si>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</si>
  <si>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</si>
  <si>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</si>
  <si>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</si>
  <si>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</si>
  <si>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</si>
  <si>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</si>
  <si>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</si>
  <si>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</si>
  <si>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</si>
  <si>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</si>
  <si>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</si>
  <si>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</si>
  <si>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</si>
  <si>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</si>
  <si>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</si>
  <si>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</si>
  <si>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</si>
  <si>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</si>
  <si>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</si>
  <si>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</si>
  <si>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</si>
  <si>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</si>
  <si>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</si>
  <si>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</si>
  <si>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</si>
  <si>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</si>
  <si>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</si>
  <si>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</si>
  <si>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</si>
  <si>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</si>
  <si>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</si>
  <si>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</si>
  <si>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</si>
  <si>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</si>
  <si>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</si>
  <si>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</si>
  <si>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</si>
  <si>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</si>
  <si>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</si>
  <si>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</si>
  <si>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</si>
  <si>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</si>
  <si>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</si>
  <si>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</si>
  <si>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</si>
  <si>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</si>
  <si>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</si>
  <si>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</si>
  <si>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</si>
  <si>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</si>
  <si>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</si>
  <si>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</si>
  <si>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</si>
  <si>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</si>
  <si>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</si>
  <si>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</si>
  <si>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</si>
  <si>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</si>
  <si>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</si>
  <si>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</si>
  <si>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</si>
  <si>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</si>
  <si>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</si>
  <si>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</si>
  <si>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</si>
  <si>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</si>
  <si>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</si>
  <si>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</si>
  <si>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</si>
  <si>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</si>
  <si>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</si>
  <si>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</si>
  <si>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</si>
  <si>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</si>
  <si>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</si>
  <si>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</si>
  <si>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</si>
  <si>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</si>
  <si>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</si>
  <si>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</si>
  <si>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</si>
  <si>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</si>
  <si>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</si>
  <si>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</si>
  <si>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</si>
  <si>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</si>
  <si>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</si>
  <si>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</si>
  <si>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</si>
  <si>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</si>
  <si>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</si>
  <si>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</si>
  <si>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</si>
  <si>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</si>
  <si>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</si>
  <si>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</si>
  <si>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</si>
  <si>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</si>
  <si>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</si>
  <si>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</si>
  <si>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</si>
  <si>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</si>
  <si>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</si>
  <si>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</si>
  <si>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</si>
  <si>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</si>
  <si>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</si>
  <si>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</si>
  <si>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</si>
  <si>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</si>
  <si>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</si>
  <si>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</si>
  <si>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</si>
  <si>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</si>
  <si>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</si>
  <si>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</si>
  <si>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</si>
  <si>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</si>
  <si>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</si>
  <si>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</si>
  <si>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</si>
  <si>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</si>
  <si>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</si>
  <si>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</si>
  <si>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</si>
  <si>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</si>
  <si>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</si>
  <si>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</si>
  <si>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</si>
  <si>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</si>
  <si>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</si>
  <si>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</si>
  <si>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</si>
  <si>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</si>
  <si>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</si>
  <si>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</si>
  <si>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</si>
  <si>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</si>
  <si>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</si>
  <si>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</si>
  <si>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</si>
  <si>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</si>
  <si>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</si>
  <si>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</si>
  <si>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</si>
  <si>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</si>
  <si>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</si>
  <si>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</si>
  <si>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</si>
  <si>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</si>
  <si>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</si>
  <si>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</si>
  <si>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</si>
  <si>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</si>
  <si>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</si>
  <si>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</si>
  <si>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</si>
  <si>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</si>
  <si>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</si>
  <si>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</si>
  <si>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</si>
  <si>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</si>
  <si>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</si>
  <si>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</si>
  <si>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</si>
  <si>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</si>
  <si>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</si>
  <si>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</si>
  <si>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</si>
  <si>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</si>
  <si>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</si>
  <si>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</si>
  <si>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</si>
  <si>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</si>
  <si>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</si>
  <si>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</si>
  <si>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</si>
  <si>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</si>
  <si>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</si>
  <si>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</si>
  <si>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</si>
  <si>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</si>
  <si>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</si>
  <si>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</si>
  <si>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</si>
  <si>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</si>
  <si>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</si>
  <si>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</si>
  <si>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</si>
  <si>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</si>
  <si>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</si>
  <si>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</si>
  <si>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</si>
  <si>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</si>
  <si>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</si>
  <si>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</si>
  <si>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</si>
  <si>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</si>
  <si>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</si>
  <si>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</si>
  <si>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</si>
  <si>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</si>
  <si>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</si>
  <si>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</si>
  <si>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</si>
  <si>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</si>
  <si>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</si>
  <si>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</si>
  <si>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</si>
  <si>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</si>
  <si>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</si>
  <si>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</si>
  <si>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</si>
  <si>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</si>
  <si>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</si>
  <si>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</si>
  <si>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</si>
  <si>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</si>
  <si>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</si>
  <si>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</si>
  <si>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</si>
  <si>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</si>
  <si>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</si>
  <si>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</si>
  <si>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</si>
  <si>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</si>
  <si>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</si>
  <si>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</si>
  <si>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</si>
  <si>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</si>
  <si>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</si>
  <si>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</si>
  <si>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</si>
  <si>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</si>
  <si>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</si>
  <si>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</si>
  <si>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</si>
  <si>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</si>
  <si>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</si>
  <si>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</si>
  <si>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</si>
  <si>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</si>
  <si>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</si>
  <si>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</si>
  <si>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</si>
  <si>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</si>
  <si>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</si>
  <si>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</si>
  <si>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</si>
  <si>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</si>
  <si>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</si>
  <si>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</si>
  <si>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</si>
  <si>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</si>
  <si>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</si>
  <si>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</si>
  <si>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</si>
  <si>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</si>
  <si>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</si>
  <si>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</si>
  <si>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</si>
  <si>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</si>
  <si>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</si>
  <si>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</si>
  <si>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</si>
  <si>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</si>
  <si>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</si>
  <si>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</si>
  <si>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</si>
  <si>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</si>
  <si>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</si>
  <si>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</si>
  <si>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</si>
  <si>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</si>
  <si>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</si>
  <si>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</si>
  <si>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</si>
  <si>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</si>
  <si>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</si>
  <si>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</si>
  <si>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</si>
  <si>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</si>
  <si>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</si>
  <si>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</si>
  <si>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</si>
  <si>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</si>
  <si>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</si>
  <si>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</si>
  <si>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</si>
  <si>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</si>
  <si>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</si>
  <si>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</si>
  <si>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</si>
  <si>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</si>
  <si>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</si>
  <si>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</si>
  <si>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</si>
  <si>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</si>
  <si>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</si>
  <si>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</si>
  <si>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</si>
  <si>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</si>
  <si>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</si>
  <si>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</si>
  <si>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</si>
  <si>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</si>
  <si>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</si>
  <si>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</si>
  <si>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</si>
  <si>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</si>
  <si>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</si>
  <si>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</si>
  <si>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</si>
  <si>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</si>
  <si>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</si>
  <si>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</si>
  <si>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</si>
  <si>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</si>
  <si>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</si>
  <si>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</si>
  <si>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</si>
  <si>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</si>
  <si>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</si>
  <si>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</si>
  <si>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</si>
  <si>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</si>
  <si>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</si>
  <si>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</si>
  <si>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</si>
  <si>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</si>
  <si>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</si>
  <si>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</si>
  <si>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</si>
  <si>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</si>
  <si>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</si>
  <si>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</si>
  <si>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</si>
  <si>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</si>
  <si>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</si>
  <si>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</si>
  <si>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</si>
  <si>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</si>
  <si>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</si>
  <si>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</si>
  <si>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</si>
  <si>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</si>
  <si>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</si>
  <si>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</si>
  <si>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</si>
  <si>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</si>
  <si>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</si>
  <si>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</si>
  <si>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</si>
  <si>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</si>
  <si>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</si>
  <si>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</si>
  <si>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</si>
  <si>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</si>
  <si>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</si>
  <si>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</si>
  <si>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</si>
  <si>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</si>
  <si>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</si>
  <si>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</si>
  <si>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</si>
  <si>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</si>
  <si>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</si>
  <si>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</si>
  <si>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</si>
  <si>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</si>
  <si>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</si>
  <si>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</si>
  <si>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</si>
  <si>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</si>
  <si>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</si>
  <si>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</si>
  <si>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</si>
  <si>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</si>
  <si>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</si>
  <si>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</si>
  <si>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</si>
  <si>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</si>
  <si>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</si>
  <si>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</si>
  <si>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</si>
  <si>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</si>
  <si>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</si>
  <si>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</si>
  <si>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</si>
  <si>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</si>
  <si>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</si>
  <si>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</si>
  <si>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</si>
  <si>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</si>
  <si>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</si>
  <si>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</si>
  <si>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</si>
  <si>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</si>
  <si>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</si>
  <si>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</si>
  <si>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</si>
  <si>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</si>
  <si>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</si>
  <si>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</si>
  <si>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</si>
  <si>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</si>
  <si>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</si>
  <si>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</si>
  <si>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</si>
  <si>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</si>
  <si>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</si>
  <si>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</si>
  <si>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</si>
  <si>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</si>
  <si>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</si>
  <si>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</si>
  <si>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</si>
  <si>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</si>
  <si>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</si>
  <si>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</si>
  <si>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</si>
  <si>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</si>
  <si>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</si>
  <si>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</si>
  <si>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</si>
  <si>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</si>
  <si>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</si>
  <si>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</si>
  <si>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</si>
  <si>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</si>
  <si>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</si>
  <si>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</si>
  <si>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</si>
  <si>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</si>
  <si>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</si>
  <si>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</si>
  <si>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</si>
  <si>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</si>
  <si>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</si>
  <si>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</si>
  <si>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</si>
  <si>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</si>
  <si>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</si>
  <si>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</si>
  <si>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</si>
  <si>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</si>
  <si>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</si>
  <si>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</si>
  <si>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</si>
  <si>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</si>
  <si>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</si>
  <si>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</si>
  <si>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</si>
  <si>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</si>
  <si>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</si>
  <si>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</si>
  <si>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</si>
  <si>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</si>
  <si>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</si>
  <si>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</si>
  <si>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</si>
  <si>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</si>
  <si>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</si>
  <si>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</si>
  <si>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</si>
  <si>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</si>
  <si>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</si>
  <si>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</si>
  <si>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</si>
  <si>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</si>
  <si>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</si>
  <si>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</si>
  <si>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</si>
  <si>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</si>
  <si>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</si>
  <si>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</si>
  <si>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</si>
  <si>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</si>
  <si>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</si>
  <si>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</si>
  <si>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</si>
  <si>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</si>
  <si>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</si>
  <si>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</si>
  <si>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</si>
  <si>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</si>
  <si>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</si>
  <si>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</si>
  <si>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</si>
  <si>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</si>
  <si>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</si>
  <si>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</si>
  <si>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</si>
  <si>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</si>
  <si>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</si>
  <si>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</si>
  <si>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</si>
  <si>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</si>
  <si>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</si>
  <si>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</si>
  <si>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</si>
  <si>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</si>
  <si>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</si>
  <si>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</si>
  <si>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</si>
  <si>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</si>
  <si>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</si>
  <si>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</si>
  <si>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</si>
  <si>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</si>
  <si>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</si>
  <si>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</si>
  <si>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</si>
  <si>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</si>
  <si>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</si>
  <si>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</si>
  <si>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</si>
  <si>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</si>
  <si>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</si>
  <si>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</si>
  <si>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</si>
  <si>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</si>
  <si>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</si>
  <si>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</si>
  <si>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</si>
  <si>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</si>
  <si>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</si>
  <si>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</si>
  <si>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</si>
  <si>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</si>
  <si>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</si>
  <si>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</si>
  <si>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</si>
  <si>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</si>
  <si>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</si>
  <si>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</si>
  <si>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</si>
  <si>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</si>
  <si>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</si>
  <si>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</si>
  <si>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</si>
  <si>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</si>
  <si>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</si>
  <si>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</si>
  <si>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</si>
  <si>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</si>
  <si>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</si>
  <si>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</si>
  <si>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</si>
  <si>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</si>
  <si>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</si>
  <si>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</si>
  <si>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</si>
  <si>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</si>
  <si>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</si>
  <si>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</si>
  <si>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</si>
  <si>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</si>
  <si>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</si>
  <si>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</si>
  <si>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</si>
  <si>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</si>
  <si>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</si>
  <si>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</si>
  <si>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</si>
  <si>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</si>
  <si>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</si>
  <si>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</si>
  <si>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</si>
  <si>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</si>
  <si>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</si>
  <si>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</si>
  <si>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</si>
  <si>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</si>
  <si>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</si>
  <si>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</si>
  <si>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</si>
  <si>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</si>
  <si>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</si>
  <si>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</si>
  <si>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</si>
  <si>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</si>
  <si>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</si>
  <si>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</si>
  <si>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</si>
  <si>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</si>
  <si>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</si>
  <si>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</si>
  <si>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</si>
  <si>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</si>
  <si>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</si>
  <si>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</si>
  <si>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</si>
  <si>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</si>
  <si>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</si>
  <si>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</si>
  <si>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</si>
  <si>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</si>
  <si>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</si>
  <si>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</si>
  <si>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</si>
  <si>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</si>
  <si>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</si>
  <si>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</si>
  <si>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</si>
  <si>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</si>
  <si>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</si>
  <si>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</si>
  <si>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</si>
  <si>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</si>
  <si>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</si>
  <si>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</si>
  <si>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</si>
  <si>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</si>
  <si>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</si>
  <si>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</si>
  <si>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</si>
  <si>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</si>
  <si>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</si>
  <si>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</si>
  <si>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</si>
  <si>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</si>
  <si>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</si>
  <si>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</si>
  <si>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</si>
  <si>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</si>
  <si>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</si>
  <si>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</si>
  <si>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</si>
  <si>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</si>
  <si>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</si>
  <si>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</si>
  <si>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</si>
  <si>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</si>
  <si>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</si>
  <si>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</si>
  <si>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</si>
  <si>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</si>
  <si>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</si>
  <si>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</si>
  <si>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</si>
  <si>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</si>
  <si>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</si>
  <si>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</si>
  <si>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</si>
  <si>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</si>
  <si>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</si>
  <si>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</si>
  <si>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</si>
  <si>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</si>
  <si>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</si>
  <si>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</si>
  <si>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</si>
  <si>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</si>
  <si>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</si>
  <si>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</si>
  <si>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</si>
  <si>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</si>
  <si>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</si>
  <si>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</si>
  <si>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</si>
  <si>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</si>
  <si>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</si>
  <si>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</si>
  <si>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</si>
  <si>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</si>
  <si>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</si>
  <si>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</si>
  <si>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</si>
  <si>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</si>
  <si>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</si>
  <si>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</si>
  <si>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</si>
  <si>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</si>
  <si>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</si>
  <si>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</si>
  <si>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</si>
  <si>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</si>
  <si>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</si>
  <si>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</si>
  <si>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</si>
  <si>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</si>
  <si>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</si>
  <si>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</si>
  <si>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</si>
  <si>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</si>
  <si>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</si>
  <si>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</si>
  <si>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</si>
  <si>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</si>
  <si>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</si>
  <si>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</si>
  <si>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</si>
  <si>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</si>
  <si>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</si>
  <si>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</si>
  <si>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</si>
  <si>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</si>
  <si>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</si>
  <si>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</si>
  <si>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</si>
  <si>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</si>
  <si>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</si>
  <si>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</si>
  <si>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</si>
  <si>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</si>
  <si>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</si>
  <si>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</si>
  <si>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</si>
  <si>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</si>
  <si>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</si>
  <si>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</si>
  <si>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</si>
  <si>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</si>
  <si>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</si>
  <si>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</si>
  <si>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</si>
  <si>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</si>
  <si>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</si>
  <si>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</si>
  <si>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</si>
  <si>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</si>
  <si>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</si>
  <si>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</si>
  <si>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</si>
  <si>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</si>
  <si>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</si>
  <si>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</si>
  <si>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</si>
  <si>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</si>
  <si>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</si>
  <si>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</si>
  <si>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</si>
  <si>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</si>
  <si>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</si>
  <si>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</si>
  <si>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</si>
  <si>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</si>
  <si>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</si>
  <si>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</si>
  <si>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</si>
  <si>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</si>
  <si>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</si>
  <si>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</si>
  <si>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</si>
  <si>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</si>
  <si>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</si>
  <si>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</si>
  <si>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</si>
  <si>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</si>
  <si>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</si>
  <si>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</si>
  <si>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</si>
  <si>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</si>
  <si>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</si>
  <si>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</si>
  <si>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</si>
  <si>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</si>
  <si>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</si>
  <si>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</si>
  <si>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</si>
  <si>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</si>
  <si>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</si>
  <si>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</si>
  <si>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</si>
  <si>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</si>
  <si>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</si>
  <si>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</si>
  <si>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</si>
  <si>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</si>
  <si>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</si>
  <si>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</si>
  <si>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</si>
  <si>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</si>
  <si>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</si>
  <si>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</si>
  <si>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</si>
  <si>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</si>
  <si>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</si>
  <si>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</si>
  <si>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</si>
  <si>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</si>
  <si>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</si>
  <si>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</si>
  <si>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</si>
  <si>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</si>
  <si>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</si>
  <si>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</si>
  <si>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</si>
  <si>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</si>
  <si>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</si>
  <si>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</si>
  <si>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</si>
  <si>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</si>
  <si>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</si>
  <si>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</si>
  <si>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</si>
  <si>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</si>
  <si>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</si>
  <si>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</si>
  <si>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</si>
  <si>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</si>
  <si>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</si>
  <si>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</si>
  <si>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</si>
  <si>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</si>
  <si>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</si>
  <si>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</si>
  <si>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</si>
  <si>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</si>
  <si>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</si>
  <si>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</si>
  <si>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</si>
  <si>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</si>
  <si>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</si>
  <si>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</si>
  <si>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</si>
  <si>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</si>
  <si>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</si>
  <si>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</si>
  <si>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</si>
  <si>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</si>
  <si>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</si>
  <si>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</si>
  <si>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</si>
  <si>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</si>
  <si>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</si>
  <si>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</si>
  <si>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</si>
  <si>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</si>
  <si>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</si>
  <si>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</si>
  <si>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</si>
  <si>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</si>
  <si>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</si>
  <si>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</si>
  <si>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</si>
  <si>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</si>
  <si>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</si>
  <si>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</si>
  <si>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</si>
  <si>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</si>
  <si>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</si>
  <si>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</si>
  <si>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</si>
  <si>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</si>
  <si>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</si>
  <si>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</si>
  <si>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</si>
  <si>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</si>
  <si>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</si>
  <si>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</si>
  <si>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</si>
  <si>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</si>
  <si>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</si>
  <si>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</si>
  <si>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</si>
  <si>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</si>
  <si>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</si>
  <si>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</si>
  <si>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</si>
  <si>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</si>
  <si>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</si>
  <si>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</si>
  <si>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</si>
  <si>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</si>
  <si>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</si>
  <si>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</si>
  <si>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</si>
  <si>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</si>
  <si>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</si>
  <si>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</si>
  <si>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</si>
  <si>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</si>
  <si>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</si>
  <si>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</si>
  <si>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</si>
  <si>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</si>
  <si>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</si>
  <si>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</si>
  <si>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</si>
  <si>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</si>
  <si>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</si>
  <si>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</si>
  <si>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</si>
  <si>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</si>
  <si>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</si>
  <si>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</si>
  <si>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</si>
  <si>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</si>
  <si>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</si>
  <si>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</si>
  <si>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</si>
  <si>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</si>
  <si>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</si>
  <si>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</si>
  <si>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</si>
  <si>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</si>
  <si>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</si>
  <si>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</si>
  <si>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</si>
  <si>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</si>
  <si>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</si>
  <si>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</si>
  <si>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</si>
  <si>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</si>
  <si>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</si>
  <si>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</si>
  <si>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</si>
  <si>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</si>
  <si>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</si>
  <si>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</si>
  <si>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</si>
  <si>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</si>
  <si>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</si>
  <si>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</si>
  <si>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</si>
  <si>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</si>
  <si>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</si>
  <si>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</si>
  <si>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</si>
  <si>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</si>
  <si>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</si>
  <si>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</si>
  <si>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</si>
  <si>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</si>
  <si>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</si>
  <si>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</si>
  <si>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</si>
  <si>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</si>
  <si>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</si>
  <si>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</si>
  <si>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</si>
  <si>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</si>
  <si>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</si>
  <si>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</si>
  <si>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</si>
  <si>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</si>
  <si>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</si>
  <si>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</si>
  <si>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</si>
  <si>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</si>
  <si>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</si>
  <si>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</si>
  <si>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</si>
  <si>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</si>
  <si>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</si>
  <si>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</si>
  <si>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</si>
  <si>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</si>
  <si>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</si>
  <si>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</si>
  <si>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</si>
  <si>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</si>
  <si>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</si>
  <si>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</si>
  <si>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</si>
  <si>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</si>
  <si>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</si>
  <si>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</si>
  <si>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</si>
  <si>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</si>
  <si>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</si>
  <si>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</si>
  <si>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</si>
  <si>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</si>
  <si>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</si>
  <si>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</si>
  <si>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</si>
  <si>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</si>
  <si>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</si>
  <si>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</si>
  <si>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</si>
  <si>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</si>
  <si>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</si>
  <si>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</si>
  <si>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</si>
  <si>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</si>
  <si>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</si>
  <si>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</si>
  <si>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</si>
  <si>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</si>
  <si>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</si>
  <si>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</si>
  <si>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</si>
  <si>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</si>
  <si>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</si>
  <si>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</si>
  <si>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</si>
  <si>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</si>
  <si>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</si>
  <si>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</si>
  <si>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</si>
  <si>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</si>
  <si>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</si>
  <si>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</si>
  <si>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</si>
  <si>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</si>
  <si>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</si>
  <si>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</si>
  <si>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</si>
  <si>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</si>
  <si>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</si>
  <si>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</si>
  <si>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</si>
  <si>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</si>
  <si>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</si>
  <si>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</si>
  <si>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</si>
  <si>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</si>
  <si>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</si>
  <si>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</si>
  <si>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</si>
  <si>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</si>
  <si>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</si>
  <si>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</si>
  <si>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</si>
  <si>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</si>
  <si>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</si>
  <si>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</si>
  <si>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</si>
  <si>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</si>
  <si>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</si>
  <si>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</si>
  <si>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</si>
  <si>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</si>
  <si>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</si>
  <si>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</si>
  <si>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</si>
  <si>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</si>
  <si>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</si>
  <si>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</si>
  <si>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</si>
  <si>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</si>
  <si>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</si>
  <si>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</si>
  <si>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</si>
  <si>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</si>
  <si>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</si>
  <si>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</si>
  <si>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</si>
  <si>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</si>
  <si>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</si>
  <si>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</si>
  <si>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</si>
  <si>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</si>
  <si>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</si>
  <si>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</si>
  <si>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</si>
  <si>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</si>
  <si>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</si>
  <si>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</si>
  <si>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</si>
  <si>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</si>
  <si>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</si>
  <si>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</si>
  <si>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</si>
  <si>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</si>
  <si>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</si>
  <si>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</si>
  <si>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</si>
  <si>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</si>
  <si>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</si>
  <si>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</si>
  <si>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</si>
  <si>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</si>
  <si>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</si>
  <si>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</si>
  <si>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</si>
  <si>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</si>
  <si>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</si>
  <si>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</si>
  <si>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</si>
  <si>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</si>
  <si>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</si>
  <si>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</si>
  <si>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</si>
  <si>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</si>
  <si>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</si>
  <si>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</si>
  <si>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</si>
  <si>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</si>
  <si>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</si>
  <si>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</si>
  <si>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</si>
  <si>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</si>
  <si>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</si>
  <si>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</si>
  <si>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</si>
  <si>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</si>
  <si>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</si>
  <si>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</si>
  <si>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</si>
  <si>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</si>
  <si>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</si>
  <si>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</si>
  <si>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</si>
  <si>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</si>
  <si>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</si>
  <si>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</si>
  <si>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</si>
  <si>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</si>
  <si>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</si>
  <si>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</si>
  <si>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</si>
  <si>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</si>
  <si>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</si>
  <si>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</si>
  <si>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</si>
  <si>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</si>
  <si>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</si>
  <si>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</si>
  <si>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</si>
  <si>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</si>
  <si>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</si>
  <si>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</si>
  <si>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</si>
  <si>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</si>
  <si>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</si>
  <si>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</si>
  <si>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</si>
  <si>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</si>
  <si>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</si>
  <si>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</si>
  <si>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</si>
  <si>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</si>
  <si>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</si>
  <si>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</si>
  <si>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</si>
  <si>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</si>
  <si>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</si>
  <si>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</si>
  <si>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</si>
  <si>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</si>
  <si>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</si>
  <si>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</si>
  <si>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</si>
  <si>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</si>
  <si>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</si>
  <si>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</si>
  <si>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</si>
  <si>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</si>
  <si>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</si>
  <si>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</si>
  <si>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</si>
  <si>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</si>
  <si>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</si>
  <si>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</si>
  <si>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</si>
  <si>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</si>
  <si>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</si>
  <si>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</si>
  <si>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</si>
  <si>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</si>
  <si>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</si>
  <si>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</si>
  <si>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</si>
  <si>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</si>
  <si>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</si>
  <si>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</si>
  <si>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</si>
  <si>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</si>
  <si>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</si>
  <si>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</si>
  <si>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</si>
  <si>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</si>
  <si>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</si>
  <si>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</si>
  <si>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</si>
  <si>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</si>
  <si>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</si>
  <si>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</si>
  <si>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</si>
  <si>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</si>
  <si>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</si>
  <si>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</si>
  <si>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</si>
  <si>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</si>
  <si>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</si>
  <si>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</si>
  <si>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</si>
  <si>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</si>
  <si>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</si>
  <si>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</si>
  <si>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</si>
  <si>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</si>
  <si>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</si>
  <si>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</si>
  <si>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</si>
  <si>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</si>
  <si>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</si>
  <si>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</si>
  <si>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</si>
  <si>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</si>
  <si>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</si>
  <si>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</si>
  <si>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</si>
  <si>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</si>
  <si>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</si>
  <si>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</si>
  <si>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</si>
  <si>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</si>
  <si>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</si>
  <si>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</si>
  <si>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</si>
  <si>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</si>
  <si>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</si>
  <si>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</si>
  <si>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</si>
  <si>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</si>
  <si>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</si>
  <si>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</si>
  <si>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</si>
  <si>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</si>
  <si>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</si>
  <si>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</si>
  <si>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</si>
  <si>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</si>
  <si>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</si>
  <si>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</si>
  <si>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</si>
  <si>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</si>
  <si>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</si>
  <si>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</si>
  <si>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</si>
  <si>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</si>
  <si>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</si>
  <si>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</si>
  <si>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</si>
  <si>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</si>
  <si>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</si>
  <si>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</si>
  <si>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</si>
  <si>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</si>
  <si>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</si>
  <si>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</si>
  <si>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</si>
  <si>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</si>
  <si>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</si>
  <si>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</si>
  <si>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</si>
  <si>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</si>
  <si>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</si>
  <si>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</si>
  <si>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</si>
  <si>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</si>
  <si>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</si>
  <si>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</si>
  <si>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</si>
  <si>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</si>
  <si>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</si>
  <si>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</si>
  <si>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</si>
  <si>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</si>
  <si>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</si>
  <si>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</si>
  <si>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</si>
  <si>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</si>
  <si>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</si>
  <si>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</si>
  <si>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</si>
  <si>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</si>
  <si>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</si>
  <si>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</si>
  <si>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</si>
  <si>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</si>
  <si>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</si>
  <si>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</si>
  <si>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</si>
  <si>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</si>
  <si>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</si>
  <si>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</si>
  <si>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</si>
  <si>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</si>
  <si>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</si>
  <si>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</si>
  <si>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</si>
  <si>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</si>
  <si>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</si>
  <si>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</si>
  <si>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</si>
  <si>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</si>
  <si>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</si>
  <si>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</si>
  <si>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</si>
  <si>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</si>
  <si>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</si>
  <si>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</si>
  <si>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</si>
  <si>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</si>
  <si>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</si>
  <si>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</si>
  <si>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</si>
  <si>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</si>
  <si>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</si>
  <si>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</si>
  <si>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</si>
  <si>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</si>
  <si>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</si>
  <si>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</si>
  <si>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</si>
  <si>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</si>
  <si>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</si>
  <si>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</si>
  <si>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</si>
  <si>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</si>
  <si>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</si>
  <si>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</si>
  <si>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</si>
  <si>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</si>
  <si>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</si>
  <si>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</si>
  <si>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</si>
  <si>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</si>
  <si>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</si>
  <si>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</si>
  <si>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</si>
  <si>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</si>
  <si>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</si>
  <si>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</si>
  <si>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</si>
  <si>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</si>
  <si>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</si>
  <si>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</si>
  <si>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</si>
  <si>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</si>
  <si>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</si>
  <si>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</si>
  <si>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</si>
  <si>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</si>
  <si>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</si>
  <si>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</si>
  <si>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</si>
  <si>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</si>
  <si>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</si>
  <si>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</si>
  <si>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</si>
  <si>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</si>
  <si>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</si>
  <si>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</si>
  <si>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</si>
  <si>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</si>
  <si>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</si>
  <si>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</si>
  <si>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</si>
  <si>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</si>
  <si>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</si>
  <si>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</si>
  <si>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</si>
  <si>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</si>
  <si>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</si>
  <si>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</si>
  <si>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</si>
  <si>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</si>
  <si>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</si>
  <si>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</si>
  <si>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</si>
  <si>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</si>
  <si>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</si>
  <si>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</si>
  <si>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</si>
  <si>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</si>
  <si>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</si>
  <si>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</si>
  <si>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</si>
  <si>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</si>
  <si>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</si>
  <si>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</si>
  <si>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</si>
  <si>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</si>
  <si>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</si>
  <si>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</si>
  <si>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</si>
  <si>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</si>
  <si>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</si>
  <si>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</si>
  <si>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</si>
  <si>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</si>
  <si>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</si>
  <si>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</si>
  <si>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</si>
  <si>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</si>
  <si>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</si>
  <si>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</si>
  <si>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</si>
  <si>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</si>
  <si>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</si>
  <si>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</si>
  <si>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</si>
  <si>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</si>
  <si>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</si>
  <si>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</si>
  <si>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</si>
  <si>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</si>
  <si>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</si>
  <si>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</si>
  <si>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</si>
  <si>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</si>
  <si>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</si>
  <si>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</si>
  <si>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</si>
  <si>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</si>
  <si>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</si>
  <si>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</si>
  <si>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</si>
  <si>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</si>
  <si>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</si>
  <si>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</si>
  <si>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</si>
  <si>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</si>
  <si>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</si>
  <si>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</si>
  <si>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</si>
  <si>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</si>
  <si>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</si>
  <si>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</si>
  <si>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</si>
  <si>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</si>
  <si>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</si>
  <si>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</si>
  <si>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</si>
  <si>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</si>
  <si>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</si>
  <si>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</si>
  <si>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</si>
  <si>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</si>
  <si>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</si>
  <si>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</si>
  <si>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</si>
  <si>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</si>
  <si>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</si>
  <si>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</si>
  <si>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</si>
  <si>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</si>
  <si>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</si>
  <si>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</si>
  <si>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</si>
  <si>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</si>
  <si>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</si>
  <si>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</si>
  <si>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</si>
  <si>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</si>
  <si>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</si>
  <si>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</si>
  <si>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</si>
  <si>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</si>
  <si>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</si>
  <si>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</si>
  <si>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</si>
  <si>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</si>
  <si>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</si>
  <si>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</si>
  <si>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</si>
  <si>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</si>
  <si>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</si>
  <si>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</si>
  <si>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</si>
  <si>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</si>
  <si>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</si>
  <si>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</si>
  <si>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</si>
  <si>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</si>
  <si>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</si>
  <si>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</si>
  <si>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</si>
  <si>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</si>
  <si>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</si>
  <si>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</si>
  <si>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</si>
  <si>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</si>
  <si>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</si>
  <si>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</si>
  <si>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</si>
  <si>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</si>
  <si>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</si>
  <si>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</si>
  <si>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</si>
  <si>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</si>
  <si>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</si>
  <si>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</si>
  <si>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</si>
  <si>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</si>
  <si>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</si>
  <si>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</si>
  <si>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</si>
  <si>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</si>
  <si>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</si>
  <si>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</si>
  <si>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</si>
  <si>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</si>
  <si>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</si>
  <si>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</si>
  <si>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</si>
  <si>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</si>
  <si>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</si>
  <si>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</si>
  <si>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</si>
  <si>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</si>
  <si>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</si>
  <si>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</si>
  <si>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</si>
  <si>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</si>
  <si>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</si>
  <si>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</si>
  <si>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</si>
  <si>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</si>
  <si>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</si>
  <si>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</si>
  <si>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</si>
  <si>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</si>
  <si>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</si>
  <si>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</si>
  <si>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</si>
  <si>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</si>
  <si>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</si>
  <si>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</si>
  <si>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</si>
  <si>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</si>
  <si>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</si>
  <si>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</si>
  <si>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</si>
  <si>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</si>
  <si>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</si>
  <si>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</si>
  <si>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</si>
  <si>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</si>
  <si>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</si>
  <si>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</si>
  <si>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</si>
  <si>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</si>
  <si>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</si>
  <si>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</si>
  <si>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</si>
  <si>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</si>
  <si>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</si>
  <si>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</si>
  <si>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</si>
  <si>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</si>
  <si>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</si>
  <si>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</si>
  <si>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</si>
  <si>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</si>
  <si>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</si>
  <si>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</si>
  <si>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</si>
  <si>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</si>
  <si>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</si>
  <si>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</si>
  <si>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</si>
  <si>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</si>
  <si>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</si>
  <si>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</si>
  <si>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</si>
  <si>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</si>
  <si>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</si>
  <si>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</si>
  <si>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</si>
  <si>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</si>
  <si>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</si>
  <si>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</si>
  <si>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</si>
  <si>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</si>
  <si>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</si>
  <si>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</si>
  <si>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</si>
  <si>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</si>
  <si>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</si>
  <si>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</si>
  <si>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</si>
  <si>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</si>
  <si>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</si>
  <si>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</si>
  <si>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</si>
  <si>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</si>
  <si>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</si>
  <si>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</si>
  <si>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</si>
  <si>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</si>
  <si>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</si>
  <si>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</si>
  <si>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</si>
  <si>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</si>
  <si>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</si>
  <si>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</si>
  <si>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</si>
  <si>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</si>
  <si>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</si>
  <si>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</si>
  <si>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</si>
  <si>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</si>
  <si>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</si>
  <si>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</si>
  <si>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</si>
  <si>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</si>
  <si>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</si>
  <si>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</si>
  <si>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</si>
  <si>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</si>
  <si>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</si>
  <si>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</si>
  <si>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</si>
  <si>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</si>
  <si>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</si>
  <si>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</si>
  <si>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</si>
  <si>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</si>
  <si>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</si>
  <si>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</si>
  <si>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</si>
  <si>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</si>
  <si>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</si>
  <si>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</si>
  <si>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</si>
  <si>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</si>
  <si>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</si>
  <si>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</si>
  <si>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</si>
  <si>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</si>
  <si>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</si>
  <si>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</si>
  <si>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</si>
  <si>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</si>
  <si>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</si>
  <si>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</si>
  <si>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</si>
  <si>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</si>
  <si>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</si>
  <si>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</si>
  <si>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</si>
  <si>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</si>
  <si>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</si>
  <si>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</si>
  <si>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</si>
  <si>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</si>
  <si>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</si>
  <si>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</si>
  <si>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</si>
  <si>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</si>
  <si>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</si>
  <si>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</si>
  <si>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</si>
  <si>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</si>
  <si>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</si>
  <si>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</si>
  <si>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</si>
  <si>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</si>
  <si>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</si>
  <si>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</si>
  <si>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</si>
  <si>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</si>
  <si>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</si>
  <si>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</si>
  <si>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</si>
  <si>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</si>
  <si>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</si>
  <si>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</si>
  <si>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</si>
  <si>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</si>
  <si>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</si>
  <si>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</si>
  <si>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</si>
  <si>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</si>
  <si>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</si>
  <si>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</si>
  <si>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</si>
  <si>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</si>
  <si>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</si>
  <si>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</si>
  <si>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</si>
  <si>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</si>
  <si>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</si>
  <si>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</si>
  <si>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</si>
  <si>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</si>
  <si>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</si>
  <si>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</si>
  <si>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</si>
  <si>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</si>
  <si>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</si>
  <si>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</si>
  <si>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</si>
  <si>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</si>
  <si>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</si>
  <si>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</si>
  <si>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</si>
  <si>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</si>
  <si>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</si>
  <si>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</si>
  <si>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</si>
  <si>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</si>
  <si>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</si>
  <si>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</si>
  <si>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</si>
  <si>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</si>
  <si>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</si>
  <si>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</si>
  <si>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</si>
  <si>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</si>
  <si>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</si>
  <si>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</si>
  <si>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</si>
  <si>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</si>
  <si>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</si>
  <si>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</si>
  <si>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</si>
  <si>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</si>
  <si>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</si>
  <si>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</si>
  <si>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</si>
  <si>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</si>
  <si>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</si>
  <si>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</si>
  <si>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</si>
  <si>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</si>
  <si>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</si>
  <si>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</si>
  <si>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</si>
  <si>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</si>
  <si>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</si>
  <si>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</si>
  <si>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</si>
  <si>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</si>
  <si>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</si>
  <si>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</si>
  <si>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</si>
  <si>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</si>
  <si>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</si>
  <si>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</si>
  <si>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</si>
  <si>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</si>
  <si>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</si>
  <si>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</si>
  <si>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</si>
  <si>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</si>
  <si>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</si>
  <si>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</si>
  <si>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</si>
  <si>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</si>
  <si>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</si>
  <si>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</si>
  <si>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</si>
  <si>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</si>
  <si>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</si>
  <si>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</si>
  <si>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</si>
  <si>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</si>
  <si>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</si>
  <si>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</si>
  <si>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</si>
  <si>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</si>
  <si>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</si>
  <si>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</si>
  <si>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</si>
  <si>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</si>
  <si>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</si>
  <si>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</si>
  <si>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</si>
  <si>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</si>
  <si>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</si>
  <si>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</si>
  <si>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</si>
  <si>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</si>
  <si>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</si>
  <si>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</si>
  <si>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</si>
  <si>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</si>
  <si>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</si>
  <si>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</si>
  <si>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</si>
  <si>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</si>
  <si>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</si>
  <si>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</si>
  <si>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</si>
  <si>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</si>
  <si>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</si>
  <si>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</si>
  <si>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</si>
  <si>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</si>
  <si>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</si>
  <si>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</si>
  <si>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</si>
  <si>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</si>
  <si>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</si>
  <si>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</si>
  <si>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</si>
  <si>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</si>
  <si>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</si>
  <si>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</si>
  <si>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</si>
  <si>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</si>
  <si>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</si>
  <si>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</si>
  <si>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</si>
  <si>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</si>
  <si>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</si>
  <si>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</si>
  <si>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</si>
  <si>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</si>
  <si>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</si>
  <si>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</si>
  <si>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</si>
  <si>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</si>
  <si>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</si>
  <si>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</si>
  <si>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</si>
  <si>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</si>
  <si>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</si>
  <si>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</si>
  <si>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</si>
  <si>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</si>
  <si>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</si>
  <si>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</si>
  <si>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</si>
  <si>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</si>
  <si>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</si>
  <si>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</si>
  <si>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</si>
  <si>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</si>
  <si>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</si>
  <si>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</si>
  <si>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</si>
  <si>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</si>
  <si>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</si>
  <si>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</si>
  <si>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</si>
  <si>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</si>
  <si>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</si>
  <si>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</si>
  <si>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</si>
  <si>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</si>
  <si>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</si>
  <si>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</si>
  <si>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</si>
  <si>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</si>
  <si>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</si>
  <si>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</si>
  <si>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</si>
  <si>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</si>
  <si>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</si>
  <si>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</si>
  <si>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</si>
  <si>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</si>
  <si>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</si>
  <si>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</si>
  <si>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</si>
  <si>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</si>
  <si>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</si>
  <si>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</si>
  <si>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</si>
  <si>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</si>
  <si>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</si>
  <si>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</si>
  <si>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</si>
  <si>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</si>
  <si>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</si>
  <si>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</si>
  <si>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</si>
  <si>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</si>
  <si>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</si>
  <si>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</si>
  <si>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</si>
  <si>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</si>
  <si>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</si>
  <si>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</si>
  <si>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</si>
  <si>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</si>
  <si>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</si>
  <si>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</si>
  <si>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</si>
  <si>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</si>
  <si>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</si>
  <si>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</si>
  <si>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</si>
  <si>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</si>
  <si>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</si>
  <si>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</si>
  <si>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</si>
  <si>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</si>
  <si>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</si>
  <si>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</si>
  <si>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</si>
  <si>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</si>
  <si>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</si>
  <si>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</si>
  <si>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</si>
  <si>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</si>
  <si>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</si>
  <si>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</si>
  <si>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</si>
  <si>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</si>
  <si>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</si>
  <si>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</si>
  <si>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</si>
  <si>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</si>
  <si>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</si>
  <si>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</si>
  <si>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</si>
  <si>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</si>
  <si>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</si>
  <si>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</si>
  <si>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</si>
  <si>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</si>
  <si>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</si>
  <si>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</si>
  <si>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</si>
  <si>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</si>
  <si>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</si>
  <si>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</si>
  <si>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</si>
  <si>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</si>
  <si>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</si>
  <si>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</si>
  <si>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</si>
  <si>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</si>
  <si>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</si>
  <si>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</si>
  <si>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</si>
  <si>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</si>
  <si>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</si>
  <si>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</si>
  <si>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</si>
  <si>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</si>
  <si>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</si>
  <si>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</si>
  <si>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</si>
  <si>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</si>
  <si>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</si>
  <si>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</si>
  <si>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</si>
  <si>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</si>
  <si>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</si>
  <si>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</si>
  <si>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</si>
  <si>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</si>
  <si>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</si>
  <si>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</si>
  <si>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</si>
  <si>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</si>
  <si>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</si>
  <si>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</si>
  <si>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</si>
  <si>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</si>
  <si>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</si>
  <si>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</si>
  <si>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</si>
  <si>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</si>
  <si>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</si>
  <si>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</si>
  <si>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</si>
  <si>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</si>
  <si>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</si>
  <si>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</si>
  <si>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</si>
  <si>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</si>
  <si>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</si>
  <si>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</si>
  <si>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</si>
  <si>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</si>
  <si>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</si>
  <si>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</si>
  <si>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</si>
  <si>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</si>
  <si>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</si>
  <si>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</si>
  <si>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</si>
  <si>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</si>
  <si>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</si>
  <si>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</si>
  <si>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</si>
  <si>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</si>
  <si>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</si>
  <si>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</si>
  <si>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</si>
  <si>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</si>
  <si>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</si>
  <si>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</si>
  <si>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</si>
  <si>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</si>
  <si>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</si>
  <si>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</si>
  <si>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</si>
  <si>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</si>
  <si>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</si>
  <si>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</si>
  <si>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</si>
  <si>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</si>
  <si>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</si>
  <si>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</si>
  <si>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</si>
  <si>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</si>
  <si>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</si>
  <si>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</si>
  <si>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</si>
  <si>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</si>
  <si>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</si>
  <si>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</si>
  <si>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</si>
  <si>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</si>
  <si>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</si>
  <si>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</si>
  <si>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</si>
  <si>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</si>
  <si>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</si>
  <si>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</si>
  <si>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</si>
  <si>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</si>
  <si>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</si>
  <si>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</si>
  <si>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</si>
  <si>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</si>
  <si>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</si>
  <si>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</si>
  <si>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</si>
  <si>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</si>
  <si>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</si>
  <si>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</si>
  <si>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</si>
  <si>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</si>
  <si>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</si>
  <si>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</si>
  <si>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</si>
  <si>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</si>
  <si>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</si>
  <si>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</si>
  <si>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</si>
  <si>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</si>
  <si>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</si>
  <si>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</si>
  <si>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</si>
  <si>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</si>
  <si>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</si>
  <si>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</si>
  <si>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</si>
  <si>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</si>
  <si>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</si>
  <si>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</si>
  <si>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</si>
  <si>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</si>
  <si>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</si>
  <si>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</si>
  <si>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</si>
  <si>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</si>
  <si>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</si>
  <si>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</si>
  <si>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</si>
  <si>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</si>
  <si>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</si>
  <si>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</si>
  <si>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</si>
  <si>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</si>
  <si>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</si>
  <si>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</si>
  <si>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</si>
  <si>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</si>
  <si>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</si>
  <si>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</si>
  <si>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</si>
  <si>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</si>
  <si>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</si>
  <si>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</si>
  <si>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</si>
  <si>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</si>
  <si>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</si>
  <si>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</si>
  <si>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</si>
  <si>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</si>
  <si>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</si>
  <si>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</si>
  <si>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</si>
  <si>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</si>
  <si>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</si>
  <si>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</si>
  <si>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</si>
  <si>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</si>
  <si>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</si>
  <si>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</si>
  <si>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</si>
  <si>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</si>
  <si>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</si>
  <si>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</si>
  <si>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</si>
  <si>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</si>
  <si>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</si>
  <si>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</si>
  <si>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</si>
  <si>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</si>
  <si>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</si>
  <si>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</si>
  <si>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</si>
  <si>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</si>
  <si>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</si>
  <si>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</si>
  <si>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</si>
  <si>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</si>
  <si>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</si>
  <si>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</si>
  <si>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</si>
  <si>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</si>
  <si>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</si>
  <si>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</si>
  <si>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</si>
  <si>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</si>
  <si>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</si>
  <si>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</si>
  <si>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</si>
  <si>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</si>
  <si>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</si>
  <si>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</si>
  <si>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</si>
  <si>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</si>
  <si>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</si>
  <si>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</si>
  <si>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</si>
  <si>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</si>
  <si>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</si>
  <si>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</si>
  <si>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</si>
  <si>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</si>
  <si>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</si>
  <si>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</si>
  <si>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</si>
  <si>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</si>
  <si>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</si>
  <si>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</si>
  <si>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</si>
  <si>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</si>
  <si>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</si>
  <si>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</si>
  <si>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</si>
  <si>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</si>
  <si>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</si>
  <si>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</si>
  <si>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</si>
  <si>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</si>
  <si>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</si>
  <si>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</si>
  <si>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</si>
  <si>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</si>
  <si>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</si>
  <si>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</si>
  <si>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</si>
  <si>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</si>
  <si>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</si>
  <si>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</si>
  <si>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</si>
  <si>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</si>
  <si>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</si>
  <si>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</si>
  <si>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</si>
  <si>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</si>
  <si>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</si>
  <si>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</si>
  <si>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</si>
  <si>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</si>
  <si>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</si>
  <si>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</si>
  <si>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</si>
  <si>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</si>
  <si>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</si>
  <si>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</si>
  <si>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</si>
  <si>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</si>
  <si>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</si>
  <si>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</si>
  <si>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</si>
  <si>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</si>
  <si>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</si>
  <si>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</si>
  <si>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</si>
  <si>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</si>
  <si>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</si>
  <si>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</si>
  <si>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</si>
  <si>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</si>
  <si>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</si>
  <si>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</si>
  <si>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</si>
  <si>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</si>
  <si>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</si>
  <si>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</si>
  <si>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</si>
  <si>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</si>
  <si>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</si>
  <si>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</si>
  <si>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</si>
  <si>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</si>
  <si>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</si>
  <si>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</si>
  <si>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</si>
  <si>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</si>
  <si>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</si>
  <si>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</si>
  <si>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</si>
  <si>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</si>
  <si>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</si>
  <si>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</si>
  <si>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</si>
  <si>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</si>
  <si>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</si>
  <si>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</si>
  <si>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</si>
  <si>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</si>
  <si>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</si>
  <si>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</si>
  <si>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</si>
  <si>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</si>
  <si>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</si>
  <si>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</si>
  <si>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</si>
  <si>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</si>
  <si>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</si>
  <si>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</si>
  <si>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</si>
  <si>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</si>
  <si>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</si>
  <si>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</si>
  <si>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</si>
  <si>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</si>
  <si>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</si>
  <si>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</si>
  <si>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</si>
  <si>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</si>
  <si>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</si>
  <si>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</si>
  <si>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</si>
  <si>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</si>
  <si>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</si>
  <si>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</si>
  <si>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</si>
  <si>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</si>
  <si>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</si>
  <si>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</si>
  <si>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</si>
  <si>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</si>
  <si>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</si>
  <si>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</si>
  <si>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</si>
  <si>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</si>
  <si>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</si>
  <si>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</si>
  <si>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</si>
  <si>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</si>
  <si>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</si>
  <si>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</si>
  <si>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</si>
  <si>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</si>
  <si>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</si>
  <si>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</si>
  <si>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</si>
  <si>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</si>
  <si>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</si>
  <si>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</si>
  <si>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</si>
  <si>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</si>
  <si>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</si>
  <si>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</si>
  <si>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</si>
  <si>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</si>
  <si>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</si>
  <si>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</si>
  <si>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</si>
  <si>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</si>
  <si>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</si>
  <si>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</si>
  <si>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</si>
  <si>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</si>
  <si>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</si>
  <si>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</si>
  <si>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</si>
  <si>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</si>
  <si>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</si>
  <si>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</si>
  <si>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</si>
  <si>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</si>
  <si>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</si>
  <si>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</si>
  <si>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</si>
  <si>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</si>
  <si>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</si>
  <si>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</si>
  <si>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</si>
  <si>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</si>
  <si>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</si>
  <si>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</si>
  <si>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</si>
  <si>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</si>
  <si>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</si>
  <si>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</si>
  <si>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</si>
  <si>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</si>
  <si>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</si>
  <si>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</si>
  <si>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</si>
  <si>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</si>
  <si>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</si>
  <si>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</si>
  <si>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</si>
  <si>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</si>
  <si>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</si>
  <si>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</si>
  <si>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</si>
  <si>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</si>
  <si>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</si>
  <si>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</si>
  <si>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</si>
  <si>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</si>
  <si>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</si>
  <si>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</si>
  <si>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</si>
  <si>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</si>
  <si>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</si>
  <si>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</si>
  <si>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</si>
  <si>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</si>
  <si>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</si>
  <si>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</si>
  <si>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</si>
  <si>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</si>
  <si>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</si>
  <si>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</si>
  <si>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</si>
  <si>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</si>
  <si>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</si>
  <si>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</si>
  <si>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</si>
  <si>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</si>
  <si>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</si>
  <si>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</si>
  <si>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</si>
  <si>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</si>
  <si>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</si>
  <si>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</si>
  <si>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</si>
  <si>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</si>
  <si>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</si>
  <si>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</si>
  <si>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</si>
  <si>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</si>
  <si>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</si>
  <si>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</si>
  <si>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</si>
  <si>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</si>
  <si>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</si>
  <si>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</si>
  <si>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</si>
  <si>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</si>
  <si>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</si>
  <si>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</si>
  <si>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</si>
  <si>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</si>
  <si>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</si>
  <si>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</si>
  <si>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</si>
  <si>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</si>
  <si>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</si>
  <si>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</si>
  <si>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</si>
  <si>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</si>
  <si>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</si>
  <si>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</si>
  <si>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</si>
  <si>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</si>
  <si>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</si>
  <si>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</si>
  <si>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</si>
  <si>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</si>
  <si>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</si>
  <si>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</si>
  <si>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</si>
  <si>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</si>
  <si>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</si>
  <si>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</si>
  <si>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</si>
  <si>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</si>
  <si>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</si>
  <si>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</si>
  <si>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</si>
  <si>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</si>
  <si>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</si>
  <si>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</si>
  <si>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</si>
  <si>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</si>
  <si>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</si>
  <si>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</si>
  <si>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</si>
  <si>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</si>
  <si>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</si>
  <si>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</si>
  <si>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</si>
  <si>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</si>
  <si>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</si>
  <si>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</si>
  <si>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</si>
  <si>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</si>
  <si>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</si>
  <si>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</si>
  <si>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</si>
  <si>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</si>
  <si>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</si>
  <si>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</si>
  <si>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</si>
  <si>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</si>
  <si>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</si>
  <si>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</si>
  <si>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</si>
  <si>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</si>
  <si>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</si>
  <si>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</si>
  <si>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</si>
  <si>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</si>
  <si>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</si>
  <si>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</si>
  <si>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</si>
  <si>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</si>
  <si>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</si>
  <si>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</si>
  <si>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</si>
  <si>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</si>
  <si>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</si>
  <si>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</si>
  <si>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</si>
  <si>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</si>
  <si>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</si>
  <si>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</si>
  <si>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</si>
  <si>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</si>
  <si>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</si>
  <si>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</si>
  <si>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</si>
  <si>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</si>
  <si>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</si>
  <si>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</si>
  <si>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</si>
  <si>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</si>
  <si>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</si>
  <si>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</si>
  <si>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</si>
  <si>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</si>
  <si>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</si>
  <si>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</si>
  <si>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</si>
  <si>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</si>
  <si>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</si>
  <si>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</si>
  <si>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</si>
  <si>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</si>
  <si>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</si>
  <si>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</si>
  <si>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</si>
  <si>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</si>
  <si>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</si>
  <si>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</si>
  <si>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</si>
  <si>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</si>
  <si>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</si>
  <si>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</si>
  <si>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</si>
  <si>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</si>
  <si>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</si>
  <si>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</si>
  <si>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</si>
  <si>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</si>
  <si>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</si>
  <si>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</si>
  <si>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</si>
  <si>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</si>
  <si>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</si>
  <si>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</si>
  <si>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</si>
  <si>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</si>
  <si>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</si>
  <si>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</si>
  <si>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</si>
  <si>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</si>
  <si>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</si>
  <si>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</si>
  <si>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</si>
  <si>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</si>
  <si>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</si>
  <si>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</si>
  <si>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</si>
  <si>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</si>
  <si>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</si>
  <si>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</si>
  <si>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</si>
  <si>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</si>
  <si>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</si>
  <si>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</si>
  <si>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</si>
  <si>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</si>
  <si>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</si>
  <si>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</si>
  <si>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</si>
  <si>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</si>
  <si>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</si>
  <si>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</si>
  <si>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</si>
  <si>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</si>
  <si>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</si>
  <si>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</si>
  <si>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</si>
  <si>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</si>
  <si>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</si>
  <si>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</si>
  <si>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</si>
  <si>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</si>
  <si>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</si>
  <si>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</si>
  <si>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</si>
  <si>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</si>
  <si>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</si>
  <si>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</si>
  <si>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</si>
  <si>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</si>
  <si>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</si>
  <si>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</si>
  <si>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</si>
  <si>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</si>
  <si>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</si>
  <si>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</si>
  <si>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</si>
  <si>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</si>
  <si>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</si>
  <si>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</si>
  <si>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</si>
  <si>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</si>
  <si>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</si>
  <si>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</si>
  <si>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</si>
  <si>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</si>
  <si>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</si>
  <si>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</si>
  <si>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</si>
  <si>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</si>
  <si>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</si>
  <si>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</si>
  <si>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</si>
  <si>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</si>
  <si>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</si>
  <si>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</si>
  <si>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</si>
  <si>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</si>
  <si>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</si>
  <si>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</si>
  <si>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</si>
  <si>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</si>
  <si>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</si>
  <si>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</si>
  <si>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</si>
  <si>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</si>
  <si>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</si>
  <si>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</si>
  <si>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</si>
  <si>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</si>
  <si>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</si>
  <si>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</si>
  <si>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</si>
  <si>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</si>
  <si>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</si>
  <si>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</si>
  <si>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</si>
  <si>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</si>
  <si>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</si>
  <si>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</si>
  <si>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</si>
  <si>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</si>
  <si>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</si>
  <si>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</si>
  <si>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</si>
  <si>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</si>
  <si>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</si>
  <si>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</si>
  <si>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</si>
  <si>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</si>
  <si>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</si>
  <si>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</si>
  <si>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</si>
  <si>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</si>
  <si>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</si>
  <si>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</si>
  <si>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</si>
  <si>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</si>
  <si>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</si>
  <si>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</si>
  <si>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</si>
  <si>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</si>
  <si>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</si>
  <si>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</si>
  <si>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</si>
  <si>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</si>
  <si>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</si>
  <si>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</si>
  <si>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</si>
  <si>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</si>
  <si>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</si>
  <si>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</si>
  <si>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</si>
  <si>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</si>
  <si>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</si>
  <si>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</si>
  <si>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</si>
  <si>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</si>
  <si>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</si>
  <si>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</si>
  <si>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</si>
  <si>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</si>
  <si>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</si>
  <si>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</si>
  <si>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</si>
  <si>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</si>
  <si>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</si>
  <si>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</si>
  <si>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</si>
  <si>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</si>
  <si>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</si>
  <si>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</si>
  <si>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</si>
  <si>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</si>
  <si>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</si>
  <si>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</si>
  <si>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</si>
  <si>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</si>
  <si>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</si>
  <si>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</si>
  <si>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</si>
  <si>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</si>
  <si>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</si>
  <si>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</si>
  <si>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</si>
  <si>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</si>
  <si>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</si>
  <si>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</si>
  <si>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</si>
  <si>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</si>
  <si>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</si>
  <si>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</si>
  <si>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</si>
  <si>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</si>
  <si>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</si>
  <si>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</si>
  <si>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</si>
  <si>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</si>
  <si>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</si>
  <si>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</si>
  <si>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</si>
  <si>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</si>
  <si>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</si>
  <si>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</si>
  <si>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</si>
  <si>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</si>
  <si>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</si>
  <si>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</si>
  <si>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</si>
  <si>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</si>
  <si>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</si>
  <si>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</si>
  <si>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</si>
  <si>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</si>
  <si>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</si>
  <si>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</si>
  <si>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</si>
  <si>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</si>
  <si>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</si>
  <si>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</si>
  <si>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</si>
  <si>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</si>
  <si>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</si>
  <si>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</si>
  <si>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</si>
  <si>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</si>
  <si>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</si>
  <si>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</si>
  <si>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</si>
  <si>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</si>
  <si>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</si>
  <si>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</si>
  <si>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</si>
  <si>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</si>
  <si>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</si>
  <si>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</si>
  <si>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</si>
  <si>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</si>
  <si>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</si>
  <si>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</si>
  <si>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</si>
  <si>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</si>
  <si>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</si>
  <si>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</si>
  <si>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</si>
  <si>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</si>
  <si>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</si>
  <si>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</si>
  <si>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</si>
  <si>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</si>
  <si>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</si>
  <si>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</si>
  <si>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</si>
  <si>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</si>
  <si>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</si>
  <si>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</si>
  <si>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</si>
  <si>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</si>
  <si>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</si>
  <si>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</si>
  <si>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</si>
  <si>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</si>
  <si>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</si>
  <si>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</si>
  <si>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</si>
  <si>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</si>
  <si>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</si>
  <si>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</si>
  <si>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</si>
  <si>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</si>
  <si>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</si>
  <si>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</si>
  <si>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</si>
  <si>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</si>
  <si>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</si>
  <si>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</si>
  <si>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</si>
  <si>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</si>
  <si>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</si>
  <si>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</si>
  <si>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</si>
  <si>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</si>
  <si>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</si>
  <si>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</si>
  <si>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</si>
  <si>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</si>
  <si>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</si>
  <si>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</si>
  <si>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</si>
  <si>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</si>
  <si>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</si>
  <si>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</si>
  <si>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</si>
  <si>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</si>
  <si>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</si>
  <si>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</si>
  <si>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</si>
  <si>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</si>
  <si>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</si>
  <si>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</si>
  <si>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</si>
  <si>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</si>
  <si>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</si>
  <si>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</si>
  <si>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</si>
  <si>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</si>
  <si>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</si>
  <si>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</si>
  <si>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</si>
  <si>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</si>
  <si>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</si>
  <si>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</si>
  <si>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</si>
  <si>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</si>
  <si>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</si>
  <si>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</si>
  <si>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</si>
  <si>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</si>
  <si>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</si>
  <si>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</si>
  <si>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</si>
  <si>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</si>
  <si>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</si>
  <si>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</si>
  <si>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</si>
  <si>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</si>
  <si>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</si>
  <si>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</si>
  <si>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</si>
  <si>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</si>
  <si>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</si>
  <si>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</si>
  <si>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</si>
  <si>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</si>
  <si>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</si>
  <si>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</si>
  <si>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</si>
  <si>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</si>
  <si>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</si>
  <si>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</si>
  <si>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</si>
  <si>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</si>
  <si>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</si>
  <si>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</si>
  <si>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</si>
  <si>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</si>
  <si>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</si>
  <si>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</si>
  <si>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</si>
  <si>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</si>
  <si>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</si>
  <si>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</si>
  <si>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</si>
  <si>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</si>
  <si>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</si>
  <si>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</si>
  <si>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</si>
  <si>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</si>
  <si>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</si>
  <si>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</si>
  <si>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</si>
  <si>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</si>
  <si>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</si>
  <si>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</si>
  <si>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</si>
  <si>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</si>
  <si>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</si>
  <si>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</si>
  <si>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</si>
  <si>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</si>
  <si>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</si>
  <si>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</si>
  <si>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</si>
  <si>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</si>
  <si>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</si>
  <si>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</si>
  <si>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</si>
  <si>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</si>
  <si>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</si>
  <si>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</si>
  <si>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</si>
  <si>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</si>
  <si>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</si>
  <si>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</si>
  <si>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</si>
  <si>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</si>
  <si>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</si>
  <si>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</si>
  <si>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</si>
  <si>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</si>
  <si>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</si>
  <si>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</si>
  <si>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</si>
  <si>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</si>
  <si>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</si>
  <si>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</si>
  <si>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</si>
  <si>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Expense_Type</t>
  </si>
  <si>
    <t>Department</t>
  </si>
  <si>
    <t>Amount</t>
  </si>
  <si>
    <t>Salaries &amp; Wages</t>
  </si>
  <si>
    <t>Personnel</t>
  </si>
  <si>
    <t>Rent &amp; Occupancy</t>
  </si>
  <si>
    <t>Facilities</t>
  </si>
  <si>
    <t>Marketing &amp; Advertising</t>
  </si>
  <si>
    <t>Sales &amp; Marketing</t>
  </si>
  <si>
    <t>Technology &amp; Software</t>
  </si>
  <si>
    <t>Technology</t>
  </si>
  <si>
    <t>Logistics &amp; Delivery</t>
  </si>
  <si>
    <t>Operations</t>
  </si>
  <si>
    <t>Utilities</t>
  </si>
  <si>
    <t>Insurance</t>
  </si>
  <si>
    <t>Administration</t>
  </si>
  <si>
    <t>Professional Fees</t>
  </si>
  <si>
    <t>Office &amp; General</t>
  </si>
  <si>
    <t>Repairs &amp; Maintenance</t>
  </si>
  <si>
    <t>Cost_of_Sales</t>
  </si>
  <si>
    <t>Operating_Expenses</t>
  </si>
  <si>
    <t>EBITDA</t>
  </si>
  <si>
    <t>Depreciation</t>
  </si>
  <si>
    <t>Operating_Profit</t>
  </si>
  <si>
    <t>Interest_Expense</t>
  </si>
  <si>
    <t>Profit_Before_Tax</t>
  </si>
  <si>
    <t>Tax</t>
  </si>
  <si>
    <t>Net_Profit</t>
  </si>
  <si>
    <t>Gross_Margin</t>
  </si>
  <si>
    <t>EBITDA_Margin</t>
  </si>
  <si>
    <t>Net_Profit_Margin</t>
  </si>
  <si>
    <t>Revenue_Growth</t>
  </si>
  <si>
    <t>Profit_Growth</t>
  </si>
  <si>
    <t>Expense_Growth</t>
  </si>
  <si>
    <t>Cash</t>
  </si>
  <si>
    <t>Trade_Receivables</t>
  </si>
  <si>
    <t>Inventory</t>
  </si>
  <si>
    <t>Property_Plant_Equipment</t>
  </si>
  <si>
    <t>Total_Assets</t>
  </si>
  <si>
    <t>Trade_Payables</t>
  </si>
  <si>
    <t>Short_Term_Debt</t>
  </si>
  <si>
    <t>Long_Term_Debt</t>
  </si>
  <si>
    <t>Total_Liabilities</t>
  </si>
  <si>
    <t>Total_Equity</t>
  </si>
  <si>
    <t>Current_Assets</t>
  </si>
  <si>
    <t>Current_Liabilities</t>
  </si>
  <si>
    <t>Current_Ratio</t>
  </si>
  <si>
    <t>Debt_to_Equity</t>
  </si>
  <si>
    <t>Operating_Cash_Flow</t>
  </si>
  <si>
    <t>Capital_Expenditure</t>
  </si>
  <si>
    <t>Financing_Cash_Flow</t>
  </si>
  <si>
    <t>Net_Change_in_Cash</t>
  </si>
  <si>
    <t>Assumption</t>
  </si>
  <si>
    <t>Comment</t>
  </si>
  <si>
    <t>Reporting period</t>
  </si>
  <si>
    <t>2022-2026</t>
  </si>
  <si>
    <t>Five-year historical analysis</t>
  </si>
  <si>
    <t>ZAR</t>
  </si>
  <si>
    <t>All monetary values are South African Rand</t>
  </si>
  <si>
    <t>Tax rate</t>
  </si>
  <si>
    <t>Illustrative corporate tax assumption</t>
  </si>
  <si>
    <t>Online channel</t>
  </si>
  <si>
    <t>Increasing</t>
  </si>
  <si>
    <t>Online share rises over the period</t>
  </si>
  <si>
    <t>Gross margin</t>
  </si>
  <si>
    <t>Category-driven</t>
  </si>
  <si>
    <t>COGS varies by product category</t>
  </si>
  <si>
    <t>Seasonality</t>
  </si>
  <si>
    <t>Higher Nov-Dec</t>
  </si>
  <si>
    <t>Retail peak around year-end</t>
  </si>
  <si>
    <t>Data status</t>
  </si>
  <si>
    <t>Simulated</t>
  </si>
  <si>
    <t>Entire dataset is fictional and created for portfolio practice</t>
  </si>
  <si>
    <t>Financial Performance Analysis | 2022–2026</t>
  </si>
  <si>
    <t>REVENUE ANALYSIS</t>
  </si>
  <si>
    <t>PROFITABILITY ANALYSIS</t>
  </si>
  <si>
    <t>EXPENSE ANALYSIS</t>
  </si>
  <si>
    <t>MARGIN ANALYSIS</t>
  </si>
  <si>
    <t>CATEGORY ANALYSIS</t>
  </si>
  <si>
    <t>REGIONAL ANALYSIS</t>
  </si>
  <si>
    <t>CHANNEL ANALYSIS</t>
  </si>
  <si>
    <t>Total Revenue</t>
  </si>
  <si>
    <t>YoY Growth</t>
  </si>
  <si>
    <t>Grand Total</t>
  </si>
  <si>
    <t>Revenue By Channel</t>
  </si>
  <si>
    <t>Revenue By Category</t>
  </si>
  <si>
    <t>Column Labels</t>
  </si>
  <si>
    <t>Revenue By Province</t>
  </si>
  <si>
    <t>2022 Revenue</t>
  </si>
  <si>
    <t>2022 Share</t>
  </si>
  <si>
    <t>2026 Revenue</t>
  </si>
  <si>
    <t>2026 Share</t>
  </si>
  <si>
    <t>Growth 22–26</t>
  </si>
  <si>
    <t>Online sales appear to be a key driver of NovaHome's revenue growth, increasing by 194% between 2022 and 2026 and growing from 28% to 42% of total revenue.</t>
  </si>
  <si>
    <t>-</t>
  </si>
  <si>
    <t>Row Labels</t>
  </si>
  <si>
    <t>Sum of Revenue</t>
  </si>
  <si>
    <t>Sum of Gross_Profit</t>
  </si>
  <si>
    <t>Sum of Net_Profit</t>
  </si>
  <si>
    <t>Sum of EBITDA</t>
  </si>
  <si>
    <t>Gross Margin</t>
  </si>
  <si>
    <t>EBITDA Margin</t>
  </si>
  <si>
    <t>Net Profit Margin</t>
  </si>
  <si>
    <t>One row represents a specific type of operating expense incurred by a particular department in a particular month.</t>
  </si>
  <si>
    <t>Sum of Amount</t>
  </si>
  <si>
    <t>Metric</t>
  </si>
  <si>
    <t>Growth %</t>
  </si>
  <si>
    <t>Operating Expenses</t>
  </si>
  <si>
    <t>Expense Type</t>
  </si>
  <si>
    <t>Increase R</t>
  </si>
  <si>
    <t>2022</t>
  </si>
  <si>
    <t>2026</t>
  </si>
  <si>
    <t>2026 OpEx - 2022 OpEx</t>
  </si>
  <si>
    <t>Salary_Increase/Total_OpEx_Increase</t>
  </si>
  <si>
    <r>
      <t xml:space="preserve">Revenue grew </t>
    </r>
    <r>
      <rPr>
        <b/>
        <sz val="11"/>
        <color theme="1"/>
        <rFont val="Calibri"/>
        <family val="2"/>
        <scheme val="minor"/>
      </rPr>
      <t>97%</t>
    </r>
  </si>
  <si>
    <r>
      <t xml:space="preserve">Operating expenses grew </t>
    </r>
    <r>
      <rPr>
        <b/>
        <sz val="11"/>
        <color theme="1"/>
        <rFont val="Calibri"/>
        <family val="2"/>
        <scheme val="minor"/>
      </rPr>
      <t>137%</t>
    </r>
  </si>
  <si>
    <r>
      <t xml:space="preserve">EBITDA margin fell </t>
    </r>
    <r>
      <rPr>
        <b/>
        <sz val="11"/>
        <color theme="1"/>
        <rFont val="Calibri"/>
        <family val="2"/>
        <scheme val="minor"/>
      </rPr>
      <t>12% → 7%</t>
    </r>
  </si>
  <si>
    <r>
      <t xml:space="preserve">Net profit margin fell </t>
    </r>
    <r>
      <rPr>
        <b/>
        <sz val="11"/>
        <color theme="1"/>
        <rFont val="Calibri"/>
        <family val="2"/>
        <scheme val="minor"/>
      </rPr>
      <t>3% → 2%</t>
    </r>
  </si>
  <si>
    <t>revenue increasing by 97%</t>
  </si>
  <si>
    <t>Column1</t>
  </si>
  <si>
    <t>In terms of sales, NovaHome performed well between 2022 and 2026, with revenue increasing by 97%, from R31.1 million to R61.1 million. However, operating expenses increased by R11.4 million and grew faster than revenue at 137%. This put pressure on profitability, with the EBITDA margin declining from 12% to 7% and the net profit margin declining from 3% to 2%. Salaries and wages were the largest contributor to the increase in operating expenses, accounting for approximately 39% of the total increase.</t>
  </si>
  <si>
    <r>
      <t>EBITDA:</t>
    </r>
    <r>
      <rPr>
        <sz val="11"/>
        <color theme="1"/>
        <rFont val="Calibri"/>
        <family val="2"/>
        <scheme val="minor"/>
      </rPr>
      <t xml:space="preserve"> EBITDA increased moderately from R3.9 million in 2022 to R4.2 million in 2026. However, the EBITDA margin declined consistently from 12.4% to 6.9%. This indicates that operating expenses have grown faster than gross profit, placing increasing pressure on operating profitability despite strong revenue growth.</t>
    </r>
  </si>
  <si>
    <r>
      <t>Net Profit:</t>
    </r>
    <r>
      <rPr>
        <sz val="11"/>
        <color theme="1"/>
        <rFont val="Calibri"/>
        <family val="2"/>
        <scheme val="minor"/>
      </rPr>
      <t xml:space="preserve"> Despite significant revenue growth, net profit declined from R1.04 million in 2022 to R948 thousand in 2026. Net profit margin fell steadily from 3.4% to 1.6%, showing that a smaller portion of revenue is being converted into bottom-line profit as the business grows.</t>
    </r>
  </si>
  <si>
    <t>Sum of COGS</t>
  </si>
  <si>
    <t>Gross Margin %</t>
  </si>
  <si>
    <t>Revenue Growth %</t>
  </si>
  <si>
    <t xml:space="preserve">Revenue Increase </t>
  </si>
  <si>
    <t>2026 Revenue Share</t>
  </si>
  <si>
    <t>2022 Revenue Share</t>
  </si>
  <si>
    <t>Online Revenue Increase</t>
  </si>
  <si>
    <t>Online Total</t>
  </si>
  <si>
    <t>Store Total</t>
  </si>
  <si>
    <t>2022 Online Share</t>
  </si>
  <si>
    <t>2026 Online Share</t>
  </si>
  <si>
    <t>NovaHome experienced a broad-based shift toward online sales across all four regions.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</si>
</sst>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theme="0" tint="-0.14999847407452621"/>
      </patternFill>
    </fill>
    <fill>
      <patternFill patternType="solid">
        <fgColor theme="9" tint="0.59999389629810485"/>
        <bgColor theme="0" tint="-0.14999847407452621"/>
      </patternFill>
    </fill>
    <fill>
      <patternFill patternType="solid">
        <fgColor theme="9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/>
      <top/>
      <bottom style="thin">
        <color theme="8" tint="0.3999755851924192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5">
    <xf numFmtId="0" fontId="0" fillId="0" borderId="0" xfId="0"/>
    <xf numFmtId="0" fontId="1" fillId="2" borderId="1" xfId="0" applyFont="1" applyFill="1" applyBorder="1" applyAlignment="1">
      <alignment horizontal="center"/>
    </xf>
    <xf numFmtId="17" fontId="0" fillId="0" borderId="0" xfId="0" applyNumberFormat="1"/>
    <xf numFmtId="4" fontId="0" fillId="0" borderId="0" xfId="0" applyNumberFormat="1"/>
    <xf numFmtId="164" fontId="0" fillId="0" borderId="0" xfId="0" applyNumberFormat="1"/>
    <xf numFmtId="0" fontId="3" fillId="0" borderId="0" xfId="0" applyFont="1"/>
    <xf numFmtId="43" fontId="0" fillId="0" borderId="0" xfId="1" applyFont="1"/>
    <xf numFmtId="9" fontId="0" fillId="0" borderId="0" xfId="2" applyFont="1"/>
    <xf numFmtId="0" fontId="3" fillId="0" borderId="2" xfId="0" applyFont="1" applyBorder="1" applyAlignment="1">
      <alignment horizontal="center" vertical="center" wrapText="1"/>
    </xf>
    <xf numFmtId="43" fontId="3" fillId="0" borderId="2" xfId="1" applyFont="1" applyBorder="1" applyAlignment="1">
      <alignment horizontal="center" vertical="center" wrapText="1"/>
    </xf>
    <xf numFmtId="9" fontId="3" fillId="0" borderId="2" xfId="2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43" fontId="0" fillId="0" borderId="2" xfId="1" applyFont="1" applyBorder="1" applyAlignment="1">
      <alignment vertical="center" wrapText="1"/>
    </xf>
    <xf numFmtId="9" fontId="0" fillId="0" borderId="2" xfId="2" applyFont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43" fontId="0" fillId="0" borderId="0" xfId="1" applyFont="1" applyBorder="1" applyAlignment="1">
      <alignment vertical="center" wrapText="1"/>
    </xf>
    <xf numFmtId="9" fontId="0" fillId="0" borderId="0" xfId="2" applyFont="1" applyBorder="1" applyAlignment="1">
      <alignment vertical="center" wrapText="1"/>
    </xf>
    <xf numFmtId="9" fontId="3" fillId="0" borderId="0" xfId="2" applyFont="1" applyBorder="1" applyAlignment="1">
      <alignment horizontal="center" vertical="center" wrapText="1"/>
    </xf>
    <xf numFmtId="0" fontId="4" fillId="0" borderId="0" xfId="0" applyFont="1"/>
    <xf numFmtId="0" fontId="3" fillId="0" borderId="2" xfId="0" applyFont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9" fontId="0" fillId="0" borderId="2" xfId="2" applyFont="1" applyBorder="1" applyAlignment="1">
      <alignment horizontal="right" vertical="center" wrapText="1"/>
    </xf>
    <xf numFmtId="0" fontId="5" fillId="0" borderId="0" xfId="0" applyFont="1"/>
    <xf numFmtId="0" fontId="0" fillId="3" borderId="0" xfId="0" applyFill="1"/>
    <xf numFmtId="9" fontId="0" fillId="3" borderId="0" xfId="2" applyFont="1" applyFill="1"/>
    <xf numFmtId="0" fontId="6" fillId="3" borderId="0" xfId="0" applyFont="1" applyFill="1"/>
    <xf numFmtId="0" fontId="7" fillId="4" borderId="0" xfId="0" applyFont="1" applyFill="1"/>
    <xf numFmtId="43" fontId="8" fillId="4" borderId="0" xfId="1" applyFont="1" applyFill="1"/>
    <xf numFmtId="9" fontId="8" fillId="4" borderId="0" xfId="2" applyFont="1" applyFill="1"/>
    <xf numFmtId="0" fontId="8" fillId="4" borderId="0" xfId="0" applyFont="1" applyFill="1"/>
    <xf numFmtId="0" fontId="3" fillId="0" borderId="2" xfId="0" applyFont="1" applyBorder="1" applyAlignment="1">
      <alignment vertical="center" wrapText="1"/>
    </xf>
    <xf numFmtId="164" fontId="0" fillId="0" borderId="2" xfId="2" applyNumberFormat="1" applyFont="1" applyBorder="1" applyAlignment="1">
      <alignment vertical="center" wrapText="1"/>
    </xf>
    <xf numFmtId="0" fontId="9" fillId="0" borderId="0" xfId="0" applyFont="1"/>
    <xf numFmtId="0" fontId="7" fillId="5" borderId="0" xfId="0" applyFont="1" applyFill="1"/>
    <xf numFmtId="43" fontId="7" fillId="5" borderId="0" xfId="1" applyFont="1" applyFill="1"/>
    <xf numFmtId="9" fontId="7" fillId="5" borderId="0" xfId="2" applyFont="1" applyFill="1"/>
    <xf numFmtId="43" fontId="0" fillId="0" borderId="2" xfId="0" applyNumberFormat="1" applyBorder="1" applyAlignment="1">
      <alignment horizontal="right" vertical="center" wrapText="1"/>
    </xf>
    <xf numFmtId="0" fontId="4" fillId="6" borderId="0" xfId="0" applyFont="1" applyFill="1"/>
    <xf numFmtId="43" fontId="0" fillId="6" borderId="0" xfId="1" applyFont="1" applyFill="1"/>
    <xf numFmtId="9" fontId="0" fillId="6" borderId="0" xfId="2" applyFont="1" applyFill="1"/>
    <xf numFmtId="0" fontId="0" fillId="6" borderId="0" xfId="0" applyFill="1"/>
    <xf numFmtId="2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9" fontId="0" fillId="0" borderId="0" xfId="2" applyFont="1" applyBorder="1" applyAlignment="1">
      <alignment horizontal="right" vertical="center" wrapText="1"/>
    </xf>
    <xf numFmtId="43" fontId="0" fillId="0" borderId="2" xfId="1" applyFont="1" applyBorder="1" applyAlignment="1">
      <alignment horizontal="right" vertical="center" wrapText="1"/>
    </xf>
    <xf numFmtId="0" fontId="0" fillId="0" borderId="3" xfId="0" applyBorder="1" applyAlignment="1">
      <alignment vertical="center" wrapText="1"/>
    </xf>
    <xf numFmtId="9" fontId="0" fillId="0" borderId="4" xfId="2" applyFont="1" applyBorder="1" applyAlignment="1">
      <alignment horizontal="right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43" fontId="0" fillId="0" borderId="9" xfId="1" applyFont="1" applyBorder="1" applyAlignment="1">
      <alignment horizontal="right" vertical="center" wrapText="1"/>
    </xf>
    <xf numFmtId="43" fontId="0" fillId="0" borderId="9" xfId="0" applyNumberFormat="1" applyBorder="1" applyAlignment="1">
      <alignment horizontal="right" vertical="center" wrapText="1"/>
    </xf>
    <xf numFmtId="9" fontId="0" fillId="0" borderId="10" xfId="2" applyFont="1" applyBorder="1" applyAlignment="1">
      <alignment horizontal="righ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2" fontId="0" fillId="0" borderId="9" xfId="0" applyNumberFormat="1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3" fillId="0" borderId="3" xfId="0" applyFont="1" applyBorder="1" applyAlignment="1">
      <alignment vertical="center" wrapText="1"/>
    </xf>
    <xf numFmtId="164" fontId="0" fillId="0" borderId="4" xfId="2" applyNumberFormat="1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164" fontId="0" fillId="0" borderId="9" xfId="2" applyNumberFormat="1" applyFont="1" applyBorder="1" applyAlignment="1">
      <alignment vertical="center" wrapText="1"/>
    </xf>
    <xf numFmtId="164" fontId="0" fillId="0" borderId="10" xfId="2" applyNumberFormat="1" applyFont="1" applyBorder="1" applyAlignment="1">
      <alignment vertical="center" wrapText="1"/>
    </xf>
    <xf numFmtId="43" fontId="3" fillId="0" borderId="2" xfId="1" applyFont="1" applyBorder="1"/>
    <xf numFmtId="9" fontId="3" fillId="0" borderId="2" xfId="2" applyFont="1" applyBorder="1"/>
    <xf numFmtId="43" fontId="0" fillId="0" borderId="2" xfId="0" applyNumberFormat="1" applyBorder="1"/>
    <xf numFmtId="9" fontId="0" fillId="0" borderId="2" xfId="2" applyFont="1" applyBorder="1"/>
    <xf numFmtId="9" fontId="3" fillId="0" borderId="6" xfId="2" applyFont="1" applyBorder="1" applyAlignment="1">
      <alignment horizontal="right" vertical="center" wrapText="1"/>
    </xf>
    <xf numFmtId="0" fontId="3" fillId="7" borderId="0" xfId="0" applyFont="1" applyFill="1"/>
    <xf numFmtId="0" fontId="3" fillId="7" borderId="12" xfId="0" applyFont="1" applyFill="1" applyBorder="1"/>
    <xf numFmtId="0" fontId="0" fillId="0" borderId="2" xfId="0" pivotButton="1" applyBorder="1"/>
    <xf numFmtId="0" fontId="0" fillId="0" borderId="2" xfId="0" applyBorder="1"/>
    <xf numFmtId="4" fontId="0" fillId="0" borderId="2" xfId="0" applyNumberFormat="1" applyBorder="1"/>
    <xf numFmtId="0" fontId="0" fillId="0" borderId="2" xfId="0" applyBorder="1" applyAlignment="1">
      <alignment horizontal="left"/>
    </xf>
    <xf numFmtId="4" fontId="3" fillId="0" borderId="2" xfId="0" applyNumberFormat="1" applyFont="1" applyBorder="1"/>
    <xf numFmtId="4" fontId="3" fillId="7" borderId="11" xfId="0" applyNumberFormat="1" applyFont="1" applyFill="1" applyBorder="1"/>
    <xf numFmtId="9" fontId="3" fillId="7" borderId="11" xfId="2" applyFont="1" applyFill="1" applyBorder="1"/>
    <xf numFmtId="0" fontId="4" fillId="8" borderId="0" xfId="0" applyFont="1" applyFill="1"/>
    <xf numFmtId="9" fontId="4" fillId="8" borderId="0" xfId="2" applyFont="1" applyFill="1"/>
    <xf numFmtId="1" fontId="3" fillId="0" borderId="2" xfId="0" applyNumberFormat="1" applyFont="1" applyBorder="1" applyAlignment="1">
      <alignment horizontal="right" vertical="center" wrapText="1"/>
    </xf>
    <xf numFmtId="9" fontId="3" fillId="0" borderId="0" xfId="2" applyFont="1" applyBorder="1" applyAlignment="1">
      <alignment horizontal="right" vertical="center" wrapText="1"/>
    </xf>
    <xf numFmtId="9" fontId="3" fillId="0" borderId="2" xfId="2" applyFont="1" applyBorder="1" applyAlignment="1">
      <alignment horizontal="right" vertical="center" wrapText="1"/>
    </xf>
    <xf numFmtId="43" fontId="3" fillId="0" borderId="2" xfId="1" applyFont="1" applyBorder="1" applyAlignment="1">
      <alignment horizontal="right" vertical="center" wrapText="1"/>
    </xf>
    <xf numFmtId="43" fontId="3" fillId="0" borderId="0" xfId="1" applyFont="1" applyBorder="1" applyAlignment="1">
      <alignment horizontal="right" vertical="center" wrapText="1"/>
    </xf>
    <xf numFmtId="0" fontId="0" fillId="0" borderId="4" xfId="0" applyBorder="1"/>
    <xf numFmtId="43" fontId="3" fillId="10" borderId="2" xfId="1" applyFont="1" applyFill="1" applyBorder="1"/>
    <xf numFmtId="43" fontId="3" fillId="11" borderId="2" xfId="1" applyFont="1" applyFill="1" applyBorder="1"/>
    <xf numFmtId="9" fontId="3" fillId="10" borderId="2" xfId="2" applyFont="1" applyFill="1" applyBorder="1"/>
    <xf numFmtId="0" fontId="3" fillId="9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wrapText="1"/>
    </xf>
    <xf numFmtId="9" fontId="0" fillId="0" borderId="0" xfId="2" applyFont="1" applyAlignment="1">
      <alignment wrapText="1"/>
    </xf>
    <xf numFmtId="9" fontId="3" fillId="0" borderId="2" xfId="2" applyFont="1" applyBorder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3.452651504631" createdVersion="8" refreshedVersion="8" minRefreshableVersion="3" recordCount="3360" xr:uid="{80A073D9-C26B-4AE5-8176-195D695537BB}">
  <cacheSource type="worksheet">
    <worksheetSource name="T_SalesData"/>
  </cacheSource>
  <cacheFields count="11">
    <cacheField name="Order_ID" numFmtId="0">
      <sharedItems/>
    </cacheField>
    <cacheField name="Month" numFmtId="17">
      <sharedItems containsSemiMixedTypes="0" containsNonDate="0" containsDate="1" containsString="0" minDate="2022-01-01T00:00:00" maxDate="2026-12-02T00:00:00"/>
    </cacheField>
    <cacheField name="Year" numFmtId="0">
      <sharedItems containsSemiMixedTypes="0" containsString="0" containsNumber="1" containsInteger="1" minValue="2022" maxValue="2026" count="5">
        <n v="2022"/>
        <n v="2023"/>
        <n v="2024"/>
        <n v="2025"/>
        <n v="2026"/>
      </sharedItems>
    </cacheField>
    <cacheField name="Month_No" numFmtId="0">
      <sharedItems containsSemiMixedTypes="0" containsString="0" containsNumber="1" containsInteger="1" minValue="1" maxValue="12"/>
    </cacheField>
    <cacheField name="Province" numFmtId="0">
      <sharedItems count="4">
        <s v="Gauteng"/>
        <s v="Western Cape"/>
        <s v="KwaZulu-Natal"/>
        <s v="Eastern Cape"/>
      </sharedItems>
    </cacheField>
    <cacheField name="Channel" numFmtId="0">
      <sharedItems count="2">
        <s v="Online"/>
        <s v="Store"/>
      </sharedItems>
    </cacheField>
    <cacheField name="Category" numFmtId="0">
      <sharedItems count="7">
        <s v="Living Room"/>
        <s v="Bedroom"/>
        <s v="Dining"/>
        <s v="Home Decor"/>
        <s v="Kitchen"/>
        <s v="Outdoor"/>
        <s v="Home Office"/>
      </sharedItems>
    </cacheField>
    <cacheField name="Revenue" numFmtId="4">
      <sharedItems containsSemiMixedTypes="0" containsString="0" containsNumber="1" minValue="7639.3729175876224" maxValue="279337.23271613999"/>
    </cacheField>
    <cacheField name="Units_Sold" numFmtId="0">
      <sharedItems containsSemiMixedTypes="0" containsString="0" containsNumber="1" containsInteger="1" minValue="1" maxValue="192"/>
    </cacheField>
    <cacheField name="COGS" numFmtId="4">
      <sharedItems containsSemiMixedTypes="0" containsString="0" containsNumber="1" minValue="4224.3828104847371" maxValue="165403.76771737059"/>
    </cacheField>
    <cacheField name="Gross_Profit" numFmtId="4">
      <sharedItems containsSemiMixedTypes="0" containsString="0" containsNumber="1" minValue="2313.9248103358091" maxValue="116341.3599683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3.606654166666" createdVersion="8" refreshedVersion="8" minRefreshableVersion="3" recordCount="60" xr:uid="{73379CA9-3C87-4357-9B49-233402F6945E}">
  <cacheSource type="worksheet">
    <worksheetSource name="T_IncomeStatement"/>
  </cacheSource>
  <cacheFields count="14">
    <cacheField name="Month" numFmtId="17">
      <sharedItems containsSemiMixedTypes="0" containsNonDate="0" containsDate="1" containsString="0" minDate="2022-01-01T00:00:00" maxDate="2026-12-02T00:00:00"/>
    </cacheField>
    <cacheField name="Year" numFmtId="0">
      <sharedItems containsSemiMixedTypes="0" containsString="0" containsNumber="1" containsInteger="1" minValue="2022" maxValue="2026" count="5">
        <n v="2022"/>
        <n v="2023"/>
        <n v="2024"/>
        <n v="2025"/>
        <n v="2026"/>
      </sharedItems>
    </cacheField>
    <cacheField name="Month_No" numFmtId="0">
      <sharedItems containsSemiMixedTypes="0" containsString="0" containsNumber="1" containsInteger="1" minValue="1" maxValue="12"/>
    </cacheField>
    <cacheField name="Revenue" numFmtId="4">
      <sharedItems containsSemiMixedTypes="0" containsString="0" containsNumber="1" minValue="2070207.230006574" maxValue="6470776.879941145"/>
    </cacheField>
    <cacheField name="Cost_of_Sales" numFmtId="4">
      <sharedItems containsSemiMixedTypes="0" containsString="0" containsNumber="1" minValue="1255932.103295472" maxValue="3919590.1148898811"/>
    </cacheField>
    <cacheField name="Gross_Profit" numFmtId="4">
      <sharedItems containsSemiMixedTypes="0" containsString="0" containsNumber="1" minValue="814275.1267111015" maxValue="2551186.7650512639"/>
    </cacheField>
    <cacheField name="Operating_Expenses" numFmtId="4">
      <sharedItems containsSemiMixedTypes="0" containsString="0" containsNumber="1" minValue="541054.96227715863" maxValue="2240835.8478156249"/>
    </cacheField>
    <cacheField name="EBITDA" numFmtId="4">
      <sharedItems containsSemiMixedTypes="0" containsString="0" containsNumber="1" minValue="263285.55484366813" maxValue="416045.27240807941"/>
    </cacheField>
    <cacheField name="Depreciation" numFmtId="4">
      <sharedItems containsSemiMixedTypes="0" containsString="0" containsNumber="1" minValue="153061.8839921031" maxValue="195849.82164015231"/>
    </cacheField>
    <cacheField name="Operating_Profit" numFmtId="4">
      <sharedItems containsSemiMixedTypes="0" containsString="0" containsNumber="1" minValue="99904.864480745979" maxValue="237330.2680054314"/>
    </cacheField>
    <cacheField name="Interest_Expense" numFmtId="4">
      <sharedItems containsSemiMixedTypes="0" containsString="0" containsNumber="1" minValue="46154.139098820153" maxValue="54870.618099198371"/>
    </cacheField>
    <cacheField name="Profit_Before_Tax" numFmtId="4">
      <sharedItems containsSemiMixedTypes="0" containsString="0" containsNumber="1" minValue="50683.321770366267" maxValue="185852.43043518951"/>
    </cacheField>
    <cacheField name="Tax" numFmtId="4">
      <sharedItems containsSemiMixedTypes="0" containsString="0" containsNumber="1" minValue="13684.49687799889" maxValue="50180.156217501179"/>
    </cacheField>
    <cacheField name="Net_Profit" numFmtId="4">
      <sharedItems containsSemiMixedTypes="0" containsString="0" containsNumber="1" minValue="36998.824892367367" maxValue="135672.274217688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3.619057175929" createdVersion="8" refreshedVersion="8" minRefreshableVersion="3" recordCount="600" xr:uid="{B93C9A5D-6919-4303-A35C-009DF92E391C}">
  <cacheSource type="worksheet">
    <worksheetSource name="T_ExpensesData"/>
  </cacheSource>
  <cacheFields count="6">
    <cacheField name="Month" numFmtId="17">
      <sharedItems containsSemiMixedTypes="0" containsNonDate="0" containsDate="1" containsString="0" minDate="2022-01-01T00:00:00" maxDate="2026-12-02T00:00:00"/>
    </cacheField>
    <cacheField name="Year" numFmtId="0">
      <sharedItems containsSemiMixedTypes="0" containsString="0" containsNumber="1" containsInteger="1" minValue="2022" maxValue="2026" count="5">
        <n v="2022"/>
        <n v="2023"/>
        <n v="2024"/>
        <n v="2025"/>
        <n v="2026"/>
      </sharedItems>
    </cacheField>
    <cacheField name="Month_No" numFmtId="0">
      <sharedItems containsSemiMixedTypes="0" containsString="0" containsNumber="1" containsInteger="1" minValue="1" maxValue="12"/>
    </cacheField>
    <cacheField name="Expense_Type" numFmtId="0">
      <sharedItems count="10">
        <s v="Salaries &amp; Wages"/>
        <s v="Rent &amp; Occupancy"/>
        <s v="Marketing &amp; Advertising"/>
        <s v="Technology &amp; Software"/>
        <s v="Logistics &amp; Delivery"/>
        <s v="Utilities"/>
        <s v="Insurance"/>
        <s v="Professional Fees"/>
        <s v="Office &amp; General"/>
        <s v="Repairs &amp; Maintenance"/>
      </sharedItems>
    </cacheField>
    <cacheField name="Department" numFmtId="0">
      <sharedItems/>
    </cacheField>
    <cacheField name="Amount" numFmtId="4">
      <sharedItems containsSemiMixedTypes="0" containsString="0" containsNumber="1" minValue="11789.90580274869" maxValue="832683.292790800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0">
  <r>
    <s v="ORD100000"/>
    <d v="2022-01-01T00:00:00"/>
    <x v="0"/>
    <n v="1"/>
    <x v="0"/>
    <x v="0"/>
    <x v="0"/>
    <n v="43381.037250181536"/>
    <n v="8"/>
    <n v="26598.82937190634"/>
    <n v="16782.207878275211"/>
  </r>
  <r>
    <s v="ORD100001"/>
    <d v="2022-01-01T00:00:00"/>
    <x v="0"/>
    <n v="1"/>
    <x v="0"/>
    <x v="1"/>
    <x v="0"/>
    <n v="99863.768173553923"/>
    <n v="19"/>
    <n v="61124.490877965771"/>
    <n v="38739.277295588152"/>
  </r>
  <r>
    <s v="ORD100002"/>
    <d v="2022-01-01T00:00:00"/>
    <x v="0"/>
    <n v="1"/>
    <x v="1"/>
    <x v="0"/>
    <x v="0"/>
    <n v="30941.51535364419"/>
    <n v="6"/>
    <n v="19521.757240829971"/>
    <n v="11419.758112814219"/>
  </r>
  <r>
    <s v="ORD100003"/>
    <d v="2022-01-01T00:00:00"/>
    <x v="0"/>
    <n v="1"/>
    <x v="1"/>
    <x v="1"/>
    <x v="0"/>
    <n v="80967.578120132821"/>
    <n v="16"/>
    <n v="48960.393850672262"/>
    <n v="32007.184269460558"/>
  </r>
  <r>
    <s v="ORD100004"/>
    <d v="2022-01-01T00:00:00"/>
    <x v="0"/>
    <n v="1"/>
    <x v="2"/>
    <x v="0"/>
    <x v="0"/>
    <n v="23938.204139322061"/>
    <n v="5"/>
    <n v="15271.47294824611"/>
    <n v="8666.7311910759545"/>
  </r>
  <r>
    <s v="ORD100005"/>
    <d v="2022-01-01T00:00:00"/>
    <x v="0"/>
    <n v="1"/>
    <x v="2"/>
    <x v="1"/>
    <x v="0"/>
    <n v="58179.319251704917"/>
    <n v="11"/>
    <n v="36608.931905535399"/>
    <n v="21570.387346169529"/>
  </r>
  <r>
    <s v="ORD100006"/>
    <d v="2022-01-01T00:00:00"/>
    <x v="0"/>
    <n v="1"/>
    <x v="3"/>
    <x v="0"/>
    <x v="0"/>
    <n v="16540.103152476458"/>
    <n v="3"/>
    <n v="10456.22343899005"/>
    <n v="6083.8797134864089"/>
  </r>
  <r>
    <s v="ORD100007"/>
    <d v="2022-01-01T00:00:00"/>
    <x v="0"/>
    <n v="1"/>
    <x v="3"/>
    <x v="1"/>
    <x v="0"/>
    <n v="40863.224952860313"/>
    <n v="8"/>
    <n v="25124.08350293227"/>
    <n v="15739.14144992804"/>
  </r>
  <r>
    <s v="ORD100008"/>
    <d v="2022-01-01T00:00:00"/>
    <x v="0"/>
    <n v="1"/>
    <x v="0"/>
    <x v="0"/>
    <x v="1"/>
    <n v="40914.900025971707"/>
    <n v="7"/>
    <n v="26930.952479913711"/>
    <n v="13983.947546058"/>
  </r>
  <r>
    <s v="ORD100009"/>
    <d v="2022-01-01T00:00:00"/>
    <x v="0"/>
    <n v="1"/>
    <x v="0"/>
    <x v="1"/>
    <x v="1"/>
    <n v="103339.8743757935"/>
    <n v="17"/>
    <n v="66444.86855374751"/>
    <n v="36895.005822045947"/>
  </r>
  <r>
    <s v="ORD100010"/>
    <d v="2022-01-01T00:00:00"/>
    <x v="0"/>
    <n v="1"/>
    <x v="1"/>
    <x v="0"/>
    <x v="1"/>
    <n v="28009.84999923583"/>
    <n v="5"/>
    <n v="18311.915901468161"/>
    <n v="9697.9340977676729"/>
  </r>
  <r>
    <s v="ORD100011"/>
    <d v="2022-01-01T00:00:00"/>
    <x v="0"/>
    <n v="1"/>
    <x v="1"/>
    <x v="1"/>
    <x v="1"/>
    <n v="82210.372928279612"/>
    <n v="13"/>
    <n v="54740.978696240978"/>
    <n v="27469.39423203863"/>
  </r>
  <r>
    <s v="ORD100012"/>
    <d v="2022-01-01T00:00:00"/>
    <x v="0"/>
    <n v="1"/>
    <x v="2"/>
    <x v="0"/>
    <x v="1"/>
    <n v="21149.174909231871"/>
    <n v="3"/>
    <n v="14284.0941330107"/>
    <n v="6865.080776221168"/>
  </r>
  <r>
    <s v="ORD100013"/>
    <d v="2022-01-01T00:00:00"/>
    <x v="0"/>
    <n v="1"/>
    <x v="2"/>
    <x v="1"/>
    <x v="1"/>
    <n v="58717.038313861223"/>
    <n v="10"/>
    <n v="37980.938732676499"/>
    <n v="20736.099581184721"/>
  </r>
  <r>
    <s v="ORD100014"/>
    <d v="2022-01-01T00:00:00"/>
    <x v="0"/>
    <n v="1"/>
    <x v="3"/>
    <x v="0"/>
    <x v="1"/>
    <n v="16455.387970445539"/>
    <n v="3"/>
    <n v="10789.10330155076"/>
    <n v="5666.2846688947793"/>
  </r>
  <r>
    <s v="ORD100015"/>
    <d v="2022-01-01T00:00:00"/>
    <x v="0"/>
    <n v="1"/>
    <x v="3"/>
    <x v="1"/>
    <x v="1"/>
    <n v="45318.807836803353"/>
    <n v="7"/>
    <n v="29828.955572873809"/>
    <n v="15489.852263929541"/>
  </r>
  <r>
    <s v="ORD100016"/>
    <d v="2022-01-01T00:00:00"/>
    <x v="0"/>
    <n v="1"/>
    <x v="0"/>
    <x v="0"/>
    <x v="2"/>
    <n v="28477.77826919745"/>
    <n v="7"/>
    <n v="17767.869895556509"/>
    <n v="10709.90837364093"/>
  </r>
  <r>
    <s v="ORD100017"/>
    <d v="2022-01-01T00:00:00"/>
    <x v="0"/>
    <n v="1"/>
    <x v="0"/>
    <x v="1"/>
    <x v="2"/>
    <n v="74473.788253948209"/>
    <n v="17"/>
    <n v="48170.5654923619"/>
    <n v="26303.222761586308"/>
  </r>
  <r>
    <s v="ORD100018"/>
    <d v="2022-01-01T00:00:00"/>
    <x v="0"/>
    <n v="1"/>
    <x v="1"/>
    <x v="0"/>
    <x v="2"/>
    <n v="20450.54207121427"/>
    <n v="5"/>
    <n v="12917.781866190129"/>
    <n v="7532.7602050241348"/>
  </r>
  <r>
    <s v="ORD100019"/>
    <d v="2022-01-01T00:00:00"/>
    <x v="0"/>
    <n v="1"/>
    <x v="1"/>
    <x v="1"/>
    <x v="2"/>
    <n v="58622.414511889117"/>
    <n v="14"/>
    <n v="37386.392279705156"/>
    <n v="21236.022232183961"/>
  </r>
  <r>
    <s v="ORD100020"/>
    <d v="2022-01-01T00:00:00"/>
    <x v="0"/>
    <n v="1"/>
    <x v="2"/>
    <x v="0"/>
    <x v="2"/>
    <n v="15031.807289899771"/>
    <n v="3"/>
    <n v="9542.0942107898209"/>
    <n v="5489.7130791099444"/>
  </r>
  <r>
    <s v="ORD100021"/>
    <d v="2022-01-01T00:00:00"/>
    <x v="0"/>
    <n v="1"/>
    <x v="2"/>
    <x v="1"/>
    <x v="2"/>
    <n v="38336.091661932689"/>
    <n v="9"/>
    <n v="24186.5016975338"/>
    <n v="14149.589964398891"/>
  </r>
  <r>
    <s v="ORD100022"/>
    <d v="2022-01-01T00:00:00"/>
    <x v="0"/>
    <n v="1"/>
    <x v="3"/>
    <x v="0"/>
    <x v="2"/>
    <n v="11185.374312838179"/>
    <n v="3"/>
    <n v="7157.7317750047123"/>
    <n v="4027.6425378334629"/>
  </r>
  <r>
    <s v="ORD100023"/>
    <d v="2022-01-01T00:00:00"/>
    <x v="0"/>
    <n v="1"/>
    <x v="3"/>
    <x v="1"/>
    <x v="2"/>
    <n v="27974.2381192664"/>
    <n v="7"/>
    <n v="17834.02935860262"/>
    <n v="10140.208760663791"/>
  </r>
  <r>
    <s v="ORD100024"/>
    <d v="2022-01-01T00:00:00"/>
    <x v="0"/>
    <n v="1"/>
    <x v="0"/>
    <x v="0"/>
    <x v="3"/>
    <n v="24754.668081555668"/>
    <n v="29"/>
    <n v="11802.707591744611"/>
    <n v="12951.960489811059"/>
  </r>
  <r>
    <s v="ORD100025"/>
    <d v="2022-01-01T00:00:00"/>
    <x v="0"/>
    <n v="1"/>
    <x v="0"/>
    <x v="1"/>
    <x v="3"/>
    <n v="66599.60009639588"/>
    <n v="78"/>
    <n v="31548.636263032891"/>
    <n v="35050.963833362992"/>
  </r>
  <r>
    <s v="ORD100026"/>
    <d v="2022-01-01T00:00:00"/>
    <x v="0"/>
    <n v="1"/>
    <x v="1"/>
    <x v="0"/>
    <x v="3"/>
    <n v="22151.59629869305"/>
    <n v="26"/>
    <n v="10693.9199836593"/>
    <n v="11457.67631503375"/>
  </r>
  <r>
    <s v="ORD100027"/>
    <d v="2022-01-01T00:00:00"/>
    <x v="0"/>
    <n v="1"/>
    <x v="1"/>
    <x v="1"/>
    <x v="3"/>
    <n v="57018.492794050348"/>
    <n v="67"/>
    <n v="28183.514184762222"/>
    <n v="28834.97860928813"/>
  </r>
  <r>
    <s v="ORD100028"/>
    <d v="2022-01-01T00:00:00"/>
    <x v="0"/>
    <n v="1"/>
    <x v="2"/>
    <x v="0"/>
    <x v="3"/>
    <n v="14434.96750468501"/>
    <n v="17"/>
    <n v="6946.2308748342566"/>
    <n v="7488.7366298507568"/>
  </r>
  <r>
    <s v="ORD100029"/>
    <d v="2022-01-01T00:00:00"/>
    <x v="0"/>
    <n v="1"/>
    <x v="2"/>
    <x v="1"/>
    <x v="3"/>
    <n v="34942.66704402578"/>
    <n v="41"/>
    <n v="17073.212895450291"/>
    <n v="17869.454148575489"/>
  </r>
  <r>
    <s v="ORD100030"/>
    <d v="2022-01-01T00:00:00"/>
    <x v="0"/>
    <n v="1"/>
    <x v="3"/>
    <x v="0"/>
    <x v="3"/>
    <n v="10423.157661904899"/>
    <n v="12"/>
    <n v="4877.9177377480783"/>
    <n v="5545.2399241568246"/>
  </r>
  <r>
    <s v="ORD100031"/>
    <d v="2022-01-01T00:00:00"/>
    <x v="0"/>
    <n v="1"/>
    <x v="3"/>
    <x v="1"/>
    <x v="3"/>
    <n v="26390.493018486399"/>
    <n v="31"/>
    <n v="12703.408443555471"/>
    <n v="13687.08457493093"/>
  </r>
  <r>
    <s v="ORD100032"/>
    <d v="2022-01-01T00:00:00"/>
    <x v="0"/>
    <n v="1"/>
    <x v="0"/>
    <x v="0"/>
    <x v="4"/>
    <n v="20035.50674282547"/>
    <n v="28"/>
    <n v="10801.864038048339"/>
    <n v="9233.6427047771285"/>
  </r>
  <r>
    <s v="ORD100033"/>
    <d v="2022-01-01T00:00:00"/>
    <x v="0"/>
    <n v="1"/>
    <x v="0"/>
    <x v="1"/>
    <x v="4"/>
    <n v="50773.116989861461"/>
    <n v="71"/>
    <n v="27182.832331328689"/>
    <n v="23590.284658532772"/>
  </r>
  <r>
    <s v="ORD100034"/>
    <d v="2022-01-01T00:00:00"/>
    <x v="0"/>
    <n v="1"/>
    <x v="1"/>
    <x v="0"/>
    <x v="4"/>
    <n v="17340.59423892626"/>
    <n v="24"/>
    <n v="9410.3975496801977"/>
    <n v="7930.1966892460659"/>
  </r>
  <r>
    <s v="ORD100035"/>
    <d v="2022-01-01T00:00:00"/>
    <x v="0"/>
    <n v="1"/>
    <x v="1"/>
    <x v="1"/>
    <x v="4"/>
    <n v="44026.720299363733"/>
    <n v="61"/>
    <n v="24734.20280900018"/>
    <n v="19292.51749036356"/>
  </r>
  <r>
    <s v="ORD100036"/>
    <d v="2022-01-01T00:00:00"/>
    <x v="0"/>
    <n v="1"/>
    <x v="2"/>
    <x v="0"/>
    <x v="4"/>
    <n v="11319.333489336001"/>
    <n v="16"/>
    <n v="6332.0935243849081"/>
    <n v="4987.239964951089"/>
  </r>
  <r>
    <s v="ORD100037"/>
    <d v="2022-01-01T00:00:00"/>
    <x v="0"/>
    <n v="1"/>
    <x v="2"/>
    <x v="1"/>
    <x v="4"/>
    <n v="29769.6455858386"/>
    <n v="41"/>
    <n v="16444.923300278551"/>
    <n v="13324.72228556005"/>
  </r>
  <r>
    <s v="ORD100038"/>
    <d v="2022-01-01T00:00:00"/>
    <x v="0"/>
    <n v="1"/>
    <x v="3"/>
    <x v="0"/>
    <x v="4"/>
    <n v="7898.6076249882226"/>
    <n v="11"/>
    <n v="4224.3828104847371"/>
    <n v="3674.224814503486"/>
  </r>
  <r>
    <s v="ORD100039"/>
    <d v="2022-01-01T00:00:00"/>
    <x v="0"/>
    <n v="1"/>
    <x v="3"/>
    <x v="1"/>
    <x v="4"/>
    <n v="21442.176399048061"/>
    <n v="30"/>
    <n v="11751.53104440371"/>
    <n v="9690.6453546443481"/>
  </r>
  <r>
    <s v="ORD100040"/>
    <d v="2022-01-01T00:00:00"/>
    <x v="0"/>
    <n v="1"/>
    <x v="0"/>
    <x v="0"/>
    <x v="5"/>
    <n v="20542.132975203502"/>
    <n v="4"/>
    <n v="14251.04546922279"/>
    <n v="6291.0875059807076"/>
  </r>
  <r>
    <s v="ORD100041"/>
    <d v="2022-01-01T00:00:00"/>
    <x v="0"/>
    <n v="1"/>
    <x v="0"/>
    <x v="1"/>
    <x v="5"/>
    <n v="51496.531086539697"/>
    <n v="10"/>
    <n v="35644.877125451487"/>
    <n v="15851.653961088219"/>
  </r>
  <r>
    <s v="ORD100042"/>
    <d v="2022-01-01T00:00:00"/>
    <x v="0"/>
    <n v="1"/>
    <x v="1"/>
    <x v="0"/>
    <x v="5"/>
    <n v="14957.35616693985"/>
    <n v="3"/>
    <n v="9978.0535507941131"/>
    <n v="4979.3026161457356"/>
  </r>
  <r>
    <s v="ORD100043"/>
    <d v="2022-01-01T00:00:00"/>
    <x v="0"/>
    <n v="1"/>
    <x v="1"/>
    <x v="1"/>
    <x v="5"/>
    <n v="37550.156406180467"/>
    <n v="7"/>
    <n v="25494.387765665571"/>
    <n v="12055.7686405149"/>
  </r>
  <r>
    <s v="ORD100044"/>
    <d v="2022-01-01T00:00:00"/>
    <x v="0"/>
    <n v="1"/>
    <x v="2"/>
    <x v="0"/>
    <x v="5"/>
    <n v="10273.95779328909"/>
    <n v="2"/>
    <n v="7080.8543908946167"/>
    <n v="3193.1034023944731"/>
  </r>
  <r>
    <s v="ORD100045"/>
    <d v="2022-01-01T00:00:00"/>
    <x v="0"/>
    <n v="1"/>
    <x v="2"/>
    <x v="1"/>
    <x v="5"/>
    <n v="27799.429698050219"/>
    <n v="5"/>
    <n v="19366.77107310003"/>
    <n v="8432.6586249501852"/>
  </r>
  <r>
    <s v="ORD100046"/>
    <d v="2022-01-01T00:00:00"/>
    <x v="0"/>
    <n v="1"/>
    <x v="3"/>
    <x v="0"/>
    <x v="5"/>
    <n v="8735.3744671214845"/>
    <n v="2"/>
    <n v="5789.1431160382763"/>
    <n v="2946.2313510832082"/>
  </r>
  <r>
    <s v="ORD100047"/>
    <d v="2022-01-01T00:00:00"/>
    <x v="0"/>
    <n v="1"/>
    <x v="3"/>
    <x v="1"/>
    <x v="5"/>
    <n v="20829.46292100038"/>
    <n v="4"/>
    <n v="14330.387630218849"/>
    <n v="6499.0752907815386"/>
  </r>
  <r>
    <s v="ORD100048"/>
    <d v="2022-01-01T00:00:00"/>
    <x v="0"/>
    <n v="1"/>
    <x v="0"/>
    <x v="0"/>
    <x v="6"/>
    <n v="40577.026807051952"/>
    <n v="12"/>
    <n v="24002.089539999051"/>
    <n v="16574.93726705289"/>
  </r>
  <r>
    <s v="ORD100049"/>
    <d v="2022-01-01T00:00:00"/>
    <x v="0"/>
    <n v="1"/>
    <x v="0"/>
    <x v="1"/>
    <x v="6"/>
    <n v="106781.91946163389"/>
    <n v="31"/>
    <n v="63964.812855015203"/>
    <n v="42817.106606618647"/>
  </r>
  <r>
    <s v="ORD100050"/>
    <d v="2022-01-01T00:00:00"/>
    <x v="0"/>
    <n v="1"/>
    <x v="1"/>
    <x v="0"/>
    <x v="6"/>
    <n v="36450.832478844437"/>
    <n v="10"/>
    <n v="21774.20176602112"/>
    <n v="14676.63071282332"/>
  </r>
  <r>
    <s v="ORD100051"/>
    <d v="2022-01-01T00:00:00"/>
    <x v="0"/>
    <n v="1"/>
    <x v="1"/>
    <x v="1"/>
    <x v="6"/>
    <n v="87265.148394451389"/>
    <n v="25"/>
    <n v="52026.338945591793"/>
    <n v="35238.809448859603"/>
  </r>
  <r>
    <s v="ORD100052"/>
    <d v="2022-01-01T00:00:00"/>
    <x v="0"/>
    <n v="1"/>
    <x v="2"/>
    <x v="0"/>
    <x v="6"/>
    <n v="22989.154768068231"/>
    <n v="7"/>
    <n v="13368.299979231509"/>
    <n v="9620.8547888367139"/>
  </r>
  <r>
    <s v="ORD100053"/>
    <d v="2022-01-01T00:00:00"/>
    <x v="0"/>
    <n v="1"/>
    <x v="2"/>
    <x v="1"/>
    <x v="6"/>
    <n v="59939.781985757589"/>
    <n v="17"/>
    <n v="34149.912606402613"/>
    <n v="25789.869379354979"/>
  </r>
  <r>
    <s v="ORD100054"/>
    <d v="2022-01-01T00:00:00"/>
    <x v="0"/>
    <n v="1"/>
    <x v="3"/>
    <x v="0"/>
    <x v="6"/>
    <n v="15935.197580567001"/>
    <n v="5"/>
    <n v="9335.2495476280474"/>
    <n v="6599.9480329389517"/>
  </r>
  <r>
    <s v="ORD100055"/>
    <d v="2022-01-01T00:00:00"/>
    <x v="0"/>
    <n v="1"/>
    <x v="3"/>
    <x v="1"/>
    <x v="6"/>
    <n v="44872.961035837907"/>
    <n v="13"/>
    <n v="26952.375505028958"/>
    <n v="17920.585530808949"/>
  </r>
  <r>
    <s v="ORD100056"/>
    <d v="2022-02-01T00:00:00"/>
    <x v="0"/>
    <n v="2"/>
    <x v="0"/>
    <x v="0"/>
    <x v="0"/>
    <n v="41125.043054163492"/>
    <n v="8"/>
    <n v="26137.060285794589"/>
    <n v="14987.9827683689"/>
  </r>
  <r>
    <s v="ORD100057"/>
    <d v="2022-02-01T00:00:00"/>
    <x v="0"/>
    <n v="2"/>
    <x v="0"/>
    <x v="1"/>
    <x v="0"/>
    <n v="98256.844147637428"/>
    <n v="19"/>
    <n v="61698.39341796068"/>
    <n v="36558.450729676748"/>
  </r>
  <r>
    <s v="ORD100058"/>
    <d v="2022-02-01T00:00:00"/>
    <x v="0"/>
    <n v="2"/>
    <x v="1"/>
    <x v="0"/>
    <x v="0"/>
    <n v="30813.682404032119"/>
    <n v="6"/>
    <n v="19252.125111306901"/>
    <n v="11561.55729272522"/>
  </r>
  <r>
    <s v="ORD100059"/>
    <d v="2022-02-01T00:00:00"/>
    <x v="0"/>
    <n v="2"/>
    <x v="1"/>
    <x v="1"/>
    <x v="0"/>
    <n v="83174.6174697854"/>
    <n v="16"/>
    <n v="51920.655260311418"/>
    <n v="31253.962209473979"/>
  </r>
  <r>
    <s v="ORD100060"/>
    <d v="2022-02-01T00:00:00"/>
    <x v="0"/>
    <n v="2"/>
    <x v="2"/>
    <x v="0"/>
    <x v="0"/>
    <n v="23824.9720693784"/>
    <n v="5"/>
    <n v="14623.618111140029"/>
    <n v="9201.3539582383746"/>
  </r>
  <r>
    <s v="ORD100061"/>
    <d v="2022-02-01T00:00:00"/>
    <x v="0"/>
    <n v="2"/>
    <x v="2"/>
    <x v="1"/>
    <x v="0"/>
    <n v="54786.995301034229"/>
    <n v="11"/>
    <n v="33888.415249001031"/>
    <n v="20898.580052033201"/>
  </r>
  <r>
    <s v="ORD100062"/>
    <d v="2022-02-01T00:00:00"/>
    <x v="0"/>
    <n v="2"/>
    <x v="3"/>
    <x v="0"/>
    <x v="0"/>
    <n v="17646.615321781799"/>
    <n v="3"/>
    <n v="11269.60175450675"/>
    <n v="6377.0135672750484"/>
  </r>
  <r>
    <s v="ORD100063"/>
    <d v="2022-02-01T00:00:00"/>
    <x v="0"/>
    <n v="2"/>
    <x v="3"/>
    <x v="1"/>
    <x v="0"/>
    <n v="40502.906518376993"/>
    <n v="8"/>
    <n v="24685.75410042216"/>
    <n v="15817.152417954831"/>
  </r>
  <r>
    <s v="ORD100064"/>
    <d v="2022-02-01T00:00:00"/>
    <x v="0"/>
    <n v="2"/>
    <x v="0"/>
    <x v="0"/>
    <x v="1"/>
    <n v="38581.578977221419"/>
    <n v="6"/>
    <n v="26203.974624446961"/>
    <n v="12377.60435277446"/>
  </r>
  <r>
    <s v="ORD100065"/>
    <d v="2022-02-01T00:00:00"/>
    <x v="0"/>
    <n v="2"/>
    <x v="0"/>
    <x v="1"/>
    <x v="1"/>
    <n v="98570.203411396025"/>
    <n v="16"/>
    <n v="64679.234768894719"/>
    <n v="33890.968642501313"/>
  </r>
  <r>
    <s v="ORD100066"/>
    <d v="2022-02-01T00:00:00"/>
    <x v="0"/>
    <n v="2"/>
    <x v="1"/>
    <x v="0"/>
    <x v="1"/>
    <n v="29901.903536982751"/>
    <n v="5"/>
    <n v="20206.09569809186"/>
    <n v="9695.8078388908871"/>
  </r>
  <r>
    <s v="ORD100067"/>
    <d v="2022-02-01T00:00:00"/>
    <x v="0"/>
    <n v="2"/>
    <x v="1"/>
    <x v="1"/>
    <x v="1"/>
    <n v="76368.211153321739"/>
    <n v="13"/>
    <n v="49126.680326288573"/>
    <n v="27241.53082703317"/>
  </r>
  <r>
    <s v="ORD100068"/>
    <d v="2022-02-01T00:00:00"/>
    <x v="0"/>
    <n v="2"/>
    <x v="2"/>
    <x v="0"/>
    <x v="1"/>
    <n v="19068.435575883439"/>
    <n v="3"/>
    <n v="12717.89412506402"/>
    <n v="6350.5414508194244"/>
  </r>
  <r>
    <s v="ORD100069"/>
    <d v="2022-02-01T00:00:00"/>
    <x v="0"/>
    <n v="2"/>
    <x v="2"/>
    <x v="1"/>
    <x v="1"/>
    <n v="49844.092108634897"/>
    <n v="8"/>
    <n v="32460.823966092539"/>
    <n v="17383.268142542362"/>
  </r>
  <r>
    <s v="ORD100070"/>
    <d v="2022-02-01T00:00:00"/>
    <x v="0"/>
    <n v="2"/>
    <x v="3"/>
    <x v="0"/>
    <x v="1"/>
    <n v="16994.836900080671"/>
    <n v="3"/>
    <n v="10930.851801103419"/>
    <n v="6063.9850989772567"/>
  </r>
  <r>
    <s v="ORD100071"/>
    <d v="2022-02-01T00:00:00"/>
    <x v="0"/>
    <n v="2"/>
    <x v="3"/>
    <x v="1"/>
    <x v="1"/>
    <n v="39248.09353177606"/>
    <n v="6"/>
    <n v="26005.637020064889"/>
    <n v="13242.456511711171"/>
  </r>
  <r>
    <s v="ORD100072"/>
    <d v="2022-02-01T00:00:00"/>
    <x v="0"/>
    <n v="2"/>
    <x v="0"/>
    <x v="0"/>
    <x v="2"/>
    <n v="25508.57455641159"/>
    <n v="6"/>
    <n v="16622.129863224"/>
    <n v="8886.4446931875937"/>
  </r>
  <r>
    <s v="ORD100073"/>
    <d v="2022-02-01T00:00:00"/>
    <x v="0"/>
    <n v="2"/>
    <x v="0"/>
    <x v="1"/>
    <x v="2"/>
    <n v="68109.927950927682"/>
    <n v="16"/>
    <n v="42927.390554772013"/>
    <n v="25182.537396155669"/>
  </r>
  <r>
    <s v="ORD100074"/>
    <d v="2022-02-01T00:00:00"/>
    <x v="0"/>
    <n v="2"/>
    <x v="1"/>
    <x v="0"/>
    <x v="2"/>
    <n v="22822.331860126778"/>
    <n v="5"/>
    <n v="14212.18121298498"/>
    <n v="8610.1506471418015"/>
  </r>
  <r>
    <s v="ORD100075"/>
    <d v="2022-02-01T00:00:00"/>
    <x v="0"/>
    <n v="2"/>
    <x v="1"/>
    <x v="1"/>
    <x v="2"/>
    <n v="57275.342673324267"/>
    <n v="13"/>
    <n v="36595.619038095123"/>
    <n v="20679.72363522914"/>
  </r>
  <r>
    <s v="ORD100076"/>
    <d v="2022-02-01T00:00:00"/>
    <x v="0"/>
    <n v="2"/>
    <x v="2"/>
    <x v="0"/>
    <x v="2"/>
    <n v="15113.534010361671"/>
    <n v="4"/>
    <n v="9657.4385841205876"/>
    <n v="5456.0954262410869"/>
  </r>
  <r>
    <s v="ORD100077"/>
    <d v="2022-02-01T00:00:00"/>
    <x v="0"/>
    <n v="2"/>
    <x v="2"/>
    <x v="1"/>
    <x v="2"/>
    <n v="37418.916246371351"/>
    <n v="9"/>
    <n v="24184.468299728651"/>
    <n v="13234.4479466427"/>
  </r>
  <r>
    <s v="ORD100078"/>
    <d v="2022-02-01T00:00:00"/>
    <x v="0"/>
    <n v="2"/>
    <x v="3"/>
    <x v="0"/>
    <x v="2"/>
    <n v="11863.673704449629"/>
    <n v="3"/>
    <n v="7722.5318061318148"/>
    <n v="4141.1418983178146"/>
  </r>
  <r>
    <s v="ORD100079"/>
    <d v="2022-02-01T00:00:00"/>
    <x v="0"/>
    <n v="2"/>
    <x v="3"/>
    <x v="1"/>
    <x v="2"/>
    <n v="28416.38877200428"/>
    <n v="7"/>
    <n v="18167.038850549961"/>
    <n v="10249.349921454321"/>
  </r>
  <r>
    <s v="ORD100080"/>
    <d v="2022-02-01T00:00:00"/>
    <x v="0"/>
    <n v="2"/>
    <x v="0"/>
    <x v="0"/>
    <x v="3"/>
    <n v="23986.59828260824"/>
    <n v="28"/>
    <n v="11898.10949272347"/>
    <n v="12088.48878988477"/>
  </r>
  <r>
    <s v="ORD100081"/>
    <d v="2022-02-01T00:00:00"/>
    <x v="0"/>
    <n v="2"/>
    <x v="0"/>
    <x v="1"/>
    <x v="3"/>
    <n v="63517.926162650008"/>
    <n v="75"/>
    <n v="30611.66343824971"/>
    <n v="32906.262724400302"/>
  </r>
  <r>
    <s v="ORD100082"/>
    <d v="2022-02-01T00:00:00"/>
    <x v="0"/>
    <n v="2"/>
    <x v="1"/>
    <x v="0"/>
    <x v="3"/>
    <n v="19243.892073696879"/>
    <n v="23"/>
    <n v="9179.4688206824248"/>
    <n v="10064.42325301446"/>
  </r>
  <r>
    <s v="ORD100083"/>
    <d v="2022-02-01T00:00:00"/>
    <x v="0"/>
    <n v="2"/>
    <x v="1"/>
    <x v="1"/>
    <x v="3"/>
    <n v="48411.04398888284"/>
    <n v="57"/>
    <n v="22563.228546843118"/>
    <n v="25847.815442039719"/>
  </r>
  <r>
    <s v="ORD100084"/>
    <d v="2022-02-01T00:00:00"/>
    <x v="0"/>
    <n v="2"/>
    <x v="2"/>
    <x v="0"/>
    <x v="3"/>
    <n v="13899.34815856663"/>
    <n v="16"/>
    <n v="6640.1442376348668"/>
    <n v="7259.2039209317636"/>
  </r>
  <r>
    <s v="ORD100085"/>
    <d v="2022-02-01T00:00:00"/>
    <x v="0"/>
    <n v="2"/>
    <x v="2"/>
    <x v="1"/>
    <x v="3"/>
    <n v="35727.586416051032"/>
    <n v="42"/>
    <n v="17045.403422469932"/>
    <n v="18682.1829935811"/>
  </r>
  <r>
    <s v="ORD100086"/>
    <d v="2022-02-01T00:00:00"/>
    <x v="0"/>
    <n v="2"/>
    <x v="3"/>
    <x v="0"/>
    <x v="3"/>
    <n v="9465.8818638973444"/>
    <n v="11"/>
    <n v="4622.1620330333581"/>
    <n v="4843.7198308639863"/>
  </r>
  <r>
    <s v="ORD100087"/>
    <d v="2022-02-01T00:00:00"/>
    <x v="0"/>
    <n v="2"/>
    <x v="3"/>
    <x v="1"/>
    <x v="3"/>
    <n v="27114.488311424841"/>
    <n v="32"/>
    <n v="13123.30004839996"/>
    <n v="13991.18826302488"/>
  </r>
  <r>
    <s v="ORD100088"/>
    <d v="2022-02-01T00:00:00"/>
    <x v="0"/>
    <n v="2"/>
    <x v="0"/>
    <x v="0"/>
    <x v="4"/>
    <n v="19669.622693836991"/>
    <n v="27"/>
    <n v="10588.634799781519"/>
    <n v="9080.9878940554736"/>
  </r>
  <r>
    <s v="ORD100089"/>
    <d v="2022-02-01T00:00:00"/>
    <x v="0"/>
    <n v="2"/>
    <x v="0"/>
    <x v="1"/>
    <x v="4"/>
    <n v="53733.847775558133"/>
    <n v="75"/>
    <n v="29645.249597239988"/>
    <n v="24088.598178318141"/>
  </r>
  <r>
    <s v="ORD100090"/>
    <d v="2022-02-01T00:00:00"/>
    <x v="0"/>
    <n v="2"/>
    <x v="1"/>
    <x v="0"/>
    <x v="4"/>
    <n v="17023.65095758839"/>
    <n v="24"/>
    <n v="9476.1839581927052"/>
    <n v="7547.466999395685"/>
  </r>
  <r>
    <s v="ORD100091"/>
    <d v="2022-02-01T00:00:00"/>
    <x v="0"/>
    <n v="2"/>
    <x v="1"/>
    <x v="1"/>
    <x v="4"/>
    <n v="42486.960661604498"/>
    <n v="59"/>
    <n v="24010.550305616969"/>
    <n v="18476.410355987529"/>
  </r>
  <r>
    <s v="ORD100092"/>
    <d v="2022-02-01T00:00:00"/>
    <x v="0"/>
    <n v="2"/>
    <x v="2"/>
    <x v="0"/>
    <x v="4"/>
    <n v="12435.11262537927"/>
    <n v="17"/>
    <n v="6948.5704406822206"/>
    <n v="5486.5421846970512"/>
  </r>
  <r>
    <s v="ORD100093"/>
    <d v="2022-02-01T00:00:00"/>
    <x v="0"/>
    <n v="2"/>
    <x v="2"/>
    <x v="1"/>
    <x v="4"/>
    <n v="31564.50264741631"/>
    <n v="44"/>
    <n v="17598.232343798471"/>
    <n v="13966.270303617841"/>
  </r>
  <r>
    <s v="ORD100094"/>
    <d v="2022-02-01T00:00:00"/>
    <x v="0"/>
    <n v="2"/>
    <x v="3"/>
    <x v="0"/>
    <x v="4"/>
    <n v="8710.9605085885687"/>
    <n v="12"/>
    <n v="4796.210006313212"/>
    <n v="3914.7505022753571"/>
  </r>
  <r>
    <s v="ORD100095"/>
    <d v="2022-02-01T00:00:00"/>
    <x v="0"/>
    <n v="2"/>
    <x v="3"/>
    <x v="1"/>
    <x v="4"/>
    <n v="22524.183929143219"/>
    <n v="31"/>
    <n v="12474.890630246089"/>
    <n v="10049.29329889713"/>
  </r>
  <r>
    <s v="ORD100096"/>
    <d v="2022-02-01T00:00:00"/>
    <x v="0"/>
    <n v="2"/>
    <x v="0"/>
    <x v="0"/>
    <x v="5"/>
    <n v="18054.94129008651"/>
    <n v="3"/>
    <n v="12738.10143144884"/>
    <n v="5316.8398586376679"/>
  </r>
  <r>
    <s v="ORD100097"/>
    <d v="2022-02-01T00:00:00"/>
    <x v="0"/>
    <n v="2"/>
    <x v="0"/>
    <x v="1"/>
    <x v="5"/>
    <n v="46219.602463927738"/>
    <n v="9"/>
    <n v="31126.448216873669"/>
    <n v="15093.15424705407"/>
  </r>
  <r>
    <s v="ORD100098"/>
    <d v="2022-02-01T00:00:00"/>
    <x v="0"/>
    <n v="2"/>
    <x v="1"/>
    <x v="0"/>
    <x v="5"/>
    <n v="15599.557396497659"/>
    <n v="3"/>
    <n v="10695.991955971769"/>
    <n v="4903.5654405258847"/>
  </r>
  <r>
    <s v="ORD100099"/>
    <d v="2022-02-01T00:00:00"/>
    <x v="0"/>
    <n v="2"/>
    <x v="1"/>
    <x v="1"/>
    <x v="5"/>
    <n v="40693.247858624927"/>
    <n v="8"/>
    <n v="27687.876944215612"/>
    <n v="13005.370914409321"/>
  </r>
  <r>
    <s v="ORD100100"/>
    <d v="2022-02-01T00:00:00"/>
    <x v="0"/>
    <n v="2"/>
    <x v="2"/>
    <x v="0"/>
    <x v="5"/>
    <n v="10094.36443113448"/>
    <n v="2"/>
    <n v="7012.6466446476225"/>
    <n v="3081.7177864868549"/>
  </r>
  <r>
    <s v="ORD100101"/>
    <d v="2022-02-01T00:00:00"/>
    <x v="0"/>
    <n v="2"/>
    <x v="2"/>
    <x v="1"/>
    <x v="5"/>
    <n v="26024.10153037593"/>
    <n v="5"/>
    <n v="18354.261656865769"/>
    <n v="7669.8398735101619"/>
  </r>
  <r>
    <s v="ORD100102"/>
    <d v="2022-02-01T00:00:00"/>
    <x v="0"/>
    <n v="2"/>
    <x v="3"/>
    <x v="0"/>
    <x v="5"/>
    <n v="7639.3729175876224"/>
    <n v="1"/>
    <n v="5214.5257888904234"/>
    <n v="2424.8471286971999"/>
  </r>
  <r>
    <s v="ORD100103"/>
    <d v="2022-02-01T00:00:00"/>
    <x v="0"/>
    <n v="2"/>
    <x v="3"/>
    <x v="1"/>
    <x v="5"/>
    <n v="18070.09972293568"/>
    <n v="3"/>
    <n v="11931.911273284421"/>
    <n v="6138.188449651263"/>
  </r>
  <r>
    <s v="ORD100104"/>
    <d v="2022-02-01T00:00:00"/>
    <x v="0"/>
    <n v="2"/>
    <x v="0"/>
    <x v="0"/>
    <x v="6"/>
    <n v="39784.942375234117"/>
    <n v="11"/>
    <n v="23298.946104797651"/>
    <n v="16485.99627043647"/>
  </r>
  <r>
    <s v="ORD100105"/>
    <d v="2022-02-01T00:00:00"/>
    <x v="0"/>
    <n v="2"/>
    <x v="0"/>
    <x v="1"/>
    <x v="6"/>
    <n v="109580.8168740215"/>
    <n v="31"/>
    <n v="65715.735435750394"/>
    <n v="43865.081438271111"/>
  </r>
  <r>
    <s v="ORD100106"/>
    <d v="2022-02-01T00:00:00"/>
    <x v="0"/>
    <n v="2"/>
    <x v="1"/>
    <x v="0"/>
    <x v="6"/>
    <n v="31809.3824475644"/>
    <n v="9"/>
    <n v="18949.155434667671"/>
    <n v="12860.22701289673"/>
  </r>
  <r>
    <s v="ORD100107"/>
    <d v="2022-02-01T00:00:00"/>
    <x v="0"/>
    <n v="2"/>
    <x v="1"/>
    <x v="1"/>
    <x v="6"/>
    <n v="91019.933842868792"/>
    <n v="26"/>
    <n v="54115.659366821899"/>
    <n v="36904.274476046892"/>
  </r>
  <r>
    <s v="ORD100108"/>
    <d v="2022-02-01T00:00:00"/>
    <x v="0"/>
    <n v="2"/>
    <x v="2"/>
    <x v="0"/>
    <x v="6"/>
    <n v="25780.642286030401"/>
    <n v="7"/>
    <n v="15133.919464738799"/>
    <n v="10646.722821291591"/>
  </r>
  <r>
    <s v="ORD100109"/>
    <d v="2022-02-01T00:00:00"/>
    <x v="0"/>
    <n v="2"/>
    <x v="2"/>
    <x v="1"/>
    <x v="6"/>
    <n v="56623.318415456873"/>
    <n v="16"/>
    <n v="32638.625980641391"/>
    <n v="23984.69243481549"/>
  </r>
  <r>
    <s v="ORD100110"/>
    <d v="2022-02-01T00:00:00"/>
    <x v="0"/>
    <n v="2"/>
    <x v="3"/>
    <x v="0"/>
    <x v="6"/>
    <n v="15872.09890264266"/>
    <n v="5"/>
    <n v="9451.3972344379235"/>
    <n v="6420.7016682047397"/>
  </r>
  <r>
    <s v="ORD100111"/>
    <d v="2022-02-01T00:00:00"/>
    <x v="0"/>
    <n v="2"/>
    <x v="3"/>
    <x v="1"/>
    <x v="6"/>
    <n v="42587.478939226872"/>
    <n v="12"/>
    <n v="24749.284409412739"/>
    <n v="17838.194529814129"/>
  </r>
  <r>
    <s v="ORD100112"/>
    <d v="2022-03-01T00:00:00"/>
    <x v="0"/>
    <n v="3"/>
    <x v="0"/>
    <x v="0"/>
    <x v="0"/>
    <n v="39044.33021971905"/>
    <n v="8"/>
    <n v="25159.171526269271"/>
    <n v="13885.158693449779"/>
  </r>
  <r>
    <s v="ORD100113"/>
    <d v="2022-03-01T00:00:00"/>
    <x v="0"/>
    <n v="3"/>
    <x v="0"/>
    <x v="1"/>
    <x v="0"/>
    <n v="99889.400393292148"/>
    <n v="19"/>
    <n v="62567.410116103558"/>
    <n v="37321.99027718859"/>
  </r>
  <r>
    <s v="ORD100114"/>
    <d v="2022-03-01T00:00:00"/>
    <x v="0"/>
    <n v="3"/>
    <x v="1"/>
    <x v="0"/>
    <x v="0"/>
    <n v="32713.07714852655"/>
    <n v="6"/>
    <n v="20070.125945357951"/>
    <n v="12642.951203168601"/>
  </r>
  <r>
    <s v="ORD100115"/>
    <d v="2022-03-01T00:00:00"/>
    <x v="0"/>
    <n v="3"/>
    <x v="1"/>
    <x v="1"/>
    <x v="0"/>
    <n v="81228.526192109639"/>
    <n v="16"/>
    <n v="49807.459183104278"/>
    <n v="31421.067009005361"/>
  </r>
  <r>
    <s v="ORD100116"/>
    <d v="2022-03-01T00:00:00"/>
    <x v="0"/>
    <n v="3"/>
    <x v="2"/>
    <x v="0"/>
    <x v="0"/>
    <n v="23953.20141858952"/>
    <n v="5"/>
    <n v="14826.139245398461"/>
    <n v="9127.0621731910596"/>
  </r>
  <r>
    <s v="ORD100117"/>
    <d v="2022-03-01T00:00:00"/>
    <x v="0"/>
    <n v="3"/>
    <x v="2"/>
    <x v="1"/>
    <x v="0"/>
    <n v="55035.353032794417"/>
    <n v="11"/>
    <n v="33974.818107544161"/>
    <n v="21060.53492525026"/>
  </r>
  <r>
    <s v="ORD100118"/>
    <d v="2022-03-01T00:00:00"/>
    <x v="0"/>
    <n v="3"/>
    <x v="3"/>
    <x v="0"/>
    <x v="0"/>
    <n v="16381.68120631724"/>
    <n v="3"/>
    <n v="10360.82140987905"/>
    <n v="6020.8597964381879"/>
  </r>
  <r>
    <s v="ORD100119"/>
    <d v="2022-03-01T00:00:00"/>
    <x v="0"/>
    <n v="3"/>
    <x v="3"/>
    <x v="1"/>
    <x v="0"/>
    <n v="43151.466084874519"/>
    <n v="8"/>
    <n v="26843.68147487663"/>
    <n v="16307.784609997891"/>
  </r>
  <r>
    <s v="ORD100120"/>
    <d v="2022-03-01T00:00:00"/>
    <x v="0"/>
    <n v="3"/>
    <x v="0"/>
    <x v="0"/>
    <x v="1"/>
    <n v="43457.210639523713"/>
    <n v="7"/>
    <n v="28304.038287976538"/>
    <n v="15153.172351547169"/>
  </r>
  <r>
    <s v="ORD100121"/>
    <d v="2022-03-01T00:00:00"/>
    <x v="0"/>
    <n v="3"/>
    <x v="0"/>
    <x v="1"/>
    <x v="1"/>
    <n v="109878.66124848351"/>
    <n v="18"/>
    <n v="74987.619232855533"/>
    <n v="34891.042015627943"/>
  </r>
  <r>
    <s v="ORD100122"/>
    <d v="2022-03-01T00:00:00"/>
    <x v="0"/>
    <n v="3"/>
    <x v="1"/>
    <x v="0"/>
    <x v="1"/>
    <n v="34541.493877388253"/>
    <n v="6"/>
    <n v="22817.619778240209"/>
    <n v="11723.87409914805"/>
  </r>
  <r>
    <s v="ORD100123"/>
    <d v="2022-03-01T00:00:00"/>
    <x v="0"/>
    <n v="3"/>
    <x v="1"/>
    <x v="1"/>
    <x v="1"/>
    <n v="100445.4043910679"/>
    <n v="16"/>
    <n v="67211.416674620195"/>
    <n v="33233.987716447737"/>
  </r>
  <r>
    <s v="ORD100124"/>
    <d v="2022-03-01T00:00:00"/>
    <x v="0"/>
    <n v="3"/>
    <x v="2"/>
    <x v="0"/>
    <x v="1"/>
    <n v="25436.415440249359"/>
    <n v="4"/>
    <n v="16604.23749731795"/>
    <n v="8832.1779429314083"/>
  </r>
  <r>
    <s v="ORD100125"/>
    <d v="2022-03-01T00:00:00"/>
    <x v="0"/>
    <n v="3"/>
    <x v="2"/>
    <x v="1"/>
    <x v="1"/>
    <n v="64160.530524562972"/>
    <n v="11"/>
    <n v="42622.726719067599"/>
    <n v="21537.803805495369"/>
  </r>
  <r>
    <s v="ORD100126"/>
    <d v="2022-03-01T00:00:00"/>
    <x v="0"/>
    <n v="3"/>
    <x v="3"/>
    <x v="0"/>
    <x v="1"/>
    <n v="17933.408262121309"/>
    <n v="3"/>
    <n v="11902.331091328941"/>
    <n v="6031.0771707923668"/>
  </r>
  <r>
    <s v="ORD100127"/>
    <d v="2022-03-01T00:00:00"/>
    <x v="0"/>
    <n v="3"/>
    <x v="3"/>
    <x v="1"/>
    <x v="1"/>
    <n v="50659.823769926203"/>
    <n v="8"/>
    <n v="32298.21960267155"/>
    <n v="18361.604167254649"/>
  </r>
  <r>
    <s v="ORD100128"/>
    <d v="2022-03-01T00:00:00"/>
    <x v="0"/>
    <n v="3"/>
    <x v="0"/>
    <x v="0"/>
    <x v="2"/>
    <n v="30096.12721371423"/>
    <n v="7"/>
    <n v="19960.232181392141"/>
    <n v="10135.895032322091"/>
  </r>
  <r>
    <s v="ORD100129"/>
    <d v="2022-03-01T00:00:00"/>
    <x v="0"/>
    <n v="3"/>
    <x v="0"/>
    <x v="1"/>
    <x v="2"/>
    <n v="75706.729259013853"/>
    <n v="18"/>
    <n v="49577.931349070474"/>
    <n v="26128.79790994338"/>
  </r>
  <r>
    <s v="ORD100130"/>
    <d v="2022-03-01T00:00:00"/>
    <x v="0"/>
    <n v="3"/>
    <x v="1"/>
    <x v="0"/>
    <x v="2"/>
    <n v="24080.54539318259"/>
    <n v="6"/>
    <n v="15301.3639398753"/>
    <n v="8779.1814533072902"/>
  </r>
  <r>
    <s v="ORD100131"/>
    <d v="2022-03-01T00:00:00"/>
    <x v="0"/>
    <n v="3"/>
    <x v="1"/>
    <x v="1"/>
    <x v="2"/>
    <n v="60354.314614498668"/>
    <n v="14"/>
    <n v="37860.373369471621"/>
    <n v="22493.94124502705"/>
  </r>
  <r>
    <s v="ORD100132"/>
    <d v="2022-03-01T00:00:00"/>
    <x v="0"/>
    <n v="3"/>
    <x v="2"/>
    <x v="0"/>
    <x v="2"/>
    <n v="15974.581290719219"/>
    <n v="4"/>
    <n v="10287.69280849761"/>
    <n v="5686.888482221615"/>
  </r>
  <r>
    <s v="ORD100133"/>
    <d v="2022-03-01T00:00:00"/>
    <x v="0"/>
    <n v="3"/>
    <x v="2"/>
    <x v="1"/>
    <x v="2"/>
    <n v="40376.367099237119"/>
    <n v="9"/>
    <n v="25881.201142863989"/>
    <n v="14495.16595637313"/>
  </r>
  <r>
    <s v="ORD100134"/>
    <d v="2022-03-01T00:00:00"/>
    <x v="0"/>
    <n v="3"/>
    <x v="3"/>
    <x v="0"/>
    <x v="2"/>
    <n v="11777.900977954199"/>
    <n v="3"/>
    <n v="7586.114293620607"/>
    <n v="4191.786684333596"/>
  </r>
  <r>
    <s v="ORD100135"/>
    <d v="2022-03-01T00:00:00"/>
    <x v="0"/>
    <n v="3"/>
    <x v="3"/>
    <x v="1"/>
    <x v="2"/>
    <n v="31959.822410662779"/>
    <n v="7"/>
    <n v="20524.820763358381"/>
    <n v="11435.0016473044"/>
  </r>
  <r>
    <s v="ORD100136"/>
    <d v="2022-03-01T00:00:00"/>
    <x v="0"/>
    <n v="3"/>
    <x v="0"/>
    <x v="0"/>
    <x v="3"/>
    <n v="27663.798056130188"/>
    <n v="33"/>
    <n v="13399.62236594702"/>
    <n v="14264.17569018317"/>
  </r>
  <r>
    <s v="ORD100137"/>
    <d v="2022-03-01T00:00:00"/>
    <x v="0"/>
    <n v="3"/>
    <x v="0"/>
    <x v="1"/>
    <x v="3"/>
    <n v="77870.67272182829"/>
    <n v="92"/>
    <n v="38351.673961849083"/>
    <n v="39518.998759979208"/>
  </r>
  <r>
    <s v="ORD100138"/>
    <d v="2022-03-01T00:00:00"/>
    <x v="0"/>
    <n v="3"/>
    <x v="1"/>
    <x v="0"/>
    <x v="3"/>
    <n v="22702.892793964849"/>
    <n v="27"/>
    <n v="11008.82368554232"/>
    <n v="11694.069108422529"/>
  </r>
  <r>
    <s v="ORD100139"/>
    <d v="2022-03-01T00:00:00"/>
    <x v="0"/>
    <n v="3"/>
    <x v="1"/>
    <x v="1"/>
    <x v="3"/>
    <n v="62845.799824129288"/>
    <n v="74"/>
    <n v="29596.033879435701"/>
    <n v="33249.765944693587"/>
  </r>
  <r>
    <s v="ORD100140"/>
    <d v="2022-03-01T00:00:00"/>
    <x v="0"/>
    <n v="3"/>
    <x v="2"/>
    <x v="0"/>
    <x v="3"/>
    <n v="17623.444620846931"/>
    <n v="21"/>
    <n v="8666.7261784495458"/>
    <n v="8956.7184423973886"/>
  </r>
  <r>
    <s v="ORD100141"/>
    <d v="2022-03-01T00:00:00"/>
    <x v="0"/>
    <n v="3"/>
    <x v="2"/>
    <x v="1"/>
    <x v="3"/>
    <n v="41639.141341304858"/>
    <n v="49"/>
    <n v="20577.018917677109"/>
    <n v="21062.122423627749"/>
  </r>
  <r>
    <s v="ORD100142"/>
    <d v="2022-03-01T00:00:00"/>
    <x v="0"/>
    <n v="3"/>
    <x v="3"/>
    <x v="0"/>
    <x v="3"/>
    <n v="12370.71996706447"/>
    <n v="15"/>
    <n v="6274.8469288116212"/>
    <n v="6095.8730382528483"/>
  </r>
  <r>
    <s v="ORD100143"/>
    <d v="2022-03-01T00:00:00"/>
    <x v="0"/>
    <n v="3"/>
    <x v="3"/>
    <x v="1"/>
    <x v="3"/>
    <n v="29642.161667750701"/>
    <n v="35"/>
    <n v="13940.50147966174"/>
    <n v="15701.660188088959"/>
  </r>
  <r>
    <s v="ORD100144"/>
    <d v="2022-03-01T00:00:00"/>
    <x v="0"/>
    <n v="3"/>
    <x v="0"/>
    <x v="0"/>
    <x v="4"/>
    <n v="26499.396573619331"/>
    <n v="37"/>
    <n v="14638.386760682601"/>
    <n v="11861.00981293672"/>
  </r>
  <r>
    <s v="ORD100145"/>
    <d v="2022-03-01T00:00:00"/>
    <x v="0"/>
    <n v="3"/>
    <x v="0"/>
    <x v="1"/>
    <x v="4"/>
    <n v="59411.557534711137"/>
    <n v="83"/>
    <n v="31451.71944780627"/>
    <n v="27959.838086904871"/>
  </r>
  <r>
    <s v="ORD100146"/>
    <d v="2022-03-01T00:00:00"/>
    <x v="0"/>
    <n v="3"/>
    <x v="1"/>
    <x v="0"/>
    <x v="4"/>
    <n v="17919.94509305049"/>
    <n v="25"/>
    <n v="9954.1025860325371"/>
    <n v="7965.8425070179492"/>
  </r>
  <r>
    <s v="ORD100147"/>
    <d v="2022-03-01T00:00:00"/>
    <x v="0"/>
    <n v="3"/>
    <x v="1"/>
    <x v="1"/>
    <x v="4"/>
    <n v="48772.827820312858"/>
    <n v="68"/>
    <n v="26560.356241512109"/>
    <n v="22212.471578800749"/>
  </r>
  <r>
    <s v="ORD100148"/>
    <d v="2022-03-01T00:00:00"/>
    <x v="0"/>
    <n v="3"/>
    <x v="2"/>
    <x v="0"/>
    <x v="4"/>
    <n v="12035.699433166361"/>
    <n v="17"/>
    <n v="6848.8198413202599"/>
    <n v="5186.8795918461046"/>
  </r>
  <r>
    <s v="ORD100149"/>
    <d v="2022-03-01T00:00:00"/>
    <x v="0"/>
    <n v="3"/>
    <x v="2"/>
    <x v="1"/>
    <x v="4"/>
    <n v="32913.402450461137"/>
    <n v="46"/>
    <n v="17849.96872665513"/>
    <n v="15063.433723806011"/>
  </r>
  <r>
    <s v="ORD100150"/>
    <d v="2022-03-01T00:00:00"/>
    <x v="0"/>
    <n v="3"/>
    <x v="3"/>
    <x v="0"/>
    <x v="4"/>
    <n v="9893.9134111807562"/>
    <n v="14"/>
    <n v="5276.1973320879106"/>
    <n v="4617.7160790928447"/>
  </r>
  <r>
    <s v="ORD100151"/>
    <d v="2022-03-01T00:00:00"/>
    <x v="0"/>
    <n v="3"/>
    <x v="3"/>
    <x v="1"/>
    <x v="4"/>
    <n v="24807.29243747615"/>
    <n v="34"/>
    <n v="13528.2721440471"/>
    <n v="11279.02029342905"/>
  </r>
  <r>
    <s v="ORD100152"/>
    <d v="2022-03-01T00:00:00"/>
    <x v="0"/>
    <n v="3"/>
    <x v="0"/>
    <x v="0"/>
    <x v="5"/>
    <n v="21595.44756620871"/>
    <n v="4"/>
    <n v="14371.002461827909"/>
    <n v="7224.4451043807994"/>
  </r>
  <r>
    <s v="ORD100153"/>
    <d v="2022-03-01T00:00:00"/>
    <x v="0"/>
    <n v="3"/>
    <x v="0"/>
    <x v="1"/>
    <x v="5"/>
    <n v="55477.467293159003"/>
    <n v="10"/>
    <n v="38796.982597412723"/>
    <n v="16680.484695746269"/>
  </r>
  <r>
    <s v="ORD100154"/>
    <d v="2022-03-01T00:00:00"/>
    <x v="0"/>
    <n v="3"/>
    <x v="1"/>
    <x v="0"/>
    <x v="5"/>
    <n v="17502.877397053169"/>
    <n v="3"/>
    <n v="11628.065803429579"/>
    <n v="5874.8115936235827"/>
  </r>
  <r>
    <s v="ORD100155"/>
    <d v="2022-03-01T00:00:00"/>
    <x v="0"/>
    <n v="3"/>
    <x v="1"/>
    <x v="1"/>
    <x v="5"/>
    <n v="45906.418853684983"/>
    <n v="9"/>
    <n v="31691.65431870829"/>
    <n v="14214.764534976701"/>
  </r>
  <r>
    <s v="ORD100156"/>
    <d v="2022-03-01T00:00:00"/>
    <x v="0"/>
    <n v="3"/>
    <x v="2"/>
    <x v="0"/>
    <x v="5"/>
    <n v="13188.828629295829"/>
    <n v="2"/>
    <n v="8759.9352663352911"/>
    <n v="4428.8933629605344"/>
  </r>
  <r>
    <s v="ORD100157"/>
    <d v="2022-03-01T00:00:00"/>
    <x v="0"/>
    <n v="3"/>
    <x v="2"/>
    <x v="1"/>
    <x v="5"/>
    <n v="32386.540390094269"/>
    <n v="6"/>
    <n v="22217.876013894169"/>
    <n v="10168.6643762001"/>
  </r>
  <r>
    <s v="ORD100158"/>
    <d v="2022-03-01T00:00:00"/>
    <x v="0"/>
    <n v="3"/>
    <x v="3"/>
    <x v="0"/>
    <x v="5"/>
    <n v="7990.3686474275701"/>
    <n v="1"/>
    <n v="5676.4438370917615"/>
    <n v="2313.9248103358091"/>
  </r>
  <r>
    <s v="ORD100159"/>
    <d v="2022-03-01T00:00:00"/>
    <x v="0"/>
    <n v="3"/>
    <x v="3"/>
    <x v="1"/>
    <x v="5"/>
    <n v="22283.448125708081"/>
    <n v="4"/>
    <n v="15475.39227070784"/>
    <n v="6808.0558550002479"/>
  </r>
  <r>
    <s v="ORD100160"/>
    <d v="2022-03-01T00:00:00"/>
    <x v="0"/>
    <n v="3"/>
    <x v="0"/>
    <x v="0"/>
    <x v="6"/>
    <n v="45843.860415341667"/>
    <n v="13"/>
    <n v="26627.475596312819"/>
    <n v="19216.384819028852"/>
  </r>
  <r>
    <s v="ORD100161"/>
    <d v="2022-03-01T00:00:00"/>
    <x v="0"/>
    <n v="3"/>
    <x v="0"/>
    <x v="1"/>
    <x v="6"/>
    <n v="111852.329074511"/>
    <n v="32"/>
    <n v="65955.808411424499"/>
    <n v="45896.520663086492"/>
  </r>
  <r>
    <s v="ORD100162"/>
    <d v="2022-03-01T00:00:00"/>
    <x v="0"/>
    <n v="3"/>
    <x v="1"/>
    <x v="0"/>
    <x v="6"/>
    <n v="36301.241844579308"/>
    <n v="10"/>
    <n v="21424.678538189692"/>
    <n v="14876.56330638962"/>
  </r>
  <r>
    <s v="ORD100163"/>
    <d v="2022-03-01T00:00:00"/>
    <x v="0"/>
    <n v="3"/>
    <x v="1"/>
    <x v="1"/>
    <x v="6"/>
    <n v="93853.856938980025"/>
    <n v="27"/>
    <n v="55844.85947477186"/>
    <n v="38008.997464208172"/>
  </r>
  <r>
    <s v="ORD100164"/>
    <d v="2022-03-01T00:00:00"/>
    <x v="0"/>
    <n v="3"/>
    <x v="2"/>
    <x v="0"/>
    <x v="6"/>
    <n v="22044.186902226658"/>
    <n v="6"/>
    <n v="12686.076065661389"/>
    <n v="9358.1108365652708"/>
  </r>
  <r>
    <s v="ORD100165"/>
    <d v="2022-03-01T00:00:00"/>
    <x v="0"/>
    <n v="3"/>
    <x v="2"/>
    <x v="1"/>
    <x v="6"/>
    <n v="63638.411676873307"/>
    <n v="18"/>
    <n v="37947.143515422627"/>
    <n v="25691.268161450669"/>
  </r>
  <r>
    <s v="ORD100166"/>
    <d v="2022-03-01T00:00:00"/>
    <x v="0"/>
    <n v="3"/>
    <x v="3"/>
    <x v="0"/>
    <x v="6"/>
    <n v="19090.55368624139"/>
    <n v="5"/>
    <n v="10715.133771713399"/>
    <n v="8375.4199145279908"/>
  </r>
  <r>
    <s v="ORD100167"/>
    <d v="2022-03-01T00:00:00"/>
    <x v="0"/>
    <n v="3"/>
    <x v="3"/>
    <x v="1"/>
    <x v="6"/>
    <n v="46099.187219243053"/>
    <n v="13"/>
    <n v="26890.145757432441"/>
    <n v="19209.041461810601"/>
  </r>
  <r>
    <s v="ORD100168"/>
    <d v="2022-04-01T00:00:00"/>
    <x v="0"/>
    <n v="4"/>
    <x v="0"/>
    <x v="0"/>
    <x v="0"/>
    <n v="43027.617696808811"/>
    <n v="8"/>
    <n v="26442.659627917641"/>
    <n v="16584.95806889117"/>
  </r>
  <r>
    <s v="ORD100169"/>
    <d v="2022-04-01T00:00:00"/>
    <x v="0"/>
    <n v="4"/>
    <x v="0"/>
    <x v="1"/>
    <x v="0"/>
    <n v="107534.5410509895"/>
    <n v="21"/>
    <n v="67431.461778491139"/>
    <n v="40103.079272498348"/>
  </r>
  <r>
    <s v="ORD100170"/>
    <d v="2022-04-01T00:00:00"/>
    <x v="0"/>
    <n v="4"/>
    <x v="1"/>
    <x v="0"/>
    <x v="0"/>
    <n v="32980.686790690379"/>
    <n v="6"/>
    <n v="20456.35542290163"/>
    <n v="12524.331367788751"/>
  </r>
  <r>
    <s v="ORD100171"/>
    <d v="2022-04-01T00:00:00"/>
    <x v="0"/>
    <n v="4"/>
    <x v="1"/>
    <x v="1"/>
    <x v="0"/>
    <n v="83845.385656552797"/>
    <n v="16"/>
    <n v="50668.933371385298"/>
    <n v="33176.452285167499"/>
  </r>
  <r>
    <s v="ORD100172"/>
    <d v="2022-04-01T00:00:00"/>
    <x v="0"/>
    <n v="4"/>
    <x v="2"/>
    <x v="0"/>
    <x v="0"/>
    <n v="21898.77086838839"/>
    <n v="4"/>
    <n v="13336.515189736479"/>
    <n v="8562.2556786519071"/>
  </r>
  <r>
    <s v="ORD100173"/>
    <d v="2022-04-01T00:00:00"/>
    <x v="0"/>
    <n v="4"/>
    <x v="2"/>
    <x v="1"/>
    <x v="0"/>
    <n v="61412.308436139043"/>
    <n v="12"/>
    <n v="38211.79883238105"/>
    <n v="23200.50960375799"/>
  </r>
  <r>
    <s v="ORD100174"/>
    <d v="2022-04-01T00:00:00"/>
    <x v="0"/>
    <n v="4"/>
    <x v="3"/>
    <x v="0"/>
    <x v="0"/>
    <n v="18209.491490761109"/>
    <n v="4"/>
    <n v="11273.816823119991"/>
    <n v="6935.6746676411203"/>
  </r>
  <r>
    <s v="ORD100175"/>
    <d v="2022-04-01T00:00:00"/>
    <x v="0"/>
    <n v="4"/>
    <x v="3"/>
    <x v="1"/>
    <x v="0"/>
    <n v="44927.639229083346"/>
    <n v="9"/>
    <n v="27564.76786364866"/>
    <n v="17362.87136543469"/>
  </r>
  <r>
    <s v="ORD100176"/>
    <d v="2022-04-01T00:00:00"/>
    <x v="0"/>
    <n v="4"/>
    <x v="0"/>
    <x v="0"/>
    <x v="1"/>
    <n v="45030.477287410322"/>
    <n v="7"/>
    <n v="29462.887170243659"/>
    <n v="15567.590117166659"/>
  </r>
  <r>
    <s v="ORD100177"/>
    <d v="2022-04-01T00:00:00"/>
    <x v="0"/>
    <n v="4"/>
    <x v="0"/>
    <x v="1"/>
    <x v="1"/>
    <n v="128607.8064888706"/>
    <n v="21"/>
    <n v="85944.800034715983"/>
    <n v="42663.006454154631"/>
  </r>
  <r>
    <s v="ORD100178"/>
    <d v="2022-04-01T00:00:00"/>
    <x v="0"/>
    <n v="4"/>
    <x v="1"/>
    <x v="0"/>
    <x v="1"/>
    <n v="37540.077206073278"/>
    <n v="6"/>
    <n v="24545.572432452649"/>
    <n v="12994.504773620631"/>
  </r>
  <r>
    <s v="ORD100179"/>
    <d v="2022-04-01T00:00:00"/>
    <x v="0"/>
    <n v="4"/>
    <x v="1"/>
    <x v="1"/>
    <x v="1"/>
    <n v="92931.755917266113"/>
    <n v="15"/>
    <n v="61237.703594411563"/>
    <n v="31694.052322854561"/>
  </r>
  <r>
    <s v="ORD100180"/>
    <d v="2022-04-01T00:00:00"/>
    <x v="0"/>
    <n v="4"/>
    <x v="2"/>
    <x v="0"/>
    <x v="1"/>
    <n v="27249.72911803607"/>
    <n v="4"/>
    <n v="18687.287806538501"/>
    <n v="8562.441311497565"/>
  </r>
  <r>
    <s v="ORD100181"/>
    <d v="2022-04-01T00:00:00"/>
    <x v="0"/>
    <n v="4"/>
    <x v="2"/>
    <x v="1"/>
    <x v="1"/>
    <n v="67457.582983477609"/>
    <n v="11"/>
    <n v="43381.071076412787"/>
    <n v="24076.511907064822"/>
  </r>
  <r>
    <s v="ORD100182"/>
    <d v="2022-04-01T00:00:00"/>
    <x v="0"/>
    <n v="4"/>
    <x v="3"/>
    <x v="0"/>
    <x v="1"/>
    <n v="22849.80090902785"/>
    <n v="4"/>
    <n v="14578.1754557104"/>
    <n v="8271.625453317447"/>
  </r>
  <r>
    <s v="ORD100183"/>
    <d v="2022-04-01T00:00:00"/>
    <x v="0"/>
    <n v="4"/>
    <x v="3"/>
    <x v="1"/>
    <x v="1"/>
    <n v="56334.892165964593"/>
    <n v="9"/>
    <n v="37705.452888049898"/>
    <n v="18629.439277914691"/>
  </r>
  <r>
    <s v="ORD100184"/>
    <d v="2022-04-01T00:00:00"/>
    <x v="0"/>
    <n v="4"/>
    <x v="0"/>
    <x v="0"/>
    <x v="2"/>
    <n v="34354.152365310321"/>
    <n v="8"/>
    <n v="21718.077847668399"/>
    <n v="12636.07451764192"/>
  </r>
  <r>
    <s v="ORD100185"/>
    <d v="2022-04-01T00:00:00"/>
    <x v="0"/>
    <n v="4"/>
    <x v="0"/>
    <x v="1"/>
    <x v="2"/>
    <n v="84202.114215880167"/>
    <n v="20"/>
    <n v="53580.660037134352"/>
    <n v="30621.454178745811"/>
  </r>
  <r>
    <s v="ORD100186"/>
    <d v="2022-04-01T00:00:00"/>
    <x v="0"/>
    <n v="4"/>
    <x v="1"/>
    <x v="0"/>
    <x v="2"/>
    <n v="26631.977144324301"/>
    <n v="6"/>
    <n v="16804.80630129328"/>
    <n v="9827.1708430310246"/>
  </r>
  <r>
    <s v="ORD100187"/>
    <d v="2022-04-01T00:00:00"/>
    <x v="0"/>
    <n v="4"/>
    <x v="1"/>
    <x v="1"/>
    <x v="2"/>
    <n v="64766.067854990783"/>
    <n v="15"/>
    <n v="41256.445216747808"/>
    <n v="23509.62263824297"/>
  </r>
  <r>
    <s v="ORD100188"/>
    <d v="2022-04-01T00:00:00"/>
    <x v="0"/>
    <n v="4"/>
    <x v="2"/>
    <x v="0"/>
    <x v="2"/>
    <n v="17143.194955512881"/>
    <n v="4"/>
    <n v="11287.33943328231"/>
    <n v="5855.8555222305686"/>
  </r>
  <r>
    <s v="ORD100189"/>
    <d v="2022-04-01T00:00:00"/>
    <x v="0"/>
    <n v="4"/>
    <x v="2"/>
    <x v="1"/>
    <x v="2"/>
    <n v="44869.235097337303"/>
    <n v="10"/>
    <n v="29130.925519565641"/>
    <n v="15738.30957777165"/>
  </r>
  <r>
    <s v="ORD100190"/>
    <d v="2022-04-01T00:00:00"/>
    <x v="0"/>
    <n v="4"/>
    <x v="3"/>
    <x v="0"/>
    <x v="2"/>
    <n v="13214.984713253931"/>
    <n v="3"/>
    <n v="8588.8522129765333"/>
    <n v="4626.1325002773992"/>
  </r>
  <r>
    <s v="ORD100191"/>
    <d v="2022-04-01T00:00:00"/>
    <x v="0"/>
    <n v="4"/>
    <x v="3"/>
    <x v="1"/>
    <x v="2"/>
    <n v="33775.284556083752"/>
    <n v="8"/>
    <n v="21065.140520695149"/>
    <n v="12710.144035388599"/>
  </r>
  <r>
    <s v="ORD100192"/>
    <d v="2022-04-01T00:00:00"/>
    <x v="0"/>
    <n v="4"/>
    <x v="0"/>
    <x v="0"/>
    <x v="3"/>
    <n v="29556.73312655542"/>
    <n v="35"/>
    <n v="13893.261570496639"/>
    <n v="15663.471556058779"/>
  </r>
  <r>
    <s v="ORD100193"/>
    <d v="2022-04-01T00:00:00"/>
    <x v="0"/>
    <n v="4"/>
    <x v="0"/>
    <x v="1"/>
    <x v="3"/>
    <n v="72259.849432727351"/>
    <n v="85"/>
    <n v="32912.219662276701"/>
    <n v="39347.629770450651"/>
  </r>
  <r>
    <s v="ORD100194"/>
    <d v="2022-04-01T00:00:00"/>
    <x v="0"/>
    <n v="4"/>
    <x v="1"/>
    <x v="0"/>
    <x v="3"/>
    <n v="22598.06097292023"/>
    <n v="27"/>
    <n v="10689.039890067699"/>
    <n v="11909.021082852531"/>
  </r>
  <r>
    <s v="ORD100195"/>
    <d v="2022-04-01T00:00:00"/>
    <x v="0"/>
    <n v="4"/>
    <x v="1"/>
    <x v="1"/>
    <x v="3"/>
    <n v="60202.67312308024"/>
    <n v="71"/>
    <n v="29394.9133098165"/>
    <n v="30807.759813263739"/>
  </r>
  <r>
    <s v="ORD100196"/>
    <d v="2022-04-01T00:00:00"/>
    <x v="0"/>
    <n v="4"/>
    <x v="2"/>
    <x v="0"/>
    <x v="3"/>
    <n v="17652.032560674641"/>
    <n v="21"/>
    <n v="8551.816983254761"/>
    <n v="9100.2155774198764"/>
  </r>
  <r>
    <s v="ORD100197"/>
    <d v="2022-04-01T00:00:00"/>
    <x v="0"/>
    <n v="4"/>
    <x v="2"/>
    <x v="1"/>
    <x v="3"/>
    <n v="45174.592833874143"/>
    <n v="53"/>
    <n v="21597.346054835121"/>
    <n v="23577.246779039018"/>
  </r>
  <r>
    <s v="ORD100198"/>
    <d v="2022-04-01T00:00:00"/>
    <x v="0"/>
    <n v="4"/>
    <x v="3"/>
    <x v="0"/>
    <x v="3"/>
    <n v="11761.15350672549"/>
    <n v="14"/>
    <n v="5643.087609429389"/>
    <n v="6118.0658972960991"/>
  </r>
  <r>
    <s v="ORD100199"/>
    <d v="2022-04-01T00:00:00"/>
    <x v="0"/>
    <n v="4"/>
    <x v="3"/>
    <x v="1"/>
    <x v="3"/>
    <n v="31916.694370828409"/>
    <n v="38"/>
    <n v="15130.046055882671"/>
    <n v="16786.648314945742"/>
  </r>
  <r>
    <s v="ORD100200"/>
    <d v="2022-04-01T00:00:00"/>
    <x v="0"/>
    <n v="4"/>
    <x v="0"/>
    <x v="0"/>
    <x v="4"/>
    <n v="24087.683268049139"/>
    <n v="33"/>
    <n v="13297.05425177261"/>
    <n v="10790.629016276531"/>
  </r>
  <r>
    <s v="ORD100201"/>
    <d v="2022-04-01T00:00:00"/>
    <x v="0"/>
    <n v="4"/>
    <x v="0"/>
    <x v="1"/>
    <x v="4"/>
    <n v="60953.618392113443"/>
    <n v="85"/>
    <n v="33986.652334246857"/>
    <n v="26966.966057866579"/>
  </r>
  <r>
    <s v="ORD100202"/>
    <d v="2022-04-01T00:00:00"/>
    <x v="0"/>
    <n v="4"/>
    <x v="1"/>
    <x v="0"/>
    <x v="4"/>
    <n v="19027.89882916609"/>
    <n v="26"/>
    <n v="10160.949745970051"/>
    <n v="8866.9490831960411"/>
  </r>
  <r>
    <s v="ORD100203"/>
    <d v="2022-04-01T00:00:00"/>
    <x v="0"/>
    <n v="4"/>
    <x v="1"/>
    <x v="1"/>
    <x v="4"/>
    <n v="51386.86213504459"/>
    <n v="71"/>
    <n v="28415.213923071959"/>
    <n v="22971.648211972632"/>
  </r>
  <r>
    <s v="ORD100204"/>
    <d v="2022-04-01T00:00:00"/>
    <x v="0"/>
    <n v="4"/>
    <x v="2"/>
    <x v="0"/>
    <x v="4"/>
    <n v="15089.99630455935"/>
    <n v="21"/>
    <n v="8438.7953112014293"/>
    <n v="6651.2009933579166"/>
  </r>
  <r>
    <s v="ORD100205"/>
    <d v="2022-04-01T00:00:00"/>
    <x v="0"/>
    <n v="4"/>
    <x v="2"/>
    <x v="1"/>
    <x v="4"/>
    <n v="37032.761514724793"/>
    <n v="51"/>
    <n v="20215.832964040492"/>
    <n v="16816.928550684301"/>
  </r>
  <r>
    <s v="ORD100206"/>
    <d v="2022-04-01T00:00:00"/>
    <x v="0"/>
    <n v="4"/>
    <x v="3"/>
    <x v="0"/>
    <x v="4"/>
    <n v="9554.5699212702166"/>
    <n v="13"/>
    <n v="5321.292897323211"/>
    <n v="4233.2770239470055"/>
  </r>
  <r>
    <s v="ORD100207"/>
    <d v="2022-04-01T00:00:00"/>
    <x v="0"/>
    <n v="4"/>
    <x v="3"/>
    <x v="1"/>
    <x v="4"/>
    <n v="24231.418547794448"/>
    <n v="34"/>
    <n v="14002.49059341005"/>
    <n v="10228.9279543844"/>
  </r>
  <r>
    <s v="ORD100208"/>
    <d v="2022-04-01T00:00:00"/>
    <x v="0"/>
    <n v="4"/>
    <x v="0"/>
    <x v="0"/>
    <x v="5"/>
    <n v="20972.04724748003"/>
    <n v="4"/>
    <n v="14443.534138514289"/>
    <n v="6528.5131089657407"/>
  </r>
  <r>
    <s v="ORD100209"/>
    <d v="2022-04-01T00:00:00"/>
    <x v="0"/>
    <n v="4"/>
    <x v="0"/>
    <x v="1"/>
    <x v="5"/>
    <n v="57249.115809986193"/>
    <n v="11"/>
    <n v="39781.544601105081"/>
    <n v="17467.571208881109"/>
  </r>
  <r>
    <s v="ORD100210"/>
    <d v="2022-04-01T00:00:00"/>
    <x v="0"/>
    <n v="4"/>
    <x v="1"/>
    <x v="0"/>
    <x v="5"/>
    <n v="17524.89191834781"/>
    <n v="3"/>
    <n v="11931.53054055044"/>
    <n v="5593.3613777973769"/>
  </r>
  <r>
    <s v="ORD100211"/>
    <d v="2022-04-01T00:00:00"/>
    <x v="0"/>
    <n v="4"/>
    <x v="1"/>
    <x v="1"/>
    <x v="5"/>
    <n v="43415.396864358881"/>
    <n v="8"/>
    <n v="30054.357948571291"/>
    <n v="13361.038915787591"/>
  </r>
  <r>
    <s v="ORD100212"/>
    <d v="2022-04-01T00:00:00"/>
    <x v="0"/>
    <n v="4"/>
    <x v="2"/>
    <x v="0"/>
    <x v="5"/>
    <n v="11390.48642272633"/>
    <n v="2"/>
    <n v="7924.5501854546474"/>
    <n v="3465.936237271686"/>
  </r>
  <r>
    <s v="ORD100213"/>
    <d v="2022-04-01T00:00:00"/>
    <x v="0"/>
    <n v="4"/>
    <x v="2"/>
    <x v="1"/>
    <x v="5"/>
    <n v="32085.390375273349"/>
    <n v="6"/>
    <n v="22216.56413839967"/>
    <n v="9868.8262368736796"/>
  </r>
  <r>
    <s v="ORD100214"/>
    <d v="2022-04-01T00:00:00"/>
    <x v="0"/>
    <n v="4"/>
    <x v="3"/>
    <x v="0"/>
    <x v="5"/>
    <n v="8534.8490471070272"/>
    <n v="2"/>
    <n v="5780.9552578071116"/>
    <n v="2753.8937892999161"/>
  </r>
  <r>
    <s v="ORD100215"/>
    <d v="2022-04-01T00:00:00"/>
    <x v="0"/>
    <n v="4"/>
    <x v="3"/>
    <x v="1"/>
    <x v="5"/>
    <n v="22742.561449376721"/>
    <n v="4"/>
    <n v="15750.656885263361"/>
    <n v="6991.9045641133562"/>
  </r>
  <r>
    <s v="ORD100216"/>
    <d v="2022-04-01T00:00:00"/>
    <x v="0"/>
    <n v="4"/>
    <x v="0"/>
    <x v="0"/>
    <x v="6"/>
    <n v="48716.882492975863"/>
    <n v="14"/>
    <n v="29499.46179732939"/>
    <n v="19217.42069564647"/>
  </r>
  <r>
    <s v="ORD100217"/>
    <d v="2022-04-01T00:00:00"/>
    <x v="0"/>
    <n v="4"/>
    <x v="0"/>
    <x v="1"/>
    <x v="6"/>
    <n v="121577.3732467785"/>
    <n v="35"/>
    <n v="72309.907047374116"/>
    <n v="49267.466199404393"/>
  </r>
  <r>
    <s v="ORD100218"/>
    <d v="2022-04-01T00:00:00"/>
    <x v="0"/>
    <n v="4"/>
    <x v="1"/>
    <x v="0"/>
    <x v="6"/>
    <n v="36279.332232889283"/>
    <n v="10"/>
    <n v="21775.44670252427"/>
    <n v="14503.885530365"/>
  </r>
  <r>
    <s v="ORD100219"/>
    <d v="2022-04-01T00:00:00"/>
    <x v="0"/>
    <n v="4"/>
    <x v="1"/>
    <x v="1"/>
    <x v="6"/>
    <n v="87217.239809428531"/>
    <n v="25"/>
    <n v="51238.639840807569"/>
    <n v="35978.599968620962"/>
  </r>
  <r>
    <s v="ORD100220"/>
    <d v="2022-04-01T00:00:00"/>
    <x v="0"/>
    <n v="4"/>
    <x v="2"/>
    <x v="0"/>
    <x v="6"/>
    <n v="28284.10892993541"/>
    <n v="8"/>
    <n v="16912.87723048258"/>
    <n v="11371.23169945283"/>
  </r>
  <r>
    <s v="ORD100221"/>
    <d v="2022-04-01T00:00:00"/>
    <x v="0"/>
    <n v="4"/>
    <x v="2"/>
    <x v="1"/>
    <x v="6"/>
    <n v="67436.213618409776"/>
    <n v="19"/>
    <n v="39987.370005477707"/>
    <n v="27448.843612932069"/>
  </r>
  <r>
    <s v="ORD100222"/>
    <d v="2022-04-01T00:00:00"/>
    <x v="0"/>
    <n v="4"/>
    <x v="3"/>
    <x v="0"/>
    <x v="6"/>
    <n v="17256.84379955136"/>
    <n v="5"/>
    <n v="10007.266637323701"/>
    <n v="7249.5771622276661"/>
  </r>
  <r>
    <s v="ORD100223"/>
    <d v="2022-04-01T00:00:00"/>
    <x v="0"/>
    <n v="4"/>
    <x v="3"/>
    <x v="1"/>
    <x v="6"/>
    <n v="46016.111970717247"/>
    <n v="13"/>
    <n v="27305.164445839229"/>
    <n v="18710.947524878022"/>
  </r>
  <r>
    <s v="ORD100224"/>
    <d v="2022-05-01T00:00:00"/>
    <x v="0"/>
    <n v="5"/>
    <x v="0"/>
    <x v="0"/>
    <x v="0"/>
    <n v="48114.68111745538"/>
    <n v="9"/>
    <n v="29298.601009832641"/>
    <n v="18816.08010762274"/>
  </r>
  <r>
    <s v="ORD100225"/>
    <d v="2022-05-01T00:00:00"/>
    <x v="0"/>
    <n v="5"/>
    <x v="0"/>
    <x v="1"/>
    <x v="0"/>
    <n v="116876.6151961031"/>
    <n v="22"/>
    <n v="71638.008449005429"/>
    <n v="45238.606747097707"/>
  </r>
  <r>
    <s v="ORD100226"/>
    <d v="2022-05-01T00:00:00"/>
    <x v="0"/>
    <n v="5"/>
    <x v="1"/>
    <x v="0"/>
    <x v="0"/>
    <n v="35343.525611542071"/>
    <n v="7"/>
    <n v="21987.663352592081"/>
    <n v="13355.86225894999"/>
  </r>
  <r>
    <s v="ORD100227"/>
    <d v="2022-05-01T00:00:00"/>
    <x v="0"/>
    <n v="5"/>
    <x v="1"/>
    <x v="1"/>
    <x v="0"/>
    <n v="91287.158889497834"/>
    <n v="18"/>
    <n v="56900.860482466232"/>
    <n v="34386.298407031602"/>
  </r>
  <r>
    <s v="ORD100228"/>
    <d v="2022-05-01T00:00:00"/>
    <x v="0"/>
    <n v="5"/>
    <x v="2"/>
    <x v="0"/>
    <x v="0"/>
    <n v="21176.107959772431"/>
    <n v="4"/>
    <n v="12848.141138880619"/>
    <n v="8327.9668208918192"/>
  </r>
  <r>
    <s v="ORD100229"/>
    <d v="2022-05-01T00:00:00"/>
    <x v="0"/>
    <n v="5"/>
    <x v="2"/>
    <x v="1"/>
    <x v="0"/>
    <n v="58844.196028413608"/>
    <n v="11"/>
    <n v="37175.555287506417"/>
    <n v="21668.640740907191"/>
  </r>
  <r>
    <s v="ORD100230"/>
    <d v="2022-05-01T00:00:00"/>
    <x v="0"/>
    <n v="5"/>
    <x v="3"/>
    <x v="0"/>
    <x v="0"/>
    <n v="17531.16802667945"/>
    <n v="3"/>
    <n v="10981.235966598821"/>
    <n v="6549.9320600806241"/>
  </r>
  <r>
    <s v="ORD100231"/>
    <d v="2022-05-01T00:00:00"/>
    <x v="0"/>
    <n v="5"/>
    <x v="3"/>
    <x v="1"/>
    <x v="0"/>
    <n v="49565.241231607179"/>
    <n v="10"/>
    <n v="30340.630373958149"/>
    <n v="19224.61085764903"/>
  </r>
  <r>
    <s v="ORD100232"/>
    <d v="2022-05-01T00:00:00"/>
    <x v="0"/>
    <n v="5"/>
    <x v="0"/>
    <x v="0"/>
    <x v="1"/>
    <n v="47191.90524232421"/>
    <n v="8"/>
    <n v="30284.62617446309"/>
    <n v="16907.27906786112"/>
  </r>
  <r>
    <s v="ORD100233"/>
    <d v="2022-05-01T00:00:00"/>
    <x v="0"/>
    <n v="5"/>
    <x v="0"/>
    <x v="1"/>
    <x v="1"/>
    <n v="125419.7276258006"/>
    <n v="21"/>
    <n v="82561.114386087705"/>
    <n v="42858.613239712882"/>
  </r>
  <r>
    <s v="ORD100234"/>
    <d v="2022-05-01T00:00:00"/>
    <x v="0"/>
    <n v="5"/>
    <x v="1"/>
    <x v="0"/>
    <x v="1"/>
    <n v="44351.537094225278"/>
    <n v="7"/>
    <n v="29037.04840688175"/>
    <n v="15314.48868734353"/>
  </r>
  <r>
    <s v="ORD100235"/>
    <d v="2022-05-01T00:00:00"/>
    <x v="0"/>
    <n v="5"/>
    <x v="1"/>
    <x v="1"/>
    <x v="1"/>
    <n v="102693.3191229847"/>
    <n v="17"/>
    <n v="67915.62159762485"/>
    <n v="34777.69752535985"/>
  </r>
  <r>
    <s v="ORD100236"/>
    <d v="2022-05-01T00:00:00"/>
    <x v="0"/>
    <n v="5"/>
    <x v="2"/>
    <x v="0"/>
    <x v="1"/>
    <n v="28517.816218930249"/>
    <n v="5"/>
    <n v="18698.737809292641"/>
    <n v="9819.0784096376156"/>
  </r>
  <r>
    <s v="ORD100237"/>
    <d v="2022-05-01T00:00:00"/>
    <x v="0"/>
    <n v="5"/>
    <x v="2"/>
    <x v="1"/>
    <x v="1"/>
    <n v="67357.322790032587"/>
    <n v="11"/>
    <n v="42849.456034717048"/>
    <n v="24507.866755315539"/>
  </r>
  <r>
    <s v="ORD100238"/>
    <d v="2022-05-01T00:00:00"/>
    <x v="0"/>
    <n v="5"/>
    <x v="3"/>
    <x v="0"/>
    <x v="1"/>
    <n v="20091.670896567561"/>
    <n v="3"/>
    <n v="13167.80862986351"/>
    <n v="6923.8622667040436"/>
  </r>
  <r>
    <s v="ORD100239"/>
    <d v="2022-05-01T00:00:00"/>
    <x v="0"/>
    <n v="5"/>
    <x v="3"/>
    <x v="1"/>
    <x v="1"/>
    <n v="55646.68129994101"/>
    <n v="9"/>
    <n v="36524.770189400333"/>
    <n v="19121.911110540681"/>
  </r>
  <r>
    <s v="ORD100240"/>
    <d v="2022-05-01T00:00:00"/>
    <x v="0"/>
    <n v="5"/>
    <x v="0"/>
    <x v="0"/>
    <x v="2"/>
    <n v="32972.932422443402"/>
    <n v="8"/>
    <n v="21343.371738315778"/>
    <n v="11629.56068412762"/>
  </r>
  <r>
    <s v="ORD100241"/>
    <d v="2022-05-01T00:00:00"/>
    <x v="0"/>
    <n v="5"/>
    <x v="0"/>
    <x v="1"/>
    <x v="2"/>
    <n v="88699.865522959604"/>
    <n v="21"/>
    <n v="56054.477832018223"/>
    <n v="32645.387690941388"/>
  </r>
  <r>
    <s v="ORD100242"/>
    <d v="2022-05-01T00:00:00"/>
    <x v="0"/>
    <n v="5"/>
    <x v="1"/>
    <x v="0"/>
    <x v="2"/>
    <n v="26756.729612257281"/>
    <n v="6"/>
    <n v="17641.737478668809"/>
    <n v="9114.9921335884683"/>
  </r>
  <r>
    <s v="ORD100243"/>
    <d v="2022-05-01T00:00:00"/>
    <x v="0"/>
    <n v="5"/>
    <x v="1"/>
    <x v="1"/>
    <x v="2"/>
    <n v="70817.118851767867"/>
    <n v="16"/>
    <n v="43763.414452720201"/>
    <n v="27053.70439904767"/>
  </r>
  <r>
    <s v="ORD100244"/>
    <d v="2022-05-01T00:00:00"/>
    <x v="0"/>
    <n v="5"/>
    <x v="2"/>
    <x v="0"/>
    <x v="2"/>
    <n v="19539.969638851919"/>
    <n v="5"/>
    <n v="12800.72496296009"/>
    <n v="6739.2446758918231"/>
  </r>
  <r>
    <s v="ORD100245"/>
    <d v="2022-05-01T00:00:00"/>
    <x v="0"/>
    <n v="5"/>
    <x v="2"/>
    <x v="1"/>
    <x v="2"/>
    <n v="47855.048250558139"/>
    <n v="11"/>
    <n v="30503.566039942511"/>
    <n v="17351.482210615632"/>
  </r>
  <r>
    <s v="ORD100246"/>
    <d v="2022-05-01T00:00:00"/>
    <x v="0"/>
    <n v="5"/>
    <x v="3"/>
    <x v="0"/>
    <x v="2"/>
    <n v="13892.793846279579"/>
    <n v="3"/>
    <n v="9028.9603097132022"/>
    <n v="4863.8335365663816"/>
  </r>
  <r>
    <s v="ORD100247"/>
    <d v="2022-05-01T00:00:00"/>
    <x v="0"/>
    <n v="5"/>
    <x v="3"/>
    <x v="1"/>
    <x v="2"/>
    <n v="39248.187593028502"/>
    <n v="9"/>
    <n v="25154.92143240077"/>
    <n v="14093.266160627731"/>
  </r>
  <r>
    <s v="ORD100248"/>
    <d v="2022-05-01T00:00:00"/>
    <x v="0"/>
    <n v="5"/>
    <x v="0"/>
    <x v="0"/>
    <x v="3"/>
    <n v="30051.622233262518"/>
    <n v="35"/>
    <n v="14720.65972701447"/>
    <n v="15330.96250624805"/>
  </r>
  <r>
    <s v="ORD100249"/>
    <d v="2022-05-01T00:00:00"/>
    <x v="0"/>
    <n v="5"/>
    <x v="0"/>
    <x v="1"/>
    <x v="3"/>
    <n v="78155.46915247009"/>
    <n v="92"/>
    <n v="37253.053892728327"/>
    <n v="40902.415259741763"/>
  </r>
  <r>
    <s v="ORD100250"/>
    <d v="2022-05-01T00:00:00"/>
    <x v="0"/>
    <n v="5"/>
    <x v="1"/>
    <x v="0"/>
    <x v="3"/>
    <n v="27138.414187656821"/>
    <n v="32"/>
    <n v="12768.838798681871"/>
    <n v="14369.57538897495"/>
  </r>
  <r>
    <s v="ORD100251"/>
    <d v="2022-05-01T00:00:00"/>
    <x v="0"/>
    <n v="5"/>
    <x v="1"/>
    <x v="1"/>
    <x v="3"/>
    <n v="68347.136664211735"/>
    <n v="80"/>
    <n v="33645.460740474038"/>
    <n v="34701.675923737697"/>
  </r>
  <r>
    <s v="ORD100252"/>
    <d v="2022-05-01T00:00:00"/>
    <x v="0"/>
    <n v="5"/>
    <x v="2"/>
    <x v="0"/>
    <x v="3"/>
    <n v="17475.785105327221"/>
    <n v="21"/>
    <n v="8371.2423189447909"/>
    <n v="9104.5427863824261"/>
  </r>
  <r>
    <s v="ORD100253"/>
    <d v="2022-05-01T00:00:00"/>
    <x v="0"/>
    <n v="5"/>
    <x v="2"/>
    <x v="1"/>
    <x v="3"/>
    <n v="45641.452856607852"/>
    <n v="54"/>
    <n v="21995.26721660548"/>
    <n v="23646.185640002379"/>
  </r>
  <r>
    <s v="ORD100254"/>
    <d v="2022-05-01T00:00:00"/>
    <x v="0"/>
    <n v="5"/>
    <x v="3"/>
    <x v="0"/>
    <x v="3"/>
    <n v="12895.697586236191"/>
    <n v="15"/>
    <n v="6327.5094514713883"/>
    <n v="6568.1881347648059"/>
  </r>
  <r>
    <s v="ORD100255"/>
    <d v="2022-05-01T00:00:00"/>
    <x v="0"/>
    <n v="5"/>
    <x v="3"/>
    <x v="1"/>
    <x v="3"/>
    <n v="34661.906790187342"/>
    <n v="41"/>
    <n v="16328.66646468054"/>
    <n v="18333.240325506798"/>
  </r>
  <r>
    <s v="ORD100256"/>
    <d v="2022-05-01T00:00:00"/>
    <x v="0"/>
    <n v="5"/>
    <x v="0"/>
    <x v="0"/>
    <x v="4"/>
    <n v="25615.18439232331"/>
    <n v="36"/>
    <n v="14239.36214633292"/>
    <n v="11375.82224599039"/>
  </r>
  <r>
    <s v="ORD100257"/>
    <d v="2022-05-01T00:00:00"/>
    <x v="0"/>
    <n v="5"/>
    <x v="0"/>
    <x v="1"/>
    <x v="4"/>
    <n v="69394.387212765476"/>
    <n v="96"/>
    <n v="37761.652654087833"/>
    <n v="31632.734558677639"/>
  </r>
  <r>
    <s v="ORD100258"/>
    <d v="2022-05-01T00:00:00"/>
    <x v="0"/>
    <n v="5"/>
    <x v="1"/>
    <x v="0"/>
    <x v="4"/>
    <n v="22191.285184489021"/>
    <n v="31"/>
    <n v="12176.17007361779"/>
    <n v="10015.115110871229"/>
  </r>
  <r>
    <s v="ORD100259"/>
    <d v="2022-05-01T00:00:00"/>
    <x v="0"/>
    <n v="5"/>
    <x v="1"/>
    <x v="1"/>
    <x v="4"/>
    <n v="55779.709265291902"/>
    <n v="77"/>
    <n v="30718.753922694352"/>
    <n v="25060.95534259755"/>
  </r>
  <r>
    <s v="ORD100260"/>
    <d v="2022-05-01T00:00:00"/>
    <x v="0"/>
    <n v="5"/>
    <x v="2"/>
    <x v="0"/>
    <x v="4"/>
    <n v="15518.516116866769"/>
    <n v="22"/>
    <n v="8304.6998146328951"/>
    <n v="7213.816302233874"/>
  </r>
  <r>
    <s v="ORD100261"/>
    <d v="2022-05-01T00:00:00"/>
    <x v="0"/>
    <n v="5"/>
    <x v="2"/>
    <x v="1"/>
    <x v="4"/>
    <n v="38096.321024484263"/>
    <n v="53"/>
    <n v="20659.235385976779"/>
    <n v="17437.08563850748"/>
  </r>
  <r>
    <s v="ORD100262"/>
    <d v="2022-05-01T00:00:00"/>
    <x v="0"/>
    <n v="5"/>
    <x v="3"/>
    <x v="0"/>
    <x v="4"/>
    <n v="10311.005552338551"/>
    <n v="14"/>
    <n v="5808.9691627295351"/>
    <n v="4502.0363896090184"/>
  </r>
  <r>
    <s v="ORD100263"/>
    <d v="2022-05-01T00:00:00"/>
    <x v="0"/>
    <n v="5"/>
    <x v="3"/>
    <x v="1"/>
    <x v="4"/>
    <n v="27653.312004183808"/>
    <n v="38"/>
    <n v="15451.932204490709"/>
    <n v="12201.37979969311"/>
  </r>
  <r>
    <s v="ORD100264"/>
    <d v="2022-05-01T00:00:00"/>
    <x v="0"/>
    <n v="5"/>
    <x v="0"/>
    <x v="0"/>
    <x v="5"/>
    <n v="24064.63386655298"/>
    <n v="4"/>
    <n v="16585.87547862688"/>
    <n v="7478.7583879261038"/>
  </r>
  <r>
    <s v="ORD100265"/>
    <d v="2022-05-01T00:00:00"/>
    <x v="0"/>
    <n v="5"/>
    <x v="0"/>
    <x v="1"/>
    <x v="5"/>
    <n v="61976.830143179737"/>
    <n v="11"/>
    <n v="42951.157623241597"/>
    <n v="19025.672519938151"/>
  </r>
  <r>
    <s v="ORD100266"/>
    <d v="2022-05-01T00:00:00"/>
    <x v="0"/>
    <n v="5"/>
    <x v="1"/>
    <x v="0"/>
    <x v="5"/>
    <n v="20385.139593763099"/>
    <n v="4"/>
    <n v="13991.248991762959"/>
    <n v="6393.8906020001377"/>
  </r>
  <r>
    <s v="ORD100267"/>
    <d v="2022-05-01T00:00:00"/>
    <x v="0"/>
    <n v="5"/>
    <x v="1"/>
    <x v="1"/>
    <x v="5"/>
    <n v="47754.98844187324"/>
    <n v="9"/>
    <n v="33755.554633862826"/>
    <n v="13999.43380801041"/>
  </r>
  <r>
    <s v="ORD100268"/>
    <d v="2022-05-01T00:00:00"/>
    <x v="0"/>
    <n v="5"/>
    <x v="2"/>
    <x v="0"/>
    <x v="5"/>
    <n v="13209.07580288644"/>
    <n v="2"/>
    <n v="9081.3931169403004"/>
    <n v="4127.6826859461426"/>
  </r>
  <r>
    <s v="ORD100269"/>
    <d v="2022-05-01T00:00:00"/>
    <x v="0"/>
    <n v="5"/>
    <x v="2"/>
    <x v="1"/>
    <x v="5"/>
    <n v="32622.91481245117"/>
    <n v="6"/>
    <n v="22603.748211676259"/>
    <n v="10019.166600774901"/>
  </r>
  <r>
    <s v="ORD100270"/>
    <d v="2022-05-01T00:00:00"/>
    <x v="0"/>
    <n v="5"/>
    <x v="3"/>
    <x v="0"/>
    <x v="5"/>
    <n v="9644.8588656351003"/>
    <n v="2"/>
    <n v="6792.2345908187081"/>
    <n v="2852.6242748163918"/>
  </r>
  <r>
    <s v="ORD100271"/>
    <d v="2022-05-01T00:00:00"/>
    <x v="0"/>
    <n v="5"/>
    <x v="3"/>
    <x v="1"/>
    <x v="5"/>
    <n v="25207.496149580311"/>
    <n v="5"/>
    <n v="17149.795131419211"/>
    <n v="8057.7010181610967"/>
  </r>
  <r>
    <s v="ORD100272"/>
    <d v="2022-05-01T00:00:00"/>
    <x v="0"/>
    <n v="5"/>
    <x v="0"/>
    <x v="0"/>
    <x v="6"/>
    <n v="53928.931460263913"/>
    <n v="15"/>
    <n v="32710.82749022992"/>
    <n v="21218.103970033979"/>
  </r>
  <r>
    <s v="ORD100273"/>
    <d v="2022-05-01T00:00:00"/>
    <x v="0"/>
    <n v="5"/>
    <x v="0"/>
    <x v="1"/>
    <x v="6"/>
    <n v="130631.1074988624"/>
    <n v="37"/>
    <n v="74949.140696196133"/>
    <n v="55681.966802666248"/>
  </r>
  <r>
    <s v="ORD100274"/>
    <d v="2022-05-01T00:00:00"/>
    <x v="0"/>
    <n v="5"/>
    <x v="1"/>
    <x v="0"/>
    <x v="6"/>
    <n v="42355.958783688729"/>
    <n v="12"/>
    <n v="25723.061765813411"/>
    <n v="16632.897017875319"/>
  </r>
  <r>
    <s v="ORD100275"/>
    <d v="2022-05-01T00:00:00"/>
    <x v="0"/>
    <n v="5"/>
    <x v="1"/>
    <x v="1"/>
    <x v="6"/>
    <n v="108745.3025706997"/>
    <n v="31"/>
    <n v="63729.334759471822"/>
    <n v="45015.967811227849"/>
  </r>
  <r>
    <s v="ORD100276"/>
    <d v="2022-05-01T00:00:00"/>
    <x v="0"/>
    <n v="5"/>
    <x v="2"/>
    <x v="0"/>
    <x v="6"/>
    <n v="28094.369627968219"/>
    <n v="8"/>
    <n v="16503.26594684038"/>
    <n v="11591.10368112783"/>
  </r>
  <r>
    <s v="ORD100277"/>
    <d v="2022-05-01T00:00:00"/>
    <x v="0"/>
    <n v="5"/>
    <x v="2"/>
    <x v="1"/>
    <x v="6"/>
    <n v="73938.598948298255"/>
    <n v="21"/>
    <n v="42139.684622428693"/>
    <n v="31798.914325869559"/>
  </r>
  <r>
    <s v="ORD100278"/>
    <d v="2022-05-01T00:00:00"/>
    <x v="0"/>
    <n v="5"/>
    <x v="3"/>
    <x v="0"/>
    <x v="6"/>
    <n v="21017.298791898211"/>
    <n v="6"/>
    <n v="12298.694417571171"/>
    <n v="8718.6043743270493"/>
  </r>
  <r>
    <s v="ORD100279"/>
    <d v="2022-05-01T00:00:00"/>
    <x v="0"/>
    <n v="5"/>
    <x v="3"/>
    <x v="1"/>
    <x v="6"/>
    <n v="54571.483770520827"/>
    <n v="16"/>
    <n v="31594.556425439048"/>
    <n v="22976.927345081789"/>
  </r>
  <r>
    <s v="ORD100280"/>
    <d v="2022-06-01T00:00:00"/>
    <x v="0"/>
    <n v="6"/>
    <x v="0"/>
    <x v="0"/>
    <x v="0"/>
    <n v="50855.811058638872"/>
    <n v="10"/>
    <n v="31185.732655680531"/>
    <n v="19670.078402958341"/>
  </r>
  <r>
    <s v="ORD100281"/>
    <d v="2022-06-01T00:00:00"/>
    <x v="0"/>
    <n v="6"/>
    <x v="0"/>
    <x v="1"/>
    <x v="0"/>
    <n v="112465.09042966409"/>
    <n v="22"/>
    <n v="69556.015643933468"/>
    <n v="42909.074785730583"/>
  </r>
  <r>
    <s v="ORD100282"/>
    <d v="2022-06-01T00:00:00"/>
    <x v="0"/>
    <n v="6"/>
    <x v="1"/>
    <x v="0"/>
    <x v="0"/>
    <n v="34208.726871005478"/>
    <n v="7"/>
    <n v="21575.066182228889"/>
    <n v="12633.66068877659"/>
  </r>
  <r>
    <s v="ORD100283"/>
    <d v="2022-06-01T00:00:00"/>
    <x v="0"/>
    <n v="6"/>
    <x v="1"/>
    <x v="1"/>
    <x v="0"/>
    <n v="96465.082565098623"/>
    <n v="19"/>
    <n v="60031.846645040707"/>
    <n v="36433.235920057923"/>
  </r>
  <r>
    <s v="ORD100284"/>
    <d v="2022-06-01T00:00:00"/>
    <x v="0"/>
    <n v="6"/>
    <x v="2"/>
    <x v="0"/>
    <x v="0"/>
    <n v="28368.806507813089"/>
    <n v="5"/>
    <n v="17686.069195876069"/>
    <n v="10682.73731193702"/>
  </r>
  <r>
    <s v="ORD100285"/>
    <d v="2022-06-01T00:00:00"/>
    <x v="0"/>
    <n v="6"/>
    <x v="2"/>
    <x v="1"/>
    <x v="0"/>
    <n v="68826.267752475047"/>
    <n v="13"/>
    <n v="41830.816306177141"/>
    <n v="26995.45144629791"/>
  </r>
  <r>
    <s v="ORD100286"/>
    <d v="2022-06-01T00:00:00"/>
    <x v="0"/>
    <n v="6"/>
    <x v="3"/>
    <x v="0"/>
    <x v="0"/>
    <n v="20719.071593339111"/>
    <n v="4"/>
    <n v="12642.172165319411"/>
    <n v="8076.8994280196966"/>
  </r>
  <r>
    <s v="ORD100287"/>
    <d v="2022-06-01T00:00:00"/>
    <x v="0"/>
    <n v="6"/>
    <x v="3"/>
    <x v="1"/>
    <x v="0"/>
    <n v="50867.897461750232"/>
    <n v="10"/>
    <n v="32559.20696160158"/>
    <n v="18308.690500148659"/>
  </r>
  <r>
    <s v="ORD100288"/>
    <d v="2022-06-01T00:00:00"/>
    <x v="0"/>
    <n v="6"/>
    <x v="0"/>
    <x v="0"/>
    <x v="1"/>
    <n v="47605.292215913971"/>
    <n v="8"/>
    <n v="31003.69927654674"/>
    <n v="16601.59293936723"/>
  </r>
  <r>
    <s v="ORD100289"/>
    <d v="2022-06-01T00:00:00"/>
    <x v="0"/>
    <n v="6"/>
    <x v="0"/>
    <x v="1"/>
    <x v="1"/>
    <n v="121725.96136594861"/>
    <n v="20"/>
    <n v="82734.184576968284"/>
    <n v="38991.776788980307"/>
  </r>
  <r>
    <s v="ORD100290"/>
    <d v="2022-06-01T00:00:00"/>
    <x v="0"/>
    <n v="6"/>
    <x v="1"/>
    <x v="0"/>
    <x v="1"/>
    <n v="40508.405119301293"/>
    <n v="7"/>
    <n v="26618.576643163819"/>
    <n v="13889.82847613746"/>
  </r>
  <r>
    <s v="ORD100291"/>
    <d v="2022-06-01T00:00:00"/>
    <x v="0"/>
    <n v="6"/>
    <x v="1"/>
    <x v="1"/>
    <x v="1"/>
    <n v="96982.161485941178"/>
    <n v="16"/>
    <n v="64010.862621952532"/>
    <n v="32971.298863988653"/>
  </r>
  <r>
    <s v="ORD100292"/>
    <d v="2022-06-01T00:00:00"/>
    <x v="0"/>
    <n v="6"/>
    <x v="2"/>
    <x v="0"/>
    <x v="1"/>
    <n v="25858.027414515891"/>
    <n v="4"/>
    <n v="17395.10716966289"/>
    <n v="8462.9202448529941"/>
  </r>
  <r>
    <s v="ORD100293"/>
    <d v="2022-06-01T00:00:00"/>
    <x v="0"/>
    <n v="6"/>
    <x v="2"/>
    <x v="1"/>
    <x v="1"/>
    <n v="70765.038534827312"/>
    <n v="12"/>
    <n v="47774.190966043658"/>
    <n v="22990.847568783651"/>
  </r>
  <r>
    <s v="ORD100294"/>
    <d v="2022-06-01T00:00:00"/>
    <x v="0"/>
    <n v="6"/>
    <x v="3"/>
    <x v="0"/>
    <x v="1"/>
    <n v="20612.506346187951"/>
    <n v="3"/>
    <n v="13577.11878821241"/>
    <n v="7035.3875579755477"/>
  </r>
  <r>
    <s v="ORD100295"/>
    <d v="2022-06-01T00:00:00"/>
    <x v="0"/>
    <n v="6"/>
    <x v="3"/>
    <x v="1"/>
    <x v="1"/>
    <n v="51410.346600465033"/>
    <n v="8"/>
    <n v="33693.707402139349"/>
    <n v="17716.63919832568"/>
  </r>
  <r>
    <s v="ORD100296"/>
    <d v="2022-06-01T00:00:00"/>
    <x v="0"/>
    <n v="6"/>
    <x v="0"/>
    <x v="0"/>
    <x v="2"/>
    <n v="32498.44661193655"/>
    <n v="8"/>
    <n v="20778.070216410812"/>
    <n v="11720.37639552574"/>
  </r>
  <r>
    <s v="ORD100297"/>
    <d v="2022-06-01T00:00:00"/>
    <x v="0"/>
    <n v="6"/>
    <x v="0"/>
    <x v="1"/>
    <x v="2"/>
    <n v="82071.757701628027"/>
    <n v="19"/>
    <n v="52845.452500670188"/>
    <n v="29226.305200957839"/>
  </r>
  <r>
    <s v="ORD100298"/>
    <d v="2022-06-01T00:00:00"/>
    <x v="0"/>
    <n v="6"/>
    <x v="1"/>
    <x v="0"/>
    <x v="2"/>
    <n v="26106.985678538709"/>
    <n v="6"/>
    <n v="16976.532624082422"/>
    <n v="9130.4530544562913"/>
  </r>
  <r>
    <s v="ORD100299"/>
    <d v="2022-06-01T00:00:00"/>
    <x v="0"/>
    <n v="6"/>
    <x v="1"/>
    <x v="1"/>
    <x v="2"/>
    <n v="69735.0965391137"/>
    <n v="16"/>
    <n v="44633.859835116273"/>
    <n v="25101.236703997431"/>
  </r>
  <r>
    <s v="ORD100300"/>
    <d v="2022-06-01T00:00:00"/>
    <x v="0"/>
    <n v="6"/>
    <x v="2"/>
    <x v="0"/>
    <x v="2"/>
    <n v="18271.9336963512"/>
    <n v="4"/>
    <n v="11824.308598788009"/>
    <n v="6447.6250975631901"/>
  </r>
  <r>
    <s v="ORD100301"/>
    <d v="2022-06-01T00:00:00"/>
    <x v="0"/>
    <n v="6"/>
    <x v="2"/>
    <x v="1"/>
    <x v="2"/>
    <n v="46183.70837781435"/>
    <n v="11"/>
    <n v="30429.240245434328"/>
    <n v="15754.46813238002"/>
  </r>
  <r>
    <s v="ORD100302"/>
    <d v="2022-06-01T00:00:00"/>
    <x v="0"/>
    <n v="6"/>
    <x v="3"/>
    <x v="0"/>
    <x v="2"/>
    <n v="12079.9484171883"/>
    <n v="3"/>
    <n v="7784.2304161515294"/>
    <n v="4295.7180010367729"/>
  </r>
  <r>
    <s v="ORD100303"/>
    <d v="2022-06-01T00:00:00"/>
    <x v="0"/>
    <n v="6"/>
    <x v="3"/>
    <x v="1"/>
    <x v="2"/>
    <n v="34580.948931609331"/>
    <n v="8"/>
    <n v="22255.961253485679"/>
    <n v="12324.987678123651"/>
  </r>
  <r>
    <s v="ORD100304"/>
    <d v="2022-06-01T00:00:00"/>
    <x v="0"/>
    <n v="6"/>
    <x v="0"/>
    <x v="0"/>
    <x v="3"/>
    <n v="30644.959134783381"/>
    <n v="36"/>
    <n v="14307.414648876769"/>
    <n v="16337.54448590661"/>
  </r>
  <r>
    <s v="ORD100305"/>
    <d v="2022-06-01T00:00:00"/>
    <x v="0"/>
    <n v="6"/>
    <x v="0"/>
    <x v="1"/>
    <x v="3"/>
    <n v="77008.276766084775"/>
    <n v="91"/>
    <n v="35213.612575466948"/>
    <n v="41794.664190617827"/>
  </r>
  <r>
    <s v="ORD100306"/>
    <d v="2022-06-01T00:00:00"/>
    <x v="0"/>
    <n v="6"/>
    <x v="1"/>
    <x v="0"/>
    <x v="3"/>
    <n v="26909.93163822409"/>
    <n v="32"/>
    <n v="13007.065246102849"/>
    <n v="13902.86639212123"/>
  </r>
  <r>
    <s v="ORD100307"/>
    <d v="2022-06-01T00:00:00"/>
    <x v="0"/>
    <n v="6"/>
    <x v="1"/>
    <x v="1"/>
    <x v="3"/>
    <n v="64975.207747055982"/>
    <n v="76"/>
    <n v="31134.866742130202"/>
    <n v="33840.34100492578"/>
  </r>
  <r>
    <s v="ORD100308"/>
    <d v="2022-06-01T00:00:00"/>
    <x v="0"/>
    <n v="6"/>
    <x v="2"/>
    <x v="0"/>
    <x v="3"/>
    <n v="16760.565199199831"/>
    <n v="20"/>
    <n v="7970.524955830052"/>
    <n v="8790.0402433697745"/>
  </r>
  <r>
    <s v="ORD100309"/>
    <d v="2022-06-01T00:00:00"/>
    <x v="0"/>
    <n v="6"/>
    <x v="2"/>
    <x v="1"/>
    <x v="3"/>
    <n v="43159.638461355651"/>
    <n v="51"/>
    <n v="20807.438698350481"/>
    <n v="22352.19976300517"/>
  </r>
  <r>
    <s v="ORD100310"/>
    <d v="2022-06-01T00:00:00"/>
    <x v="0"/>
    <n v="6"/>
    <x v="3"/>
    <x v="0"/>
    <x v="3"/>
    <n v="12197.9557630252"/>
    <n v="14"/>
    <n v="5848.6527968281071"/>
    <n v="6349.3029661970968"/>
  </r>
  <r>
    <s v="ORD100311"/>
    <d v="2022-06-01T00:00:00"/>
    <x v="0"/>
    <n v="6"/>
    <x v="3"/>
    <x v="1"/>
    <x v="3"/>
    <n v="31409.420674042529"/>
    <n v="37"/>
    <n v="15382.575989665531"/>
    <n v="16026.844684377"/>
  </r>
  <r>
    <s v="ORD100312"/>
    <d v="2022-06-01T00:00:00"/>
    <x v="0"/>
    <n v="6"/>
    <x v="0"/>
    <x v="0"/>
    <x v="4"/>
    <n v="24727.4115942114"/>
    <n v="34"/>
    <n v="13621.156435749799"/>
    <n v="11106.255158461599"/>
  </r>
  <r>
    <s v="ORD100313"/>
    <d v="2022-06-01T00:00:00"/>
    <x v="0"/>
    <n v="6"/>
    <x v="0"/>
    <x v="1"/>
    <x v="4"/>
    <n v="67679.889391482109"/>
    <n v="94"/>
    <n v="36723.477480672191"/>
    <n v="30956.411910809918"/>
  </r>
  <r>
    <s v="ORD100314"/>
    <d v="2022-06-01T00:00:00"/>
    <x v="0"/>
    <n v="6"/>
    <x v="1"/>
    <x v="0"/>
    <x v="4"/>
    <n v="22707.903705308399"/>
    <n v="32"/>
    <n v="12711.944574024321"/>
    <n v="9995.9591312840839"/>
  </r>
  <r>
    <s v="ORD100315"/>
    <d v="2022-06-01T00:00:00"/>
    <x v="0"/>
    <n v="6"/>
    <x v="1"/>
    <x v="1"/>
    <x v="4"/>
    <n v="52237.878290586777"/>
    <n v="73"/>
    <n v="28618.542639827901"/>
    <n v="23619.33565075888"/>
  </r>
  <r>
    <s v="ORD100316"/>
    <d v="2022-06-01T00:00:00"/>
    <x v="0"/>
    <n v="6"/>
    <x v="2"/>
    <x v="0"/>
    <x v="4"/>
    <n v="14464.536927152811"/>
    <n v="20"/>
    <n v="8030.8947920483861"/>
    <n v="6433.6421351044264"/>
  </r>
  <r>
    <s v="ORD100317"/>
    <d v="2022-06-01T00:00:00"/>
    <x v="0"/>
    <n v="6"/>
    <x v="2"/>
    <x v="1"/>
    <x v="4"/>
    <n v="36106.226991519958"/>
    <n v="50"/>
    <n v="19687.77360200879"/>
    <n v="16418.453389511171"/>
  </r>
  <r>
    <s v="ORD100318"/>
    <d v="2022-06-01T00:00:00"/>
    <x v="0"/>
    <n v="6"/>
    <x v="3"/>
    <x v="0"/>
    <x v="4"/>
    <n v="10683.27409323656"/>
    <n v="15"/>
    <n v="5807.0721918439658"/>
    <n v="4876.2019013925919"/>
  </r>
  <r>
    <s v="ORD100319"/>
    <d v="2022-06-01T00:00:00"/>
    <x v="0"/>
    <n v="6"/>
    <x v="3"/>
    <x v="1"/>
    <x v="4"/>
    <n v="28309.382603315778"/>
    <n v="39"/>
    <n v="15593.74966307425"/>
    <n v="12715.63294024153"/>
  </r>
  <r>
    <s v="ORD100320"/>
    <d v="2022-06-01T00:00:00"/>
    <x v="0"/>
    <n v="6"/>
    <x v="0"/>
    <x v="0"/>
    <x v="5"/>
    <n v="23456.248354376119"/>
    <n v="4"/>
    <n v="16188.54868968423"/>
    <n v="7267.6996646918869"/>
  </r>
  <r>
    <s v="ORD100321"/>
    <d v="2022-06-01T00:00:00"/>
    <x v="0"/>
    <n v="6"/>
    <x v="0"/>
    <x v="1"/>
    <x v="5"/>
    <n v="59879.997943072187"/>
    <n v="11"/>
    <n v="41674.050541003497"/>
    <n v="18205.94740206869"/>
  </r>
  <r>
    <s v="ORD100322"/>
    <d v="2022-06-01T00:00:00"/>
    <x v="0"/>
    <n v="6"/>
    <x v="1"/>
    <x v="0"/>
    <x v="5"/>
    <n v="18304.34146322892"/>
    <n v="3"/>
    <n v="12568.9217053007"/>
    <n v="5735.4197579282154"/>
  </r>
  <r>
    <s v="ORD100323"/>
    <d v="2022-06-01T00:00:00"/>
    <x v="0"/>
    <n v="6"/>
    <x v="1"/>
    <x v="1"/>
    <x v="5"/>
    <n v="46982.581948143466"/>
    <n v="9"/>
    <n v="31346.422147800331"/>
    <n v="15636.15980034315"/>
  </r>
  <r>
    <s v="ORD100324"/>
    <d v="2022-06-01T00:00:00"/>
    <x v="0"/>
    <n v="6"/>
    <x v="2"/>
    <x v="0"/>
    <x v="5"/>
    <n v="14208.444793190371"/>
    <n v="3"/>
    <n v="9727.4557828967318"/>
    <n v="4480.9890102936351"/>
  </r>
  <r>
    <s v="ORD100325"/>
    <d v="2022-06-01T00:00:00"/>
    <x v="0"/>
    <n v="6"/>
    <x v="2"/>
    <x v="1"/>
    <x v="5"/>
    <n v="32875.688119714468"/>
    <n v="6"/>
    <n v="23008.353620703649"/>
    <n v="9867.3344990108199"/>
  </r>
  <r>
    <s v="ORD100326"/>
    <d v="2022-06-01T00:00:00"/>
    <x v="0"/>
    <n v="6"/>
    <x v="3"/>
    <x v="0"/>
    <x v="5"/>
    <n v="11203.196179466901"/>
    <n v="2"/>
    <n v="7688.8273569010289"/>
    <n v="3514.3688225658661"/>
  </r>
  <r>
    <s v="ORD100327"/>
    <d v="2022-06-01T00:00:00"/>
    <x v="0"/>
    <n v="6"/>
    <x v="3"/>
    <x v="1"/>
    <x v="5"/>
    <n v="24670.250397551608"/>
    <n v="5"/>
    <n v="16946.979788606379"/>
    <n v="7723.2706089452258"/>
  </r>
  <r>
    <s v="ORD100328"/>
    <d v="2022-06-01T00:00:00"/>
    <x v="0"/>
    <n v="6"/>
    <x v="0"/>
    <x v="0"/>
    <x v="6"/>
    <n v="49978.019713690694"/>
    <n v="14"/>
    <n v="30010.56730521391"/>
    <n v="19967.45240847678"/>
  </r>
  <r>
    <s v="ORD100329"/>
    <d v="2022-06-01T00:00:00"/>
    <x v="0"/>
    <n v="6"/>
    <x v="0"/>
    <x v="1"/>
    <x v="6"/>
    <n v="126778.8210293226"/>
    <n v="36"/>
    <n v="73840.910005396116"/>
    <n v="52937.911023926441"/>
  </r>
  <r>
    <s v="ORD100330"/>
    <d v="2022-06-01T00:00:00"/>
    <x v="0"/>
    <n v="6"/>
    <x v="1"/>
    <x v="0"/>
    <x v="6"/>
    <n v="39848.811443397703"/>
    <n v="11"/>
    <n v="22857.893104010778"/>
    <n v="16990.91833938691"/>
  </r>
  <r>
    <s v="ORD100331"/>
    <d v="2022-06-01T00:00:00"/>
    <x v="0"/>
    <n v="6"/>
    <x v="1"/>
    <x v="1"/>
    <x v="6"/>
    <n v="108909.8753994563"/>
    <n v="31"/>
    <n v="64071.036858119347"/>
    <n v="44838.838541336991"/>
  </r>
  <r>
    <s v="ORD100332"/>
    <d v="2022-06-01T00:00:00"/>
    <x v="0"/>
    <n v="6"/>
    <x v="2"/>
    <x v="0"/>
    <x v="6"/>
    <n v="25065.195993052439"/>
    <n v="7"/>
    <n v="14659.582218783809"/>
    <n v="10405.613774268621"/>
  </r>
  <r>
    <s v="ORD100333"/>
    <d v="2022-06-01T00:00:00"/>
    <x v="0"/>
    <n v="6"/>
    <x v="2"/>
    <x v="1"/>
    <x v="6"/>
    <n v="67423.192916123779"/>
    <n v="19"/>
    <n v="39087.818304847693"/>
    <n v="28335.374611276089"/>
  </r>
  <r>
    <s v="ORD100334"/>
    <d v="2022-06-01T00:00:00"/>
    <x v="0"/>
    <n v="6"/>
    <x v="3"/>
    <x v="0"/>
    <x v="6"/>
    <n v="18001.446800866699"/>
    <n v="5"/>
    <n v="10587.32557218737"/>
    <n v="7414.1212286793343"/>
  </r>
  <r>
    <s v="ORD100335"/>
    <d v="2022-06-01T00:00:00"/>
    <x v="0"/>
    <n v="6"/>
    <x v="3"/>
    <x v="1"/>
    <x v="6"/>
    <n v="48152.695663236897"/>
    <n v="14"/>
    <n v="28661.4373993423"/>
    <n v="19491.258263894601"/>
  </r>
  <r>
    <s v="ORD100336"/>
    <d v="2022-07-01T00:00:00"/>
    <x v="0"/>
    <n v="7"/>
    <x v="0"/>
    <x v="0"/>
    <x v="0"/>
    <n v="51333.24513426968"/>
    <n v="10"/>
    <n v="31821.290761238979"/>
    <n v="19511.954373030701"/>
  </r>
  <r>
    <s v="ORD100337"/>
    <d v="2022-07-01T00:00:00"/>
    <x v="0"/>
    <n v="7"/>
    <x v="0"/>
    <x v="1"/>
    <x v="0"/>
    <n v="115256.02673748"/>
    <n v="22"/>
    <n v="71853.593210168736"/>
    <n v="43402.433527311303"/>
  </r>
  <r>
    <s v="ORD100338"/>
    <d v="2022-07-01T00:00:00"/>
    <x v="0"/>
    <n v="7"/>
    <x v="1"/>
    <x v="0"/>
    <x v="0"/>
    <n v="37180.424160545153"/>
    <n v="7"/>
    <n v="23804.3066437979"/>
    <n v="13376.11751674725"/>
  </r>
  <r>
    <s v="ORD100339"/>
    <d v="2022-07-01T00:00:00"/>
    <x v="0"/>
    <n v="7"/>
    <x v="1"/>
    <x v="1"/>
    <x v="0"/>
    <n v="99841.544702646555"/>
    <n v="19"/>
    <n v="61519.711239789751"/>
    <n v="38321.833462856797"/>
  </r>
  <r>
    <s v="ORD100340"/>
    <d v="2022-07-01T00:00:00"/>
    <x v="0"/>
    <n v="7"/>
    <x v="2"/>
    <x v="0"/>
    <x v="0"/>
    <n v="25455.976775102939"/>
    <n v="5"/>
    <n v="15861.78130255231"/>
    <n v="9594.195472550633"/>
  </r>
  <r>
    <s v="ORD100341"/>
    <d v="2022-07-01T00:00:00"/>
    <x v="0"/>
    <n v="7"/>
    <x v="2"/>
    <x v="1"/>
    <x v="0"/>
    <n v="63123.897161042238"/>
    <n v="12"/>
    <n v="38778.094423465693"/>
    <n v="24345.802737576549"/>
  </r>
  <r>
    <s v="ORD100342"/>
    <d v="2022-07-01T00:00:00"/>
    <x v="0"/>
    <n v="7"/>
    <x v="3"/>
    <x v="0"/>
    <x v="0"/>
    <n v="20115.49956390744"/>
    <n v="4"/>
    <n v="12281.611303511159"/>
    <n v="7833.8882603962847"/>
  </r>
  <r>
    <s v="ORD100343"/>
    <d v="2022-07-01T00:00:00"/>
    <x v="0"/>
    <n v="7"/>
    <x v="3"/>
    <x v="1"/>
    <x v="0"/>
    <n v="45306.741541754738"/>
    <n v="9"/>
    <n v="27794.436855636141"/>
    <n v="17512.304686118601"/>
  </r>
  <r>
    <s v="ORD100344"/>
    <d v="2022-07-01T00:00:00"/>
    <x v="0"/>
    <n v="7"/>
    <x v="0"/>
    <x v="0"/>
    <x v="1"/>
    <n v="44577.470074607889"/>
    <n v="7"/>
    <n v="29167.589120008961"/>
    <n v="15409.88095459893"/>
  </r>
  <r>
    <s v="ORD100345"/>
    <d v="2022-07-01T00:00:00"/>
    <x v="0"/>
    <n v="7"/>
    <x v="0"/>
    <x v="1"/>
    <x v="1"/>
    <n v="130715.2839185514"/>
    <n v="21"/>
    <n v="86830.316479789952"/>
    <n v="43884.967438761407"/>
  </r>
  <r>
    <s v="ORD100346"/>
    <d v="2022-07-01T00:00:00"/>
    <x v="0"/>
    <n v="7"/>
    <x v="1"/>
    <x v="0"/>
    <x v="1"/>
    <n v="41844.830533776803"/>
    <n v="7"/>
    <n v="28785.352689373929"/>
    <n v="13059.477844402871"/>
  </r>
  <r>
    <s v="ORD100347"/>
    <d v="2022-07-01T00:00:00"/>
    <x v="0"/>
    <n v="7"/>
    <x v="1"/>
    <x v="1"/>
    <x v="1"/>
    <n v="108523.6633738034"/>
    <n v="18"/>
    <n v="70702.450863457896"/>
    <n v="37821.212510345489"/>
  </r>
  <r>
    <s v="ORD100348"/>
    <d v="2022-07-01T00:00:00"/>
    <x v="0"/>
    <n v="7"/>
    <x v="2"/>
    <x v="0"/>
    <x v="1"/>
    <n v="26453.493687001839"/>
    <n v="4"/>
    <n v="17328.374038104921"/>
    <n v="9125.1196488969217"/>
  </r>
  <r>
    <s v="ORD100349"/>
    <d v="2022-07-01T00:00:00"/>
    <x v="0"/>
    <n v="7"/>
    <x v="2"/>
    <x v="1"/>
    <x v="1"/>
    <n v="76846.73805102105"/>
    <n v="13"/>
    <n v="50661.219637549693"/>
    <n v="26185.51841347136"/>
  </r>
  <r>
    <s v="ORD100350"/>
    <d v="2022-07-01T00:00:00"/>
    <x v="0"/>
    <n v="7"/>
    <x v="3"/>
    <x v="0"/>
    <x v="1"/>
    <n v="20361.789730303171"/>
    <n v="3"/>
    <n v="13534.52419644323"/>
    <n v="6827.2655338599434"/>
  </r>
  <r>
    <s v="ORD100351"/>
    <d v="2022-07-01T00:00:00"/>
    <x v="0"/>
    <n v="7"/>
    <x v="3"/>
    <x v="1"/>
    <x v="1"/>
    <n v="52338.465468581453"/>
    <n v="9"/>
    <n v="34707.258088703813"/>
    <n v="17631.20737987764"/>
  </r>
  <r>
    <s v="ORD100352"/>
    <d v="2022-07-01T00:00:00"/>
    <x v="0"/>
    <n v="7"/>
    <x v="0"/>
    <x v="0"/>
    <x v="2"/>
    <n v="33771.541813136188"/>
    <n v="8"/>
    <n v="22113.361868473108"/>
    <n v="11658.179944663079"/>
  </r>
  <r>
    <s v="ORD100353"/>
    <d v="2022-07-01T00:00:00"/>
    <x v="0"/>
    <n v="7"/>
    <x v="0"/>
    <x v="1"/>
    <x v="2"/>
    <n v="82946.578587600568"/>
    <n v="19"/>
    <n v="50767.284491178842"/>
    <n v="32179.294096421731"/>
  </r>
  <r>
    <s v="ORD100354"/>
    <d v="2022-07-01T00:00:00"/>
    <x v="0"/>
    <n v="7"/>
    <x v="1"/>
    <x v="0"/>
    <x v="2"/>
    <n v="25551.888780263929"/>
    <n v="6"/>
    <n v="15650.59749248793"/>
    <n v="9901.2912877759973"/>
  </r>
  <r>
    <s v="ORD100355"/>
    <d v="2022-07-01T00:00:00"/>
    <x v="0"/>
    <n v="7"/>
    <x v="1"/>
    <x v="1"/>
    <x v="2"/>
    <n v="66406.265145650847"/>
    <n v="15"/>
    <n v="42120.662805108987"/>
    <n v="24285.602340541849"/>
  </r>
  <r>
    <s v="ORD100356"/>
    <d v="2022-07-01T00:00:00"/>
    <x v="0"/>
    <n v="7"/>
    <x v="2"/>
    <x v="0"/>
    <x v="2"/>
    <n v="19034.915479203471"/>
    <n v="4"/>
    <n v="12422.964334756631"/>
    <n v="6611.9511444468462"/>
  </r>
  <r>
    <s v="ORD100357"/>
    <d v="2022-07-01T00:00:00"/>
    <x v="0"/>
    <n v="7"/>
    <x v="2"/>
    <x v="1"/>
    <x v="2"/>
    <n v="47123.646926505557"/>
    <n v="11"/>
    <n v="29309.19943395806"/>
    <n v="17814.447492547501"/>
  </r>
  <r>
    <s v="ORD100358"/>
    <d v="2022-07-01T00:00:00"/>
    <x v="0"/>
    <n v="7"/>
    <x v="3"/>
    <x v="0"/>
    <x v="2"/>
    <n v="13325.32657616663"/>
    <n v="3"/>
    <n v="8066.5140988879111"/>
    <n v="5258.8124772787214"/>
  </r>
  <r>
    <s v="ORD100359"/>
    <d v="2022-07-01T00:00:00"/>
    <x v="0"/>
    <n v="7"/>
    <x v="3"/>
    <x v="1"/>
    <x v="2"/>
    <n v="37316.211479394173"/>
    <n v="9"/>
    <n v="24127.915524266809"/>
    <n v="13188.29595512736"/>
  </r>
  <r>
    <s v="ORD100360"/>
    <d v="2022-07-01T00:00:00"/>
    <x v="0"/>
    <n v="7"/>
    <x v="0"/>
    <x v="0"/>
    <x v="3"/>
    <n v="31303.914693690851"/>
    <n v="37"/>
    <n v="15091.780004498931"/>
    <n v="16212.134689191929"/>
  </r>
  <r>
    <s v="ORD100361"/>
    <d v="2022-07-01T00:00:00"/>
    <x v="0"/>
    <n v="7"/>
    <x v="0"/>
    <x v="1"/>
    <x v="3"/>
    <n v="78540.275452343718"/>
    <n v="92"/>
    <n v="36959.529896675973"/>
    <n v="41580.745555667752"/>
  </r>
  <r>
    <s v="ORD100362"/>
    <d v="2022-07-01T00:00:00"/>
    <x v="0"/>
    <n v="7"/>
    <x v="1"/>
    <x v="0"/>
    <x v="3"/>
    <n v="25013.235700257799"/>
    <n v="29"/>
    <n v="11793.363879557721"/>
    <n v="13219.871820700069"/>
  </r>
  <r>
    <s v="ORD100363"/>
    <d v="2022-07-01T00:00:00"/>
    <x v="0"/>
    <n v="7"/>
    <x v="1"/>
    <x v="1"/>
    <x v="3"/>
    <n v="57465.941514445432"/>
    <n v="68"/>
    <n v="27102.168608960608"/>
    <n v="30363.772905484821"/>
  </r>
  <r>
    <s v="ORD100364"/>
    <d v="2022-07-01T00:00:00"/>
    <x v="0"/>
    <n v="7"/>
    <x v="2"/>
    <x v="0"/>
    <x v="3"/>
    <n v="17459.162918942289"/>
    <n v="21"/>
    <n v="8397.0721406551838"/>
    <n v="9062.0907782871091"/>
  </r>
  <r>
    <s v="ORD100365"/>
    <d v="2022-07-01T00:00:00"/>
    <x v="0"/>
    <n v="7"/>
    <x v="2"/>
    <x v="1"/>
    <x v="3"/>
    <n v="41189.749441810098"/>
    <n v="48"/>
    <n v="19548.187005337961"/>
    <n v="21641.562436472141"/>
  </r>
  <r>
    <s v="ORD100366"/>
    <d v="2022-07-01T00:00:00"/>
    <x v="0"/>
    <n v="7"/>
    <x v="3"/>
    <x v="0"/>
    <x v="3"/>
    <n v="13652.996220396"/>
    <n v="16"/>
    <n v="6611.7188981411127"/>
    <n v="7041.2773222548858"/>
  </r>
  <r>
    <s v="ORD100367"/>
    <d v="2022-07-01T00:00:00"/>
    <x v="0"/>
    <n v="7"/>
    <x v="3"/>
    <x v="1"/>
    <x v="3"/>
    <n v="30259.84896375555"/>
    <n v="36"/>
    <n v="13778.39936339636"/>
    <n v="16481.449600359188"/>
  </r>
  <r>
    <s v="ORD100368"/>
    <d v="2022-07-01T00:00:00"/>
    <x v="0"/>
    <n v="7"/>
    <x v="0"/>
    <x v="0"/>
    <x v="4"/>
    <n v="27773.181365820448"/>
    <n v="39"/>
    <n v="15039.654478888269"/>
    <n v="12733.526886932181"/>
  </r>
  <r>
    <s v="ORD100369"/>
    <d v="2022-07-01T00:00:00"/>
    <x v="0"/>
    <n v="7"/>
    <x v="0"/>
    <x v="1"/>
    <x v="4"/>
    <n v="66509.48597122576"/>
    <n v="92"/>
    <n v="35838.773910025207"/>
    <n v="30670.712061200549"/>
  </r>
  <r>
    <s v="ORD100370"/>
    <d v="2022-07-01T00:00:00"/>
    <x v="0"/>
    <n v="7"/>
    <x v="1"/>
    <x v="0"/>
    <x v="4"/>
    <n v="23545.943792557231"/>
    <n v="33"/>
    <n v="12890.514832179901"/>
    <n v="10655.42896037733"/>
  </r>
  <r>
    <s v="ORD100371"/>
    <d v="2022-07-01T00:00:00"/>
    <x v="0"/>
    <n v="7"/>
    <x v="1"/>
    <x v="1"/>
    <x v="4"/>
    <n v="54802.257896526316"/>
    <n v="76"/>
    <n v="29849.328146077369"/>
    <n v="24952.92975044894"/>
  </r>
  <r>
    <s v="ORD100372"/>
    <d v="2022-07-01T00:00:00"/>
    <x v="0"/>
    <n v="7"/>
    <x v="2"/>
    <x v="0"/>
    <x v="4"/>
    <n v="14820.845352371791"/>
    <n v="21"/>
    <n v="8268.5296646486331"/>
    <n v="6552.315687723154"/>
  </r>
  <r>
    <s v="ORD100373"/>
    <d v="2022-07-01T00:00:00"/>
    <x v="0"/>
    <n v="7"/>
    <x v="2"/>
    <x v="1"/>
    <x v="4"/>
    <n v="36234.326864671682"/>
    <n v="50"/>
    <n v="19261.89879384467"/>
    <n v="16972.428070827009"/>
  </r>
  <r>
    <s v="ORD100374"/>
    <d v="2022-07-01T00:00:00"/>
    <x v="0"/>
    <n v="7"/>
    <x v="3"/>
    <x v="0"/>
    <x v="4"/>
    <n v="10423.191200542709"/>
    <n v="14"/>
    <n v="5737.4494072208163"/>
    <n v="4685.7417933218949"/>
  </r>
  <r>
    <s v="ORD100375"/>
    <d v="2022-07-01T00:00:00"/>
    <x v="0"/>
    <n v="7"/>
    <x v="3"/>
    <x v="1"/>
    <x v="4"/>
    <n v="30674.656333450781"/>
    <n v="43"/>
    <n v="17040.61608461256"/>
    <n v="13634.04024883823"/>
  </r>
  <r>
    <s v="ORD100376"/>
    <d v="2022-07-01T00:00:00"/>
    <x v="0"/>
    <n v="7"/>
    <x v="0"/>
    <x v="0"/>
    <x v="5"/>
    <n v="20392.382882618749"/>
    <n v="4"/>
    <n v="14540.983589329629"/>
    <n v="5851.399293289116"/>
  </r>
  <r>
    <s v="ORD100377"/>
    <d v="2022-07-01T00:00:00"/>
    <x v="0"/>
    <n v="7"/>
    <x v="0"/>
    <x v="1"/>
    <x v="5"/>
    <n v="53504.06716335407"/>
    <n v="10"/>
    <n v="36597.662971894213"/>
    <n v="16906.40419145986"/>
  </r>
  <r>
    <s v="ORD100378"/>
    <d v="2022-07-01T00:00:00"/>
    <x v="0"/>
    <n v="7"/>
    <x v="1"/>
    <x v="0"/>
    <x v="5"/>
    <n v="19880.44569890439"/>
    <n v="4"/>
    <n v="13797.621272527949"/>
    <n v="6082.8244263764318"/>
  </r>
  <r>
    <s v="ORD100379"/>
    <d v="2022-07-01T00:00:00"/>
    <x v="0"/>
    <n v="7"/>
    <x v="1"/>
    <x v="1"/>
    <x v="5"/>
    <n v="45832.355529083477"/>
    <n v="8"/>
    <n v="30597.498327104309"/>
    <n v="15234.857201979181"/>
  </r>
  <r>
    <s v="ORD100380"/>
    <d v="2022-07-01T00:00:00"/>
    <x v="0"/>
    <n v="7"/>
    <x v="2"/>
    <x v="0"/>
    <x v="5"/>
    <n v="13493.38717620173"/>
    <n v="2"/>
    <n v="8909.5743092066405"/>
    <n v="4583.8128669950911"/>
  </r>
  <r>
    <s v="ORD100381"/>
    <d v="2022-07-01T00:00:00"/>
    <x v="0"/>
    <n v="7"/>
    <x v="2"/>
    <x v="1"/>
    <x v="5"/>
    <n v="30830.172145268829"/>
    <n v="6"/>
    <n v="21596.291959946921"/>
    <n v="9233.8801853219047"/>
  </r>
  <r>
    <s v="ORD100382"/>
    <d v="2022-07-01T00:00:00"/>
    <x v="0"/>
    <n v="7"/>
    <x v="3"/>
    <x v="0"/>
    <x v="5"/>
    <n v="8029.1714750768342"/>
    <n v="1"/>
    <n v="5539.5738324777058"/>
    <n v="2489.597642599128"/>
  </r>
  <r>
    <s v="ORD100383"/>
    <d v="2022-07-01T00:00:00"/>
    <x v="0"/>
    <n v="7"/>
    <x v="3"/>
    <x v="1"/>
    <x v="5"/>
    <n v="23525.926651301201"/>
    <n v="4"/>
    <n v="16577.241379872819"/>
    <n v="6948.685271428385"/>
  </r>
  <r>
    <s v="ORD100384"/>
    <d v="2022-07-01T00:00:00"/>
    <x v="0"/>
    <n v="7"/>
    <x v="0"/>
    <x v="0"/>
    <x v="6"/>
    <n v="48969.597444969397"/>
    <n v="14"/>
    <n v="28177.81453481226"/>
    <n v="20791.78291015713"/>
  </r>
  <r>
    <s v="ORD100385"/>
    <d v="2022-07-01T00:00:00"/>
    <x v="0"/>
    <n v="7"/>
    <x v="0"/>
    <x v="1"/>
    <x v="6"/>
    <n v="126228.68255301339"/>
    <n v="36"/>
    <n v="75171.876796090102"/>
    <n v="51056.805756923291"/>
  </r>
  <r>
    <s v="ORD100386"/>
    <d v="2022-07-01T00:00:00"/>
    <x v="0"/>
    <n v="7"/>
    <x v="1"/>
    <x v="0"/>
    <x v="6"/>
    <n v="35998.563973255747"/>
    <n v="10"/>
    <n v="21953.610680416739"/>
    <n v="14044.953292839011"/>
  </r>
  <r>
    <s v="ORD100387"/>
    <d v="2022-07-01T00:00:00"/>
    <x v="0"/>
    <n v="7"/>
    <x v="1"/>
    <x v="1"/>
    <x v="6"/>
    <n v="93184.49302824818"/>
    <n v="27"/>
    <n v="55394.199663713531"/>
    <n v="37790.293364534649"/>
  </r>
  <r>
    <s v="ORD100388"/>
    <d v="2022-07-01T00:00:00"/>
    <x v="0"/>
    <n v="7"/>
    <x v="2"/>
    <x v="0"/>
    <x v="6"/>
    <n v="26584.50484230783"/>
    <n v="8"/>
    <n v="15762.9444057807"/>
    <n v="10821.560436527119"/>
  </r>
  <r>
    <s v="ORD100389"/>
    <d v="2022-07-01T00:00:00"/>
    <x v="0"/>
    <n v="7"/>
    <x v="2"/>
    <x v="1"/>
    <x v="6"/>
    <n v="65071.95107051298"/>
    <n v="19"/>
    <n v="38398.363932071341"/>
    <n v="26673.587138441639"/>
  </r>
  <r>
    <s v="ORD100390"/>
    <d v="2022-07-01T00:00:00"/>
    <x v="0"/>
    <n v="7"/>
    <x v="3"/>
    <x v="0"/>
    <x v="6"/>
    <n v="19398.931734914979"/>
    <n v="6"/>
    <n v="11121.74198036228"/>
    <n v="8277.1897545526972"/>
  </r>
  <r>
    <s v="ORD100391"/>
    <d v="2022-07-01T00:00:00"/>
    <x v="0"/>
    <n v="7"/>
    <x v="3"/>
    <x v="1"/>
    <x v="6"/>
    <n v="53556.315281415351"/>
    <n v="15"/>
    <n v="32369.232616103389"/>
    <n v="21187.082665311969"/>
  </r>
  <r>
    <s v="ORD100392"/>
    <d v="2022-08-01T00:00:00"/>
    <x v="0"/>
    <n v="8"/>
    <x v="0"/>
    <x v="0"/>
    <x v="0"/>
    <n v="45410.763000690349"/>
    <n v="9"/>
    <n v="27845.100111994841"/>
    <n v="17565.662888695511"/>
  </r>
  <r>
    <s v="ORD100393"/>
    <d v="2022-08-01T00:00:00"/>
    <x v="0"/>
    <n v="8"/>
    <x v="0"/>
    <x v="1"/>
    <x v="0"/>
    <n v="108875.9392103976"/>
    <n v="21"/>
    <n v="68116.057456484064"/>
    <n v="40759.881753913513"/>
  </r>
  <r>
    <s v="ORD100394"/>
    <d v="2022-08-01T00:00:00"/>
    <x v="0"/>
    <n v="8"/>
    <x v="1"/>
    <x v="0"/>
    <x v="0"/>
    <n v="34582.74029189023"/>
    <n v="7"/>
    <n v="20838.056235047159"/>
    <n v="13744.684056843071"/>
  </r>
  <r>
    <s v="ORD100395"/>
    <d v="2022-08-01T00:00:00"/>
    <x v="0"/>
    <n v="8"/>
    <x v="1"/>
    <x v="1"/>
    <x v="0"/>
    <n v="85679.661922852712"/>
    <n v="16"/>
    <n v="51993.608720946257"/>
    <n v="33686.053201906449"/>
  </r>
  <r>
    <s v="ORD100396"/>
    <d v="2022-08-01T00:00:00"/>
    <x v="0"/>
    <n v="8"/>
    <x v="2"/>
    <x v="0"/>
    <x v="0"/>
    <n v="22603.826862083519"/>
    <n v="4"/>
    <n v="14376.38594737216"/>
    <n v="8227.4409147113529"/>
  </r>
  <r>
    <s v="ORD100397"/>
    <d v="2022-08-01T00:00:00"/>
    <x v="0"/>
    <n v="8"/>
    <x v="2"/>
    <x v="1"/>
    <x v="0"/>
    <n v="61705.179091927952"/>
    <n v="12"/>
    <n v="38018.048331674079"/>
    <n v="23687.130760253869"/>
  </r>
  <r>
    <s v="ORD100398"/>
    <d v="2022-08-01T00:00:00"/>
    <x v="0"/>
    <n v="8"/>
    <x v="3"/>
    <x v="0"/>
    <x v="0"/>
    <n v="16975.38960185922"/>
    <n v="3"/>
    <n v="10800.057831388611"/>
    <n v="6175.3317704706114"/>
  </r>
  <r>
    <s v="ORD100399"/>
    <d v="2022-08-01T00:00:00"/>
    <x v="0"/>
    <n v="8"/>
    <x v="3"/>
    <x v="1"/>
    <x v="0"/>
    <n v="47210.725939803851"/>
    <n v="9"/>
    <n v="29229.432562231679"/>
    <n v="17981.293377572169"/>
  </r>
  <r>
    <s v="ORD100400"/>
    <d v="2022-08-01T00:00:00"/>
    <x v="0"/>
    <n v="8"/>
    <x v="0"/>
    <x v="0"/>
    <x v="1"/>
    <n v="49021.258602882343"/>
    <n v="8"/>
    <n v="31281.35997096925"/>
    <n v="17739.8986319131"/>
  </r>
  <r>
    <s v="ORD100401"/>
    <d v="2022-08-01T00:00:00"/>
    <x v="0"/>
    <n v="8"/>
    <x v="0"/>
    <x v="1"/>
    <x v="1"/>
    <n v="109382.2043629495"/>
    <n v="18"/>
    <n v="73351.461567079808"/>
    <n v="36030.742795869737"/>
  </r>
  <r>
    <s v="ORD100402"/>
    <d v="2022-08-01T00:00:00"/>
    <x v="0"/>
    <n v="8"/>
    <x v="1"/>
    <x v="0"/>
    <x v="1"/>
    <n v="35938.676636633398"/>
    <n v="6"/>
    <n v="23467.671182990001"/>
    <n v="12471.0054536434"/>
  </r>
  <r>
    <s v="ORD100403"/>
    <d v="2022-08-01T00:00:00"/>
    <x v="0"/>
    <n v="8"/>
    <x v="1"/>
    <x v="1"/>
    <x v="1"/>
    <n v="97412.446106864954"/>
    <n v="16"/>
    <n v="65100.778948870167"/>
    <n v="32311.66715799478"/>
  </r>
  <r>
    <s v="ORD100404"/>
    <d v="2022-08-01T00:00:00"/>
    <x v="0"/>
    <n v="8"/>
    <x v="2"/>
    <x v="0"/>
    <x v="1"/>
    <n v="25755.510732985909"/>
    <n v="4"/>
    <n v="17006.350990752559"/>
    <n v="8749.1597422333543"/>
  </r>
  <r>
    <s v="ORD100405"/>
    <d v="2022-08-01T00:00:00"/>
    <x v="0"/>
    <n v="8"/>
    <x v="2"/>
    <x v="1"/>
    <x v="1"/>
    <n v="66785.32752113376"/>
    <n v="11"/>
    <n v="42853.991207615167"/>
    <n v="23931.33631351859"/>
  </r>
  <r>
    <s v="ORD100406"/>
    <d v="2022-08-01T00:00:00"/>
    <x v="0"/>
    <n v="8"/>
    <x v="3"/>
    <x v="0"/>
    <x v="1"/>
    <n v="19769.67137742601"/>
    <n v="3"/>
    <n v="13086.56998492361"/>
    <n v="6683.1013925024054"/>
  </r>
  <r>
    <s v="ORD100407"/>
    <d v="2022-08-01T00:00:00"/>
    <x v="0"/>
    <n v="8"/>
    <x v="3"/>
    <x v="1"/>
    <x v="1"/>
    <n v="48587.233470058207"/>
    <n v="8"/>
    <n v="33335.269960172671"/>
    <n v="15251.96350988554"/>
  </r>
  <r>
    <s v="ORD100408"/>
    <d v="2022-08-01T00:00:00"/>
    <x v="0"/>
    <n v="8"/>
    <x v="0"/>
    <x v="0"/>
    <x v="2"/>
    <n v="31129.1056964214"/>
    <n v="7"/>
    <n v="20099.416187362189"/>
    <n v="11029.68950905921"/>
  </r>
  <r>
    <s v="ORD100409"/>
    <d v="2022-08-01T00:00:00"/>
    <x v="0"/>
    <n v="8"/>
    <x v="0"/>
    <x v="1"/>
    <x v="2"/>
    <n v="83584.901309998153"/>
    <n v="19"/>
    <n v="53438.953105436507"/>
    <n v="30145.94820456165"/>
  </r>
  <r>
    <s v="ORD100410"/>
    <d v="2022-08-01T00:00:00"/>
    <x v="0"/>
    <n v="8"/>
    <x v="1"/>
    <x v="0"/>
    <x v="2"/>
    <n v="22890.270232251889"/>
    <n v="5"/>
    <n v="14933.336608889989"/>
    <n v="7956.933623361896"/>
  </r>
  <r>
    <s v="ORD100411"/>
    <d v="2022-08-01T00:00:00"/>
    <x v="0"/>
    <n v="8"/>
    <x v="1"/>
    <x v="1"/>
    <x v="2"/>
    <n v="70360.065698935359"/>
    <n v="16"/>
    <n v="45201.198941362098"/>
    <n v="25158.866757573251"/>
  </r>
  <r>
    <s v="ORD100412"/>
    <d v="2022-08-01T00:00:00"/>
    <x v="0"/>
    <n v="8"/>
    <x v="2"/>
    <x v="0"/>
    <x v="2"/>
    <n v="18478.552625413799"/>
    <n v="4"/>
    <n v="11870.87784500932"/>
    <n v="6607.6747804044826"/>
  </r>
  <r>
    <s v="ORD100413"/>
    <d v="2022-08-01T00:00:00"/>
    <x v="0"/>
    <n v="8"/>
    <x v="2"/>
    <x v="1"/>
    <x v="2"/>
    <n v="43013.497752128431"/>
    <n v="10"/>
    <n v="26987.721374802852"/>
    <n v="16025.776377325579"/>
  </r>
  <r>
    <s v="ORD100414"/>
    <d v="2022-08-01T00:00:00"/>
    <x v="0"/>
    <n v="8"/>
    <x v="3"/>
    <x v="0"/>
    <x v="2"/>
    <n v="14229.20120455462"/>
    <n v="3"/>
    <n v="9145.0212323450141"/>
    <n v="5084.1799722096039"/>
  </r>
  <r>
    <s v="ORD100415"/>
    <d v="2022-08-01T00:00:00"/>
    <x v="0"/>
    <n v="8"/>
    <x v="3"/>
    <x v="1"/>
    <x v="2"/>
    <n v="37276.523545980846"/>
    <n v="9"/>
    <n v="24301.620929310469"/>
    <n v="12974.90261667039"/>
  </r>
  <r>
    <s v="ORD100416"/>
    <d v="2022-08-01T00:00:00"/>
    <x v="0"/>
    <n v="8"/>
    <x v="0"/>
    <x v="0"/>
    <x v="3"/>
    <n v="35418.373942957391"/>
    <n v="42"/>
    <n v="16744.972141435199"/>
    <n v="18673.401801522192"/>
  </r>
  <r>
    <s v="ORD100417"/>
    <d v="2022-08-01T00:00:00"/>
    <x v="0"/>
    <n v="8"/>
    <x v="0"/>
    <x v="1"/>
    <x v="3"/>
    <n v="73165.920484757648"/>
    <n v="86"/>
    <n v="36020.14192730192"/>
    <n v="37145.778557455727"/>
  </r>
  <r>
    <s v="ORD100418"/>
    <d v="2022-08-01T00:00:00"/>
    <x v="0"/>
    <n v="8"/>
    <x v="1"/>
    <x v="0"/>
    <x v="3"/>
    <n v="25004.6973656673"/>
    <n v="29"/>
    <n v="11982.442512394009"/>
    <n v="13022.25485327328"/>
  </r>
  <r>
    <s v="ORD100419"/>
    <d v="2022-08-01T00:00:00"/>
    <x v="0"/>
    <n v="8"/>
    <x v="1"/>
    <x v="1"/>
    <x v="3"/>
    <n v="64913.981484626383"/>
    <n v="76"/>
    <n v="30660.799545217469"/>
    <n v="34253.181939408911"/>
  </r>
  <r>
    <s v="ORD100420"/>
    <d v="2022-08-01T00:00:00"/>
    <x v="0"/>
    <n v="8"/>
    <x v="2"/>
    <x v="0"/>
    <x v="3"/>
    <n v="14760.19003804358"/>
    <n v="17"/>
    <n v="7212.1172835958178"/>
    <n v="7548.0727544477641"/>
  </r>
  <r>
    <s v="ORD100421"/>
    <d v="2022-08-01T00:00:00"/>
    <x v="0"/>
    <n v="8"/>
    <x v="2"/>
    <x v="1"/>
    <x v="3"/>
    <n v="42918.588384652707"/>
    <n v="50"/>
    <n v="20494.574360192331"/>
    <n v="22424.014024460379"/>
  </r>
  <r>
    <s v="ORD100422"/>
    <d v="2022-08-01T00:00:00"/>
    <x v="0"/>
    <n v="8"/>
    <x v="3"/>
    <x v="0"/>
    <x v="3"/>
    <n v="12109.50841869087"/>
    <n v="14"/>
    <n v="5892.0291615961332"/>
    <n v="6217.4792570947329"/>
  </r>
  <r>
    <s v="ORD100423"/>
    <d v="2022-08-01T00:00:00"/>
    <x v="0"/>
    <n v="8"/>
    <x v="3"/>
    <x v="1"/>
    <x v="3"/>
    <n v="32965.104714305628"/>
    <n v="39"/>
    <n v="15740.152005484289"/>
    <n v="17224.95270882134"/>
  </r>
  <r>
    <s v="ORD100424"/>
    <d v="2022-08-01T00:00:00"/>
    <x v="0"/>
    <n v="8"/>
    <x v="0"/>
    <x v="0"/>
    <x v="4"/>
    <n v="21940.042139105451"/>
    <n v="30"/>
    <n v="12054.028554218339"/>
    <n v="9886.0135848871087"/>
  </r>
  <r>
    <s v="ORD100425"/>
    <d v="2022-08-01T00:00:00"/>
    <x v="0"/>
    <n v="8"/>
    <x v="0"/>
    <x v="1"/>
    <x v="4"/>
    <n v="61236.506394146592"/>
    <n v="85"/>
    <n v="33979.295152605897"/>
    <n v="27257.211241540688"/>
  </r>
  <r>
    <s v="ORD100426"/>
    <d v="2022-08-01T00:00:00"/>
    <x v="0"/>
    <n v="8"/>
    <x v="1"/>
    <x v="0"/>
    <x v="4"/>
    <n v="21288.950617762559"/>
    <n v="30"/>
    <n v="11770.23248139888"/>
    <n v="9518.718136363681"/>
  </r>
  <r>
    <s v="ORD100427"/>
    <d v="2022-08-01T00:00:00"/>
    <x v="0"/>
    <n v="8"/>
    <x v="1"/>
    <x v="1"/>
    <x v="4"/>
    <n v="51313.930867812349"/>
    <n v="71"/>
    <n v="27208.916037013219"/>
    <n v="24105.014830799129"/>
  </r>
  <r>
    <s v="ORD100428"/>
    <d v="2022-08-01T00:00:00"/>
    <x v="0"/>
    <n v="8"/>
    <x v="2"/>
    <x v="0"/>
    <x v="4"/>
    <n v="14283.724350554619"/>
    <n v="20"/>
    <n v="7697.4945813234408"/>
    <n v="6586.2297692311822"/>
  </r>
  <r>
    <s v="ORD100429"/>
    <d v="2022-08-01T00:00:00"/>
    <x v="0"/>
    <n v="8"/>
    <x v="2"/>
    <x v="1"/>
    <x v="4"/>
    <n v="32982.205349855962"/>
    <n v="46"/>
    <n v="18443.687453049301"/>
    <n v="14538.517896806659"/>
  </r>
  <r>
    <s v="ORD100430"/>
    <d v="2022-08-01T00:00:00"/>
    <x v="0"/>
    <n v="8"/>
    <x v="3"/>
    <x v="0"/>
    <x v="4"/>
    <n v="9496.1522762645509"/>
    <n v="13"/>
    <n v="5210.4613391676976"/>
    <n v="4285.6909370968524"/>
  </r>
  <r>
    <s v="ORD100431"/>
    <d v="2022-08-01T00:00:00"/>
    <x v="0"/>
    <n v="8"/>
    <x v="3"/>
    <x v="1"/>
    <x v="4"/>
    <n v="26059.20968521211"/>
    <n v="36"/>
    <n v="14197.44989087413"/>
    <n v="11861.759794337981"/>
  </r>
  <r>
    <s v="ORD100432"/>
    <d v="2022-08-01T00:00:00"/>
    <x v="0"/>
    <n v="8"/>
    <x v="0"/>
    <x v="0"/>
    <x v="5"/>
    <n v="22211.719939992719"/>
    <n v="4"/>
    <n v="14951.297540530421"/>
    <n v="7260.4223994623007"/>
  </r>
  <r>
    <s v="ORD100433"/>
    <d v="2022-08-01T00:00:00"/>
    <x v="0"/>
    <n v="8"/>
    <x v="0"/>
    <x v="1"/>
    <x v="5"/>
    <n v="61783.175314580913"/>
    <n v="11"/>
    <n v="41801.858499748967"/>
    <n v="19981.316814831949"/>
  </r>
  <r>
    <s v="ORD100434"/>
    <d v="2022-08-01T00:00:00"/>
    <x v="0"/>
    <n v="8"/>
    <x v="1"/>
    <x v="0"/>
    <x v="5"/>
    <n v="17604.47193798974"/>
    <n v="3"/>
    <n v="11705.024335238189"/>
    <n v="5899.447602751552"/>
  </r>
  <r>
    <s v="ORD100435"/>
    <d v="2022-08-01T00:00:00"/>
    <x v="0"/>
    <n v="8"/>
    <x v="1"/>
    <x v="1"/>
    <x v="5"/>
    <n v="48363.054835557501"/>
    <n v="9"/>
    <n v="33309.671634226521"/>
    <n v="15053.38320133098"/>
  </r>
  <r>
    <s v="ORD100436"/>
    <d v="2022-08-01T00:00:00"/>
    <x v="0"/>
    <n v="8"/>
    <x v="2"/>
    <x v="0"/>
    <x v="5"/>
    <n v="12808.821721146031"/>
    <n v="2"/>
    <n v="8742.8842065020235"/>
    <n v="4065.9375146440052"/>
  </r>
  <r>
    <s v="ORD100437"/>
    <d v="2022-08-01T00:00:00"/>
    <x v="0"/>
    <n v="8"/>
    <x v="2"/>
    <x v="1"/>
    <x v="5"/>
    <n v="30774.51098649589"/>
    <n v="6"/>
    <n v="20864.963911374041"/>
    <n v="9909.5470751218563"/>
  </r>
  <r>
    <s v="ORD100438"/>
    <d v="2022-08-01T00:00:00"/>
    <x v="0"/>
    <n v="8"/>
    <x v="3"/>
    <x v="0"/>
    <x v="5"/>
    <n v="9491.9882218071525"/>
    <n v="2"/>
    <n v="6541.4407688203391"/>
    <n v="2950.5474529868129"/>
  </r>
  <r>
    <s v="ORD100439"/>
    <d v="2022-08-01T00:00:00"/>
    <x v="0"/>
    <n v="8"/>
    <x v="3"/>
    <x v="1"/>
    <x v="5"/>
    <n v="27153.574870267639"/>
    <n v="5"/>
    <n v="18858.714809375619"/>
    <n v="8294.8600608920242"/>
  </r>
  <r>
    <s v="ORD100440"/>
    <d v="2022-08-01T00:00:00"/>
    <x v="0"/>
    <n v="8"/>
    <x v="0"/>
    <x v="0"/>
    <x v="6"/>
    <n v="45306.265311756863"/>
    <n v="13"/>
    <n v="27737.844030741169"/>
    <n v="17568.421281015701"/>
  </r>
  <r>
    <s v="ORD100441"/>
    <d v="2022-08-01T00:00:00"/>
    <x v="0"/>
    <n v="8"/>
    <x v="0"/>
    <x v="1"/>
    <x v="6"/>
    <n v="120837.5135904748"/>
    <n v="35"/>
    <n v="69353.941501172914"/>
    <n v="51483.572089301859"/>
  </r>
  <r>
    <s v="ORD100442"/>
    <d v="2022-08-01T00:00:00"/>
    <x v="0"/>
    <n v="8"/>
    <x v="1"/>
    <x v="0"/>
    <x v="6"/>
    <n v="35814.691275483106"/>
    <n v="10"/>
    <n v="21571.640775864202"/>
    <n v="14243.05049961891"/>
  </r>
  <r>
    <s v="ORD100443"/>
    <d v="2022-08-01T00:00:00"/>
    <x v="0"/>
    <n v="8"/>
    <x v="1"/>
    <x v="1"/>
    <x v="6"/>
    <n v="98302.567211277419"/>
    <n v="28"/>
    <n v="59014.406667299663"/>
    <n v="39288.160543977763"/>
  </r>
  <r>
    <s v="ORD100444"/>
    <d v="2022-08-01T00:00:00"/>
    <x v="0"/>
    <n v="8"/>
    <x v="2"/>
    <x v="0"/>
    <x v="6"/>
    <n v="25312.47628344045"/>
    <n v="7"/>
    <n v="14724.92646712653"/>
    <n v="10587.54981631392"/>
  </r>
  <r>
    <s v="ORD100445"/>
    <d v="2022-08-01T00:00:00"/>
    <x v="0"/>
    <n v="8"/>
    <x v="2"/>
    <x v="1"/>
    <x v="6"/>
    <n v="69300.959299098235"/>
    <n v="20"/>
    <n v="41037.142809539233"/>
    <n v="28263.816489559009"/>
  </r>
  <r>
    <s v="ORD100446"/>
    <d v="2022-08-01T00:00:00"/>
    <x v="0"/>
    <n v="8"/>
    <x v="3"/>
    <x v="0"/>
    <x v="6"/>
    <n v="19969.00732879229"/>
    <n v="6"/>
    <n v="11684.663648228079"/>
    <n v="8284.3436805642068"/>
  </r>
  <r>
    <s v="ORD100447"/>
    <d v="2022-08-01T00:00:00"/>
    <x v="0"/>
    <n v="8"/>
    <x v="3"/>
    <x v="1"/>
    <x v="6"/>
    <n v="51541.333720844268"/>
    <n v="15"/>
    <n v="30511.027061209981"/>
    <n v="21030.306659634291"/>
  </r>
  <r>
    <s v="ORD100448"/>
    <d v="2022-09-01T00:00:00"/>
    <x v="0"/>
    <n v="9"/>
    <x v="0"/>
    <x v="0"/>
    <x v="0"/>
    <n v="47540.486019188"/>
    <n v="9"/>
    <n v="30275.773543674281"/>
    <n v="17264.712475513719"/>
  </r>
  <r>
    <s v="ORD100449"/>
    <d v="2022-09-01T00:00:00"/>
    <x v="0"/>
    <n v="9"/>
    <x v="0"/>
    <x v="1"/>
    <x v="0"/>
    <n v="115643.3409550714"/>
    <n v="22"/>
    <n v="72480.454493123121"/>
    <n v="43162.886461948307"/>
  </r>
  <r>
    <s v="ORD100450"/>
    <d v="2022-09-01T00:00:00"/>
    <x v="0"/>
    <n v="9"/>
    <x v="1"/>
    <x v="0"/>
    <x v="0"/>
    <n v="36222.198671743237"/>
    <n v="7"/>
    <n v="22663.362891602541"/>
    <n v="13558.8357801407"/>
  </r>
  <r>
    <s v="ORD100451"/>
    <d v="2022-09-01T00:00:00"/>
    <x v="0"/>
    <n v="9"/>
    <x v="1"/>
    <x v="1"/>
    <x v="0"/>
    <n v="100291.9080683826"/>
    <n v="19"/>
    <n v="61699.355985219481"/>
    <n v="38592.552083163078"/>
  </r>
  <r>
    <s v="ORD100452"/>
    <d v="2022-09-01T00:00:00"/>
    <x v="0"/>
    <n v="9"/>
    <x v="2"/>
    <x v="0"/>
    <x v="0"/>
    <n v="27043.670248411221"/>
    <n v="5"/>
    <n v="16319.176329924891"/>
    <n v="10724.493918486331"/>
  </r>
  <r>
    <s v="ORD100453"/>
    <d v="2022-09-01T00:00:00"/>
    <x v="0"/>
    <n v="9"/>
    <x v="2"/>
    <x v="1"/>
    <x v="0"/>
    <n v="65803.500193509288"/>
    <n v="13"/>
    <n v="40645.077932647539"/>
    <n v="25158.422260861749"/>
  </r>
  <r>
    <s v="ORD100454"/>
    <d v="2022-09-01T00:00:00"/>
    <x v="0"/>
    <n v="9"/>
    <x v="3"/>
    <x v="0"/>
    <x v="0"/>
    <n v="18827.596977318532"/>
    <n v="4"/>
    <n v="11926.637783607939"/>
    <n v="6900.9591937105888"/>
  </r>
  <r>
    <s v="ORD100455"/>
    <d v="2022-09-01T00:00:00"/>
    <x v="0"/>
    <n v="9"/>
    <x v="3"/>
    <x v="1"/>
    <x v="0"/>
    <n v="46511.881256161141"/>
    <n v="9"/>
    <n v="28044.655396776121"/>
    <n v="18467.22585938502"/>
  </r>
  <r>
    <s v="ORD100456"/>
    <d v="2022-09-01T00:00:00"/>
    <x v="0"/>
    <n v="9"/>
    <x v="0"/>
    <x v="0"/>
    <x v="1"/>
    <n v="48455.426797234169"/>
    <n v="8"/>
    <n v="31373.21899512114"/>
    <n v="17082.207802113029"/>
  </r>
  <r>
    <s v="ORD100457"/>
    <d v="2022-09-01T00:00:00"/>
    <x v="0"/>
    <n v="9"/>
    <x v="0"/>
    <x v="1"/>
    <x v="1"/>
    <n v="131977.36425975029"/>
    <n v="22"/>
    <n v="87303.034469703503"/>
    <n v="44674.329790046817"/>
  </r>
  <r>
    <s v="ORD100458"/>
    <d v="2022-09-01T00:00:00"/>
    <x v="0"/>
    <n v="9"/>
    <x v="1"/>
    <x v="0"/>
    <x v="1"/>
    <n v="34121.025329741831"/>
    <n v="6"/>
    <n v="22120.73923907429"/>
    <n v="12000.286090667551"/>
  </r>
  <r>
    <s v="ORD100459"/>
    <d v="2022-09-01T00:00:00"/>
    <x v="0"/>
    <n v="9"/>
    <x v="1"/>
    <x v="1"/>
    <x v="1"/>
    <n v="99379.675260266798"/>
    <n v="16"/>
    <n v="64654.908284787853"/>
    <n v="34724.766975478953"/>
  </r>
  <r>
    <s v="ORD100460"/>
    <d v="2022-09-01T00:00:00"/>
    <x v="0"/>
    <n v="9"/>
    <x v="2"/>
    <x v="0"/>
    <x v="1"/>
    <n v="27947.597144851421"/>
    <n v="5"/>
    <n v="18304.77199294429"/>
    <n v="9642.8251519071273"/>
  </r>
  <r>
    <s v="ORD100461"/>
    <d v="2022-09-01T00:00:00"/>
    <x v="0"/>
    <n v="9"/>
    <x v="2"/>
    <x v="1"/>
    <x v="1"/>
    <n v="70495.540973753057"/>
    <n v="12"/>
    <n v="45383.370183138919"/>
    <n v="25112.170790614138"/>
  </r>
  <r>
    <s v="ORD100462"/>
    <d v="2022-09-01T00:00:00"/>
    <x v="0"/>
    <n v="9"/>
    <x v="3"/>
    <x v="0"/>
    <x v="1"/>
    <n v="20668.79640540557"/>
    <n v="3"/>
    <n v="13402.21458533925"/>
    <n v="7266.5818200663234"/>
  </r>
  <r>
    <s v="ORD100463"/>
    <d v="2022-09-01T00:00:00"/>
    <x v="0"/>
    <n v="9"/>
    <x v="3"/>
    <x v="1"/>
    <x v="1"/>
    <n v="50706.560506758004"/>
    <n v="8"/>
    <n v="33890.070647929933"/>
    <n v="16816.48985882807"/>
  </r>
  <r>
    <s v="ORD100464"/>
    <d v="2022-09-01T00:00:00"/>
    <x v="0"/>
    <n v="9"/>
    <x v="0"/>
    <x v="0"/>
    <x v="2"/>
    <n v="30815.45708681412"/>
    <n v="7"/>
    <n v="19257.784021271858"/>
    <n v="11557.67306554226"/>
  </r>
  <r>
    <s v="ORD100465"/>
    <d v="2022-09-01T00:00:00"/>
    <x v="0"/>
    <n v="9"/>
    <x v="0"/>
    <x v="1"/>
    <x v="2"/>
    <n v="86875.018537836324"/>
    <n v="20"/>
    <n v="54000.861090777842"/>
    <n v="32874.157447058482"/>
  </r>
  <r>
    <s v="ORD100466"/>
    <d v="2022-09-01T00:00:00"/>
    <x v="0"/>
    <n v="9"/>
    <x v="1"/>
    <x v="0"/>
    <x v="2"/>
    <n v="26066.272503478958"/>
    <n v="6"/>
    <n v="16493.228321964431"/>
    <n v="9573.0441815145241"/>
  </r>
  <r>
    <s v="ORD100467"/>
    <d v="2022-09-01T00:00:00"/>
    <x v="0"/>
    <n v="9"/>
    <x v="1"/>
    <x v="1"/>
    <x v="2"/>
    <n v="66791.771371407784"/>
    <n v="16"/>
    <n v="43309.930402435872"/>
    <n v="23481.840968971908"/>
  </r>
  <r>
    <s v="ORD100468"/>
    <d v="2022-09-01T00:00:00"/>
    <x v="0"/>
    <n v="9"/>
    <x v="2"/>
    <x v="0"/>
    <x v="2"/>
    <n v="17430.606303912489"/>
    <n v="4"/>
    <n v="11116.046020333581"/>
    <n v="6314.5602835789086"/>
  </r>
  <r>
    <s v="ORD100469"/>
    <d v="2022-09-01T00:00:00"/>
    <x v="0"/>
    <n v="9"/>
    <x v="2"/>
    <x v="1"/>
    <x v="2"/>
    <n v="46131.003866737359"/>
    <n v="11"/>
    <n v="29276.950540505601"/>
    <n v="16854.053326231759"/>
  </r>
  <r>
    <s v="ORD100470"/>
    <d v="2022-09-01T00:00:00"/>
    <x v="0"/>
    <n v="9"/>
    <x v="3"/>
    <x v="0"/>
    <x v="2"/>
    <n v="13806.79415756026"/>
    <n v="3"/>
    <n v="8843.4037169376079"/>
    <n v="4963.3904406226557"/>
  </r>
  <r>
    <s v="ORD100471"/>
    <d v="2022-09-01T00:00:00"/>
    <x v="0"/>
    <n v="9"/>
    <x v="3"/>
    <x v="1"/>
    <x v="2"/>
    <n v="37075.704610898472"/>
    <n v="9"/>
    <n v="22982.838153458491"/>
    <n v="14092.866457439981"/>
  </r>
  <r>
    <s v="ORD100472"/>
    <d v="2022-09-01T00:00:00"/>
    <x v="0"/>
    <n v="9"/>
    <x v="0"/>
    <x v="0"/>
    <x v="3"/>
    <n v="32076.124621079871"/>
    <n v="38"/>
    <n v="15533.64141345706"/>
    <n v="16542.483207622809"/>
  </r>
  <r>
    <s v="ORD100473"/>
    <d v="2022-09-01T00:00:00"/>
    <x v="0"/>
    <n v="9"/>
    <x v="0"/>
    <x v="1"/>
    <x v="3"/>
    <n v="79319.783792759627"/>
    <n v="93"/>
    <n v="38336.27304046596"/>
    <n v="40983.510752293667"/>
  </r>
  <r>
    <s v="ORD100474"/>
    <d v="2022-09-01T00:00:00"/>
    <x v="0"/>
    <n v="9"/>
    <x v="1"/>
    <x v="0"/>
    <x v="3"/>
    <n v="23841.608604593999"/>
    <n v="28"/>
    <n v="11359.658064341371"/>
    <n v="12481.95054025263"/>
  </r>
  <r>
    <s v="ORD100475"/>
    <d v="2022-09-01T00:00:00"/>
    <x v="0"/>
    <n v="9"/>
    <x v="1"/>
    <x v="1"/>
    <x v="3"/>
    <n v="74302.164049422601"/>
    <n v="87"/>
    <n v="36310.812804079484"/>
    <n v="37991.351245343118"/>
  </r>
  <r>
    <s v="ORD100476"/>
    <d v="2022-09-01T00:00:00"/>
    <x v="0"/>
    <n v="9"/>
    <x v="2"/>
    <x v="0"/>
    <x v="3"/>
    <n v="18080.60095419885"/>
    <n v="21"/>
    <n v="8502.5550851675052"/>
    <n v="9578.0458690313408"/>
  </r>
  <r>
    <s v="ORD100477"/>
    <d v="2022-09-01T00:00:00"/>
    <x v="0"/>
    <n v="9"/>
    <x v="2"/>
    <x v="1"/>
    <x v="3"/>
    <n v="44556.572095145551"/>
    <n v="52"/>
    <n v="21821.364358026982"/>
    <n v="22735.20773711857"/>
  </r>
  <r>
    <s v="ORD100478"/>
    <d v="2022-09-01T00:00:00"/>
    <x v="0"/>
    <n v="9"/>
    <x v="3"/>
    <x v="0"/>
    <x v="3"/>
    <n v="13702.175682931809"/>
    <n v="16"/>
    <n v="6595.3343381730083"/>
    <n v="7106.8413447588064"/>
  </r>
  <r>
    <s v="ORD100479"/>
    <d v="2022-09-01T00:00:00"/>
    <x v="0"/>
    <n v="9"/>
    <x v="3"/>
    <x v="1"/>
    <x v="3"/>
    <n v="34280.142503099589"/>
    <n v="40"/>
    <n v="16354.788110287191"/>
    <n v="17925.354392812402"/>
  </r>
  <r>
    <s v="ORD100480"/>
    <d v="2022-09-01T00:00:00"/>
    <x v="0"/>
    <n v="9"/>
    <x v="0"/>
    <x v="0"/>
    <x v="4"/>
    <n v="25969.049687522122"/>
    <n v="36"/>
    <n v="14277.86794383609"/>
    <n v="11691.181743686029"/>
  </r>
  <r>
    <s v="ORD100481"/>
    <d v="2022-09-01T00:00:00"/>
    <x v="0"/>
    <n v="9"/>
    <x v="0"/>
    <x v="1"/>
    <x v="4"/>
    <n v="67557.554365480857"/>
    <n v="94"/>
    <n v="37084.914103061521"/>
    <n v="30472.64026241934"/>
  </r>
  <r>
    <s v="ORD100482"/>
    <d v="2022-09-01T00:00:00"/>
    <x v="0"/>
    <n v="9"/>
    <x v="1"/>
    <x v="0"/>
    <x v="4"/>
    <n v="22189.693130245709"/>
    <n v="31"/>
    <n v="12472.400481370751"/>
    <n v="9717.2926488749636"/>
  </r>
  <r>
    <s v="ORD100483"/>
    <d v="2022-09-01T00:00:00"/>
    <x v="0"/>
    <n v="9"/>
    <x v="1"/>
    <x v="1"/>
    <x v="4"/>
    <n v="55993.597051695062"/>
    <n v="78"/>
    <n v="30199.635719978221"/>
    <n v="25793.961331716841"/>
  </r>
  <r>
    <s v="ORD100484"/>
    <d v="2022-09-01T00:00:00"/>
    <x v="0"/>
    <n v="9"/>
    <x v="2"/>
    <x v="0"/>
    <x v="4"/>
    <n v="14352.18868417997"/>
    <n v="20"/>
    <n v="7785.359958343045"/>
    <n v="6566.8287258369228"/>
  </r>
  <r>
    <s v="ORD100485"/>
    <d v="2022-09-01T00:00:00"/>
    <x v="0"/>
    <n v="9"/>
    <x v="2"/>
    <x v="1"/>
    <x v="4"/>
    <n v="38062.141726693357"/>
    <n v="53"/>
    <n v="21324.67263442482"/>
    <n v="16737.469092268551"/>
  </r>
  <r>
    <s v="ORD100486"/>
    <d v="2022-09-01T00:00:00"/>
    <x v="0"/>
    <n v="9"/>
    <x v="3"/>
    <x v="0"/>
    <x v="4"/>
    <n v="10445.032063834"/>
    <n v="15"/>
    <n v="5683.1858583267249"/>
    <n v="4761.8462055072732"/>
  </r>
  <r>
    <s v="ORD100487"/>
    <d v="2022-09-01T00:00:00"/>
    <x v="0"/>
    <n v="9"/>
    <x v="3"/>
    <x v="1"/>
    <x v="4"/>
    <n v="27743.589646411321"/>
    <n v="39"/>
    <n v="15506.316105115249"/>
    <n v="12237.273541296059"/>
  </r>
  <r>
    <s v="ORD100488"/>
    <d v="2022-09-01T00:00:00"/>
    <x v="0"/>
    <n v="9"/>
    <x v="0"/>
    <x v="0"/>
    <x v="5"/>
    <n v="24106.50629697783"/>
    <n v="4"/>
    <n v="17142.30525059803"/>
    <n v="6964.2010463798069"/>
  </r>
  <r>
    <s v="ORD100489"/>
    <d v="2022-09-01T00:00:00"/>
    <x v="0"/>
    <n v="9"/>
    <x v="0"/>
    <x v="1"/>
    <x v="5"/>
    <n v="60672.085602819272"/>
    <n v="11"/>
    <n v="41560.967506959467"/>
    <n v="19111.118095859802"/>
  </r>
  <r>
    <s v="ORD100490"/>
    <d v="2022-09-01T00:00:00"/>
    <x v="0"/>
    <n v="9"/>
    <x v="1"/>
    <x v="0"/>
    <x v="5"/>
    <n v="21789.573159844771"/>
    <n v="4"/>
    <n v="15219.200181042759"/>
    <n v="6570.37297880201"/>
  </r>
  <r>
    <s v="ORD100491"/>
    <d v="2022-09-01T00:00:00"/>
    <x v="0"/>
    <n v="9"/>
    <x v="1"/>
    <x v="1"/>
    <x v="5"/>
    <n v="52560.602002712767"/>
    <n v="10"/>
    <n v="35513.68197232463"/>
    <n v="17046.920030388141"/>
  </r>
  <r>
    <s v="ORD100492"/>
    <d v="2022-09-01T00:00:00"/>
    <x v="0"/>
    <n v="9"/>
    <x v="2"/>
    <x v="0"/>
    <x v="5"/>
    <n v="14083.774100074839"/>
    <n v="3"/>
    <n v="9849.8224355369675"/>
    <n v="4233.9516645378717"/>
  </r>
  <r>
    <s v="ORD100493"/>
    <d v="2022-09-01T00:00:00"/>
    <x v="0"/>
    <n v="9"/>
    <x v="2"/>
    <x v="1"/>
    <x v="5"/>
    <n v="33174.325179330262"/>
    <n v="6"/>
    <n v="22972.452065241141"/>
    <n v="10201.87311408912"/>
  </r>
  <r>
    <s v="ORD100494"/>
    <d v="2022-09-01T00:00:00"/>
    <x v="0"/>
    <n v="9"/>
    <x v="3"/>
    <x v="0"/>
    <x v="5"/>
    <n v="8814.9428855178958"/>
    <n v="2"/>
    <n v="6134.099574570977"/>
    <n v="2680.8433109469188"/>
  </r>
  <r>
    <s v="ORD100495"/>
    <d v="2022-09-01T00:00:00"/>
    <x v="0"/>
    <n v="9"/>
    <x v="3"/>
    <x v="1"/>
    <x v="5"/>
    <n v="26525.66932135095"/>
    <n v="5"/>
    <n v="18090.028878912741"/>
    <n v="8435.6404424382017"/>
  </r>
  <r>
    <s v="ORD100496"/>
    <d v="2022-09-01T00:00:00"/>
    <x v="0"/>
    <n v="9"/>
    <x v="0"/>
    <x v="0"/>
    <x v="6"/>
    <n v="45018.217951797436"/>
    <n v="13"/>
    <n v="25766.595449731671"/>
    <n v="19251.622502065769"/>
  </r>
  <r>
    <s v="ORD100497"/>
    <d v="2022-09-01T00:00:00"/>
    <x v="0"/>
    <n v="9"/>
    <x v="0"/>
    <x v="1"/>
    <x v="6"/>
    <n v="118846.88872756829"/>
    <n v="34"/>
    <n v="70754.845934804878"/>
    <n v="48092.042792763423"/>
  </r>
  <r>
    <s v="ORD100498"/>
    <d v="2022-09-01T00:00:00"/>
    <x v="0"/>
    <n v="9"/>
    <x v="1"/>
    <x v="0"/>
    <x v="6"/>
    <n v="43130.120726293193"/>
    <n v="12"/>
    <n v="24501.646164992919"/>
    <n v="18628.474561300281"/>
  </r>
  <r>
    <s v="ORD100499"/>
    <d v="2022-09-01T00:00:00"/>
    <x v="0"/>
    <n v="9"/>
    <x v="1"/>
    <x v="1"/>
    <x v="6"/>
    <n v="98212.192852267515"/>
    <n v="28"/>
    <n v="57614.192938976543"/>
    <n v="40597.99991329098"/>
  </r>
  <r>
    <s v="ORD100500"/>
    <d v="2022-09-01T00:00:00"/>
    <x v="0"/>
    <n v="9"/>
    <x v="2"/>
    <x v="0"/>
    <x v="6"/>
    <n v="27264.39306557447"/>
    <n v="8"/>
    <n v="16358.509098669991"/>
    <n v="10905.883966904479"/>
  </r>
  <r>
    <s v="ORD100501"/>
    <d v="2022-09-01T00:00:00"/>
    <x v="0"/>
    <n v="9"/>
    <x v="2"/>
    <x v="1"/>
    <x v="6"/>
    <n v="71264.930032583579"/>
    <n v="20"/>
    <n v="42191.543365234997"/>
    <n v="29073.386667348579"/>
  </r>
  <r>
    <s v="ORD100502"/>
    <d v="2022-09-01T00:00:00"/>
    <x v="0"/>
    <n v="9"/>
    <x v="3"/>
    <x v="0"/>
    <x v="6"/>
    <n v="18557.37091610525"/>
    <n v="5"/>
    <n v="11332.826804433629"/>
    <n v="7224.544111671612"/>
  </r>
  <r>
    <s v="ORD100503"/>
    <d v="2022-09-01T00:00:00"/>
    <x v="0"/>
    <n v="9"/>
    <x v="3"/>
    <x v="1"/>
    <x v="6"/>
    <n v="56624.52592965545"/>
    <n v="16"/>
    <n v="34024.922214678132"/>
    <n v="22599.603714977318"/>
  </r>
  <r>
    <s v="ORD100504"/>
    <d v="2022-10-01T00:00:00"/>
    <x v="0"/>
    <n v="10"/>
    <x v="0"/>
    <x v="0"/>
    <x v="0"/>
    <n v="52690.98829049911"/>
    <n v="10"/>
    <n v="32283.899936191028"/>
    <n v="20407.088354308082"/>
  </r>
  <r>
    <s v="ORD100505"/>
    <d v="2022-10-01T00:00:00"/>
    <x v="0"/>
    <n v="10"/>
    <x v="0"/>
    <x v="1"/>
    <x v="0"/>
    <n v="124626.42480962659"/>
    <n v="24"/>
    <n v="77306.371674673195"/>
    <n v="47320.053134953363"/>
  </r>
  <r>
    <s v="ORD100506"/>
    <d v="2022-10-01T00:00:00"/>
    <x v="0"/>
    <n v="10"/>
    <x v="1"/>
    <x v="0"/>
    <x v="0"/>
    <n v="41727.869907868648"/>
    <n v="8"/>
    <n v="25849.219610671051"/>
    <n v="15878.65029719761"/>
  </r>
  <r>
    <s v="ORD100507"/>
    <d v="2022-10-01T00:00:00"/>
    <x v="0"/>
    <n v="10"/>
    <x v="1"/>
    <x v="1"/>
    <x v="0"/>
    <n v="110691.19012814861"/>
    <n v="21"/>
    <n v="66674.05327661692"/>
    <n v="44017.136851531672"/>
  </r>
  <r>
    <s v="ORD100508"/>
    <d v="2022-10-01T00:00:00"/>
    <x v="0"/>
    <n v="10"/>
    <x v="2"/>
    <x v="0"/>
    <x v="0"/>
    <n v="33349.010380220723"/>
    <n v="6"/>
    <n v="20326.393510519229"/>
    <n v="13022.616869701489"/>
  </r>
  <r>
    <s v="ORD100509"/>
    <d v="2022-10-01T00:00:00"/>
    <x v="0"/>
    <n v="10"/>
    <x v="2"/>
    <x v="1"/>
    <x v="0"/>
    <n v="72837.605753627562"/>
    <n v="14"/>
    <n v="44703.491149639653"/>
    <n v="28134.11460398792"/>
  </r>
  <r>
    <s v="ORD100510"/>
    <d v="2022-10-01T00:00:00"/>
    <x v="0"/>
    <n v="10"/>
    <x v="3"/>
    <x v="0"/>
    <x v="0"/>
    <n v="22246.833728912468"/>
    <n v="4"/>
    <n v="13287.49494990492"/>
    <n v="8959.3387790075521"/>
  </r>
  <r>
    <s v="ORD100511"/>
    <d v="2022-10-01T00:00:00"/>
    <x v="0"/>
    <n v="10"/>
    <x v="3"/>
    <x v="1"/>
    <x v="0"/>
    <n v="56163.48026127644"/>
    <n v="11"/>
    <n v="34851.125928879657"/>
    <n v="21312.354332396779"/>
  </r>
  <r>
    <s v="ORD100512"/>
    <d v="2022-10-01T00:00:00"/>
    <x v="0"/>
    <n v="10"/>
    <x v="0"/>
    <x v="0"/>
    <x v="1"/>
    <n v="54318.631679757229"/>
    <n v="9"/>
    <n v="35689.569516156669"/>
    <n v="18629.06216360056"/>
  </r>
  <r>
    <s v="ORD100513"/>
    <d v="2022-10-01T00:00:00"/>
    <x v="0"/>
    <n v="10"/>
    <x v="0"/>
    <x v="1"/>
    <x v="1"/>
    <n v="131414.64270958069"/>
    <n v="22"/>
    <n v="84121.932266860298"/>
    <n v="47292.710442720389"/>
  </r>
  <r>
    <s v="ORD100514"/>
    <d v="2022-10-01T00:00:00"/>
    <x v="0"/>
    <n v="10"/>
    <x v="1"/>
    <x v="0"/>
    <x v="1"/>
    <n v="42044.321067259269"/>
    <n v="7"/>
    <n v="27951.150787579489"/>
    <n v="14093.17027967978"/>
  </r>
  <r>
    <s v="ORD100515"/>
    <d v="2022-10-01T00:00:00"/>
    <x v="0"/>
    <n v="10"/>
    <x v="1"/>
    <x v="1"/>
    <x v="1"/>
    <n v="107540.4744785357"/>
    <n v="18"/>
    <n v="71891.298456041724"/>
    <n v="35649.176022493979"/>
  </r>
  <r>
    <s v="ORD100516"/>
    <d v="2022-10-01T00:00:00"/>
    <x v="0"/>
    <n v="10"/>
    <x v="2"/>
    <x v="0"/>
    <x v="1"/>
    <n v="30031.048799469361"/>
    <n v="5"/>
    <n v="19901.491039795539"/>
    <n v="10129.557759673809"/>
  </r>
  <r>
    <s v="ORD100517"/>
    <d v="2022-10-01T00:00:00"/>
    <x v="0"/>
    <n v="10"/>
    <x v="2"/>
    <x v="1"/>
    <x v="1"/>
    <n v="74539.456080477845"/>
    <n v="12"/>
    <n v="48909.069330820101"/>
    <n v="25630.38674965774"/>
  </r>
  <r>
    <s v="ORD100518"/>
    <d v="2022-10-01T00:00:00"/>
    <x v="0"/>
    <n v="10"/>
    <x v="3"/>
    <x v="0"/>
    <x v="1"/>
    <n v="23849.812887161421"/>
    <n v="4"/>
    <n v="15908.45322720253"/>
    <n v="7941.3596599588873"/>
  </r>
  <r>
    <s v="ORD100519"/>
    <d v="2022-10-01T00:00:00"/>
    <x v="0"/>
    <n v="10"/>
    <x v="3"/>
    <x v="1"/>
    <x v="1"/>
    <n v="56842.983184578283"/>
    <n v="9"/>
    <n v="37975.71806542878"/>
    <n v="18867.265119149499"/>
  </r>
  <r>
    <s v="ORD100520"/>
    <d v="2022-10-01T00:00:00"/>
    <x v="0"/>
    <n v="10"/>
    <x v="0"/>
    <x v="0"/>
    <x v="2"/>
    <n v="34378.155607281711"/>
    <n v="8"/>
    <n v="22123.762577187041"/>
    <n v="12254.39303009467"/>
  </r>
  <r>
    <s v="ORD100521"/>
    <d v="2022-10-01T00:00:00"/>
    <x v="0"/>
    <n v="10"/>
    <x v="0"/>
    <x v="1"/>
    <x v="2"/>
    <n v="95194.979594189877"/>
    <n v="22"/>
    <n v="60020.47907829201"/>
    <n v="35174.500515897867"/>
  </r>
  <r>
    <s v="ORD100522"/>
    <d v="2022-10-01T00:00:00"/>
    <x v="0"/>
    <n v="10"/>
    <x v="1"/>
    <x v="0"/>
    <x v="2"/>
    <n v="29632.914821272159"/>
    <n v="7"/>
    <n v="19059.489014977411"/>
    <n v="10573.42580629475"/>
  </r>
  <r>
    <s v="ORD100523"/>
    <d v="2022-10-01T00:00:00"/>
    <x v="0"/>
    <n v="10"/>
    <x v="1"/>
    <x v="1"/>
    <x v="2"/>
    <n v="74102.175571595479"/>
    <n v="17"/>
    <n v="48445.922866581728"/>
    <n v="25656.252705013751"/>
  </r>
  <r>
    <s v="ORD100524"/>
    <d v="2022-10-01T00:00:00"/>
    <x v="0"/>
    <n v="10"/>
    <x v="2"/>
    <x v="0"/>
    <x v="2"/>
    <n v="19855.273272552571"/>
    <n v="5"/>
    <n v="12570.906290261189"/>
    <n v="7284.3669822913889"/>
  </r>
  <r>
    <s v="ORD100525"/>
    <d v="2022-10-01T00:00:00"/>
    <x v="0"/>
    <n v="10"/>
    <x v="2"/>
    <x v="1"/>
    <x v="2"/>
    <n v="54741.631948293907"/>
    <n v="13"/>
    <n v="36357.654505626451"/>
    <n v="18383.977442667459"/>
  </r>
  <r>
    <s v="ORD100526"/>
    <d v="2022-10-01T00:00:00"/>
    <x v="0"/>
    <n v="10"/>
    <x v="3"/>
    <x v="0"/>
    <x v="2"/>
    <n v="16867.543387758251"/>
    <n v="4"/>
    <n v="10693.0902663867"/>
    <n v="6174.4531213715509"/>
  </r>
  <r>
    <s v="ORD100527"/>
    <d v="2022-10-01T00:00:00"/>
    <x v="0"/>
    <n v="10"/>
    <x v="3"/>
    <x v="1"/>
    <x v="2"/>
    <n v="39294.96733055923"/>
    <n v="9"/>
    <n v="25163.449034309051"/>
    <n v="14131.518296250169"/>
  </r>
  <r>
    <s v="ORD100528"/>
    <d v="2022-10-01T00:00:00"/>
    <x v="0"/>
    <n v="10"/>
    <x v="0"/>
    <x v="0"/>
    <x v="3"/>
    <n v="35343.927957262043"/>
    <n v="42"/>
    <n v="16759.727459052599"/>
    <n v="18584.20049820944"/>
  </r>
  <r>
    <s v="ORD100529"/>
    <d v="2022-10-01T00:00:00"/>
    <x v="0"/>
    <n v="10"/>
    <x v="0"/>
    <x v="1"/>
    <x v="3"/>
    <n v="96343.212251963254"/>
    <n v="113"/>
    <n v="46430.593720122502"/>
    <n v="49912.618531840752"/>
  </r>
  <r>
    <s v="ORD100530"/>
    <d v="2022-10-01T00:00:00"/>
    <x v="0"/>
    <n v="10"/>
    <x v="1"/>
    <x v="0"/>
    <x v="3"/>
    <n v="24117.559381042531"/>
    <n v="28"/>
    <n v="11213.39181540252"/>
    <n v="12904.167565640009"/>
  </r>
  <r>
    <s v="ORD100531"/>
    <d v="2022-10-01T00:00:00"/>
    <x v="0"/>
    <n v="10"/>
    <x v="1"/>
    <x v="1"/>
    <x v="3"/>
    <n v="71088.645819751589"/>
    <n v="84"/>
    <n v="33787.167899065003"/>
    <n v="37301.477920686593"/>
  </r>
  <r>
    <s v="ORD100532"/>
    <d v="2022-10-01T00:00:00"/>
    <x v="0"/>
    <n v="10"/>
    <x v="2"/>
    <x v="0"/>
    <x v="3"/>
    <n v="20937.624361764629"/>
    <n v="25"/>
    <n v="9852.4937950354106"/>
    <n v="11085.130566729211"/>
  </r>
  <r>
    <s v="ORD100533"/>
    <d v="2022-10-01T00:00:00"/>
    <x v="0"/>
    <n v="10"/>
    <x v="2"/>
    <x v="1"/>
    <x v="3"/>
    <n v="51307.046667252638"/>
    <n v="60"/>
    <n v="24687.376926726651"/>
    <n v="26619.669740525991"/>
  </r>
  <r>
    <s v="ORD100534"/>
    <d v="2022-10-01T00:00:00"/>
    <x v="0"/>
    <n v="10"/>
    <x v="3"/>
    <x v="0"/>
    <x v="3"/>
    <n v="14604.266061577649"/>
    <n v="17"/>
    <n v="7135.527933402579"/>
    <n v="7468.7381281750722"/>
  </r>
  <r>
    <s v="ORD100535"/>
    <d v="2022-10-01T00:00:00"/>
    <x v="0"/>
    <n v="10"/>
    <x v="3"/>
    <x v="1"/>
    <x v="3"/>
    <n v="36783.102850247873"/>
    <n v="43"/>
    <n v="17861.194015993649"/>
    <n v="18921.908834254231"/>
  </r>
  <r>
    <s v="ORD100536"/>
    <d v="2022-10-01T00:00:00"/>
    <x v="0"/>
    <n v="10"/>
    <x v="0"/>
    <x v="0"/>
    <x v="4"/>
    <n v="30317.664673461899"/>
    <n v="42"/>
    <n v="15962.8741555043"/>
    <n v="14354.790517957599"/>
  </r>
  <r>
    <s v="ORD100537"/>
    <d v="2022-10-01T00:00:00"/>
    <x v="0"/>
    <n v="10"/>
    <x v="0"/>
    <x v="1"/>
    <x v="4"/>
    <n v="77215.305366232235"/>
    <n v="107"/>
    <n v="44029.440366544157"/>
    <n v="33185.86499968807"/>
  </r>
  <r>
    <s v="ORD100538"/>
    <d v="2022-10-01T00:00:00"/>
    <x v="0"/>
    <n v="10"/>
    <x v="1"/>
    <x v="0"/>
    <x v="4"/>
    <n v="23299.682349326111"/>
    <n v="32"/>
    <n v="12882.93658745324"/>
    <n v="10416.745761872869"/>
  </r>
  <r>
    <s v="ORD100539"/>
    <d v="2022-10-01T00:00:00"/>
    <x v="0"/>
    <n v="10"/>
    <x v="1"/>
    <x v="1"/>
    <x v="4"/>
    <n v="56799.196081646471"/>
    <n v="79"/>
    <n v="30802.923028218451"/>
    <n v="25996.27305342802"/>
  </r>
  <r>
    <s v="ORD100540"/>
    <d v="2022-10-01T00:00:00"/>
    <x v="0"/>
    <n v="10"/>
    <x v="2"/>
    <x v="0"/>
    <x v="4"/>
    <n v="15855.69472417844"/>
    <n v="22"/>
    <n v="8745.2966842281858"/>
    <n v="7110.3980399502543"/>
  </r>
  <r>
    <s v="ORD100541"/>
    <d v="2022-10-01T00:00:00"/>
    <x v="0"/>
    <n v="10"/>
    <x v="2"/>
    <x v="1"/>
    <x v="4"/>
    <n v="40100.657858590333"/>
    <n v="56"/>
    <n v="22125.308567349111"/>
    <n v="17975.349291241218"/>
  </r>
  <r>
    <s v="ORD100542"/>
    <d v="2022-10-01T00:00:00"/>
    <x v="0"/>
    <n v="10"/>
    <x v="3"/>
    <x v="0"/>
    <x v="4"/>
    <n v="11520.36162499025"/>
    <n v="16"/>
    <n v="6260.1437438970534"/>
    <n v="5260.2178810931946"/>
  </r>
  <r>
    <s v="ORD100543"/>
    <d v="2022-10-01T00:00:00"/>
    <x v="0"/>
    <n v="10"/>
    <x v="3"/>
    <x v="1"/>
    <x v="4"/>
    <n v="28610.200071719952"/>
    <n v="40"/>
    <n v="15791.6681504028"/>
    <n v="12818.53192131715"/>
  </r>
  <r>
    <s v="ORD100544"/>
    <d v="2022-10-01T00:00:00"/>
    <x v="0"/>
    <n v="10"/>
    <x v="0"/>
    <x v="0"/>
    <x v="5"/>
    <n v="30562.435468825472"/>
    <n v="6"/>
    <n v="20857.49283272804"/>
    <n v="9704.9426360974285"/>
  </r>
  <r>
    <s v="ORD100545"/>
    <d v="2022-10-01T00:00:00"/>
    <x v="0"/>
    <n v="10"/>
    <x v="0"/>
    <x v="1"/>
    <x v="5"/>
    <n v="70005.701349563751"/>
    <n v="13"/>
    <n v="47952.352981573618"/>
    <n v="22053.348367990129"/>
  </r>
  <r>
    <s v="ORD100546"/>
    <d v="2022-10-01T00:00:00"/>
    <x v="0"/>
    <n v="10"/>
    <x v="1"/>
    <x v="0"/>
    <x v="5"/>
    <n v="20148.019367274432"/>
    <n v="4"/>
    <n v="13730.399970162969"/>
    <n v="6417.6193971114626"/>
  </r>
  <r>
    <s v="ORD100547"/>
    <d v="2022-10-01T00:00:00"/>
    <x v="0"/>
    <n v="10"/>
    <x v="1"/>
    <x v="1"/>
    <x v="5"/>
    <n v="55837.53201125186"/>
    <n v="10"/>
    <n v="37534.336471553477"/>
    <n v="18303.195539698379"/>
  </r>
  <r>
    <s v="ORD100548"/>
    <d v="2022-10-01T00:00:00"/>
    <x v="0"/>
    <n v="10"/>
    <x v="2"/>
    <x v="0"/>
    <x v="5"/>
    <n v="14919.022647304189"/>
    <n v="3"/>
    <n v="10321.14828765606"/>
    <n v="4597.8743596481254"/>
  </r>
  <r>
    <s v="ORD100549"/>
    <d v="2022-10-01T00:00:00"/>
    <x v="0"/>
    <n v="10"/>
    <x v="2"/>
    <x v="1"/>
    <x v="5"/>
    <n v="38204.613060553071"/>
    <n v="7"/>
    <n v="26638.908351910221"/>
    <n v="11565.70470864285"/>
  </r>
  <r>
    <s v="ORD100550"/>
    <d v="2022-10-01T00:00:00"/>
    <x v="0"/>
    <n v="10"/>
    <x v="3"/>
    <x v="0"/>
    <x v="5"/>
    <n v="10579.554385901311"/>
    <n v="2"/>
    <n v="7367.5472347400637"/>
    <n v="3212.0071511612432"/>
  </r>
  <r>
    <s v="ORD100551"/>
    <d v="2022-10-01T00:00:00"/>
    <x v="0"/>
    <n v="10"/>
    <x v="3"/>
    <x v="1"/>
    <x v="5"/>
    <n v="30971.949725534909"/>
    <n v="6"/>
    <n v="21686.047282214258"/>
    <n v="9285.9024433206505"/>
  </r>
  <r>
    <s v="ORD100552"/>
    <d v="2022-10-01T00:00:00"/>
    <x v="0"/>
    <n v="10"/>
    <x v="0"/>
    <x v="0"/>
    <x v="6"/>
    <n v="54704.080604485862"/>
    <n v="16"/>
    <n v="32463.835381020948"/>
    <n v="22240.24522346491"/>
  </r>
  <r>
    <s v="ORD100553"/>
    <d v="2022-10-01T00:00:00"/>
    <x v="0"/>
    <n v="10"/>
    <x v="0"/>
    <x v="1"/>
    <x v="6"/>
    <n v="145240.0847272432"/>
    <n v="41"/>
    <n v="84869.947704271268"/>
    <n v="60370.137022971961"/>
  </r>
  <r>
    <s v="ORD100554"/>
    <d v="2022-10-01T00:00:00"/>
    <x v="0"/>
    <n v="10"/>
    <x v="1"/>
    <x v="0"/>
    <x v="6"/>
    <n v="39864.934724078659"/>
    <n v="11"/>
    <n v="23875.796288653921"/>
    <n v="15989.138435424729"/>
  </r>
  <r>
    <s v="ORD100555"/>
    <d v="2022-10-01T00:00:00"/>
    <x v="0"/>
    <n v="10"/>
    <x v="1"/>
    <x v="1"/>
    <x v="6"/>
    <n v="116359.6125610606"/>
    <n v="33"/>
    <n v="66974.633927929099"/>
    <n v="49384.978633131468"/>
  </r>
  <r>
    <s v="ORD100556"/>
    <d v="2022-10-01T00:00:00"/>
    <x v="0"/>
    <n v="10"/>
    <x v="2"/>
    <x v="0"/>
    <x v="6"/>
    <n v="32302.84255372149"/>
    <n v="9"/>
    <n v="18749.696215641841"/>
    <n v="13553.14633807965"/>
  </r>
  <r>
    <s v="ORD100557"/>
    <d v="2022-10-01T00:00:00"/>
    <x v="0"/>
    <n v="10"/>
    <x v="2"/>
    <x v="1"/>
    <x v="6"/>
    <n v="82613.091423314923"/>
    <n v="24"/>
    <n v="47895.782013083721"/>
    <n v="34717.309410231202"/>
  </r>
  <r>
    <s v="ORD100558"/>
    <d v="2022-10-01T00:00:00"/>
    <x v="0"/>
    <n v="10"/>
    <x v="3"/>
    <x v="0"/>
    <x v="6"/>
    <n v="20843.587987167579"/>
    <n v="6"/>
    <n v="12536.79693839615"/>
    <n v="8306.7910487714271"/>
  </r>
  <r>
    <s v="ORD100559"/>
    <d v="2022-10-01T00:00:00"/>
    <x v="0"/>
    <n v="10"/>
    <x v="3"/>
    <x v="1"/>
    <x v="6"/>
    <n v="59147.518232290131"/>
    <n v="17"/>
    <n v="35489.24519785829"/>
    <n v="23658.273034431841"/>
  </r>
  <r>
    <s v="ORD100560"/>
    <d v="2022-11-01T00:00:00"/>
    <x v="0"/>
    <n v="11"/>
    <x v="0"/>
    <x v="0"/>
    <x v="0"/>
    <n v="56638.427220742138"/>
    <n v="11"/>
    <n v="35423.843133441813"/>
    <n v="21214.584087300329"/>
  </r>
  <r>
    <s v="ORD100561"/>
    <d v="2022-11-01T00:00:00"/>
    <x v="0"/>
    <n v="11"/>
    <x v="0"/>
    <x v="1"/>
    <x v="0"/>
    <n v="163356.90771557129"/>
    <n v="31"/>
    <n v="103235.4785561039"/>
    <n v="60121.429159467429"/>
  </r>
  <r>
    <s v="ORD100562"/>
    <d v="2022-11-01T00:00:00"/>
    <x v="0"/>
    <n v="11"/>
    <x v="1"/>
    <x v="0"/>
    <x v="0"/>
    <n v="48920.112008580632"/>
    <n v="9"/>
    <n v="29850.426373136619"/>
    <n v="19069.68563544401"/>
  </r>
  <r>
    <s v="ORD100563"/>
    <d v="2022-11-01T00:00:00"/>
    <x v="0"/>
    <n v="11"/>
    <x v="1"/>
    <x v="1"/>
    <x v="0"/>
    <n v="128385.0358538328"/>
    <n v="25"/>
    <n v="80098.181299470307"/>
    <n v="48286.854554362508"/>
  </r>
  <r>
    <s v="ORD100564"/>
    <d v="2022-11-01T00:00:00"/>
    <x v="0"/>
    <n v="11"/>
    <x v="2"/>
    <x v="0"/>
    <x v="0"/>
    <n v="31184.483996714691"/>
    <n v="6"/>
    <n v="19290.817018423881"/>
    <n v="11893.666978290819"/>
  </r>
  <r>
    <s v="ORD100565"/>
    <d v="2022-11-01T00:00:00"/>
    <x v="0"/>
    <n v="11"/>
    <x v="2"/>
    <x v="1"/>
    <x v="0"/>
    <n v="80513.564059920012"/>
    <n v="15"/>
    <n v="50679.359858339703"/>
    <n v="29834.204201580309"/>
  </r>
  <r>
    <s v="ORD100566"/>
    <d v="2022-11-01T00:00:00"/>
    <x v="0"/>
    <n v="11"/>
    <x v="3"/>
    <x v="0"/>
    <x v="0"/>
    <n v="26650.333657577579"/>
    <n v="5"/>
    <n v="16488.937138746729"/>
    <n v="10161.39651883085"/>
  </r>
  <r>
    <s v="ORD100567"/>
    <d v="2022-11-01T00:00:00"/>
    <x v="0"/>
    <n v="11"/>
    <x v="3"/>
    <x v="1"/>
    <x v="0"/>
    <n v="65107.17090368447"/>
    <n v="13"/>
    <n v="40086.747986833951"/>
    <n v="25020.422916850519"/>
  </r>
  <r>
    <s v="ORD100568"/>
    <d v="2022-11-01T00:00:00"/>
    <x v="0"/>
    <n v="11"/>
    <x v="0"/>
    <x v="0"/>
    <x v="1"/>
    <n v="67512.094751471726"/>
    <n v="11"/>
    <n v="44991.814797796113"/>
    <n v="22520.279953675621"/>
  </r>
  <r>
    <s v="ORD100569"/>
    <d v="2022-11-01T00:00:00"/>
    <x v="0"/>
    <n v="11"/>
    <x v="0"/>
    <x v="1"/>
    <x v="1"/>
    <n v="177126.48728863921"/>
    <n v="29"/>
    <n v="118747.17168074159"/>
    <n v="58379.315607897617"/>
  </r>
  <r>
    <s v="ORD100570"/>
    <d v="2022-11-01T00:00:00"/>
    <x v="0"/>
    <n v="11"/>
    <x v="1"/>
    <x v="0"/>
    <x v="1"/>
    <n v="58065.439225420581"/>
    <n v="10"/>
    <n v="37862.153732136991"/>
    <n v="20203.285493283591"/>
  </r>
  <r>
    <s v="ORD100571"/>
    <d v="2022-11-01T00:00:00"/>
    <x v="0"/>
    <n v="11"/>
    <x v="1"/>
    <x v="1"/>
    <x v="1"/>
    <n v="124186.18306786929"/>
    <n v="20"/>
    <n v="81872.773941291409"/>
    <n v="42313.409126577862"/>
  </r>
  <r>
    <s v="ORD100572"/>
    <d v="2022-11-01T00:00:00"/>
    <x v="0"/>
    <n v="11"/>
    <x v="2"/>
    <x v="0"/>
    <x v="1"/>
    <n v="36714.573298537347"/>
    <n v="6"/>
    <n v="23769.95924586993"/>
    <n v="12944.614052667421"/>
  </r>
  <r>
    <s v="ORD100573"/>
    <d v="2022-11-01T00:00:00"/>
    <x v="0"/>
    <n v="11"/>
    <x v="2"/>
    <x v="1"/>
    <x v="1"/>
    <n v="94311.129806953788"/>
    <n v="15"/>
    <n v="59446.477584778258"/>
    <n v="34864.652222175529"/>
  </r>
  <r>
    <s v="ORD100574"/>
    <d v="2022-11-01T00:00:00"/>
    <x v="0"/>
    <n v="11"/>
    <x v="3"/>
    <x v="0"/>
    <x v="1"/>
    <n v="27726.435340404099"/>
    <n v="5"/>
    <n v="18365.476733050698"/>
    <n v="9360.9586073533974"/>
  </r>
  <r>
    <s v="ORD100575"/>
    <d v="2022-11-01T00:00:00"/>
    <x v="0"/>
    <n v="11"/>
    <x v="3"/>
    <x v="1"/>
    <x v="1"/>
    <n v="70256.781125702299"/>
    <n v="12"/>
    <n v="46877.698739410429"/>
    <n v="23379.08238629187"/>
  </r>
  <r>
    <s v="ORD100576"/>
    <d v="2022-11-01T00:00:00"/>
    <x v="0"/>
    <n v="11"/>
    <x v="0"/>
    <x v="0"/>
    <x v="2"/>
    <n v="40847.076509003557"/>
    <n v="9"/>
    <n v="26265.44668353652"/>
    <n v="14581.62982546704"/>
  </r>
  <r>
    <s v="ORD100577"/>
    <d v="2022-11-01T00:00:00"/>
    <x v="0"/>
    <n v="11"/>
    <x v="0"/>
    <x v="1"/>
    <x v="2"/>
    <n v="109438.0962256044"/>
    <n v="25"/>
    <n v="67582.516744977882"/>
    <n v="41855.579480626468"/>
  </r>
  <r>
    <s v="ORD100578"/>
    <d v="2022-11-01T00:00:00"/>
    <x v="0"/>
    <n v="11"/>
    <x v="1"/>
    <x v="0"/>
    <x v="2"/>
    <n v="33546.653291919589"/>
    <n v="8"/>
    <n v="21334.26973217768"/>
    <n v="12212.383559741909"/>
  </r>
  <r>
    <s v="ORD100579"/>
    <d v="2022-11-01T00:00:00"/>
    <x v="0"/>
    <n v="11"/>
    <x v="1"/>
    <x v="1"/>
    <x v="2"/>
    <n v="89855.305678008837"/>
    <n v="21"/>
    <n v="55211.110392689632"/>
    <n v="34644.195285319212"/>
  </r>
  <r>
    <s v="ORD100580"/>
    <d v="2022-11-01T00:00:00"/>
    <x v="0"/>
    <n v="11"/>
    <x v="2"/>
    <x v="0"/>
    <x v="2"/>
    <n v="23394.105367476539"/>
    <n v="5"/>
    <n v="15341.3620122214"/>
    <n v="8052.7433552551356"/>
  </r>
  <r>
    <s v="ORD100581"/>
    <d v="2022-11-01T00:00:00"/>
    <x v="0"/>
    <n v="11"/>
    <x v="2"/>
    <x v="1"/>
    <x v="2"/>
    <n v="59682.5991994246"/>
    <n v="14"/>
    <n v="37450.153672592678"/>
    <n v="22232.445526831922"/>
  </r>
  <r>
    <s v="ORD100582"/>
    <d v="2022-11-01T00:00:00"/>
    <x v="0"/>
    <n v="11"/>
    <x v="3"/>
    <x v="0"/>
    <x v="2"/>
    <n v="19161.596543269759"/>
    <n v="4"/>
    <n v="12540.541579271419"/>
    <n v="6621.0549639983401"/>
  </r>
  <r>
    <s v="ORD100583"/>
    <d v="2022-11-01T00:00:00"/>
    <x v="0"/>
    <n v="11"/>
    <x v="3"/>
    <x v="1"/>
    <x v="2"/>
    <n v="44169.984643707787"/>
    <n v="10"/>
    <n v="28750.084800745219"/>
    <n v="15419.89984296257"/>
  </r>
  <r>
    <s v="ORD100584"/>
    <d v="2022-11-01T00:00:00"/>
    <x v="0"/>
    <n v="11"/>
    <x v="0"/>
    <x v="0"/>
    <x v="3"/>
    <n v="41139.29585761881"/>
    <n v="48"/>
    <n v="19426.753010086959"/>
    <n v="21712.542847531851"/>
  </r>
  <r>
    <s v="ORD100585"/>
    <d v="2022-11-01T00:00:00"/>
    <x v="0"/>
    <n v="11"/>
    <x v="0"/>
    <x v="1"/>
    <x v="3"/>
    <n v="96592.532632928996"/>
    <n v="114"/>
    <n v="45419.03924171684"/>
    <n v="51173.493391212163"/>
  </r>
  <r>
    <s v="ORD100586"/>
    <d v="2022-11-01T00:00:00"/>
    <x v="0"/>
    <n v="11"/>
    <x v="1"/>
    <x v="0"/>
    <x v="3"/>
    <n v="27242.091934325461"/>
    <n v="32"/>
    <n v="13158.67135293633"/>
    <n v="14083.420581389129"/>
  </r>
  <r>
    <s v="ORD100587"/>
    <d v="2022-11-01T00:00:00"/>
    <x v="0"/>
    <n v="11"/>
    <x v="1"/>
    <x v="1"/>
    <x v="3"/>
    <n v="71870.631077097758"/>
    <n v="85"/>
    <n v="33973.609561032659"/>
    <n v="37897.021516065099"/>
  </r>
  <r>
    <s v="ORD100588"/>
    <d v="2022-11-01T00:00:00"/>
    <x v="0"/>
    <n v="11"/>
    <x v="2"/>
    <x v="0"/>
    <x v="3"/>
    <n v="18832.4745010322"/>
    <n v="22"/>
    <n v="9056.2633009995134"/>
    <n v="9776.211200032687"/>
  </r>
  <r>
    <s v="ORD100589"/>
    <d v="2022-11-01T00:00:00"/>
    <x v="0"/>
    <n v="11"/>
    <x v="2"/>
    <x v="1"/>
    <x v="3"/>
    <n v="53911.428784462587"/>
    <n v="63"/>
    <n v="25652.5872621491"/>
    <n v="28258.841522313491"/>
  </r>
  <r>
    <s v="ORD100590"/>
    <d v="2022-11-01T00:00:00"/>
    <x v="0"/>
    <n v="11"/>
    <x v="3"/>
    <x v="0"/>
    <x v="3"/>
    <n v="14160.31816916834"/>
    <n v="17"/>
    <n v="6579.0366296231477"/>
    <n v="7581.2815395451889"/>
  </r>
  <r>
    <s v="ORD100591"/>
    <d v="2022-11-01T00:00:00"/>
    <x v="0"/>
    <n v="11"/>
    <x v="3"/>
    <x v="1"/>
    <x v="3"/>
    <n v="39611.402477086442"/>
    <n v="47"/>
    <n v="18250.11219915163"/>
    <n v="21361.290277934819"/>
  </r>
  <r>
    <s v="ORD100592"/>
    <d v="2022-11-01T00:00:00"/>
    <x v="0"/>
    <n v="11"/>
    <x v="0"/>
    <x v="0"/>
    <x v="4"/>
    <n v="38171.921364628732"/>
    <n v="53"/>
    <n v="21080.221186296349"/>
    <n v="17091.700178332379"/>
  </r>
  <r>
    <s v="ORD100593"/>
    <d v="2022-11-01T00:00:00"/>
    <x v="0"/>
    <n v="11"/>
    <x v="0"/>
    <x v="1"/>
    <x v="4"/>
    <n v="89462.066664097933"/>
    <n v="124"/>
    <n v="48706.779311527949"/>
    <n v="40755.287352569983"/>
  </r>
  <r>
    <s v="ORD100594"/>
    <d v="2022-11-01T00:00:00"/>
    <x v="0"/>
    <n v="11"/>
    <x v="1"/>
    <x v="0"/>
    <x v="4"/>
    <n v="26851.115789446321"/>
    <n v="37"/>
    <n v="14621.088004907821"/>
    <n v="12230.027784538501"/>
  </r>
  <r>
    <s v="ORD100595"/>
    <d v="2022-11-01T00:00:00"/>
    <x v="0"/>
    <n v="11"/>
    <x v="1"/>
    <x v="1"/>
    <x v="4"/>
    <n v="75219.456328519766"/>
    <n v="104"/>
    <n v="41888.891727273462"/>
    <n v="33330.564601246297"/>
  </r>
  <r>
    <s v="ORD100596"/>
    <d v="2022-11-01T00:00:00"/>
    <x v="0"/>
    <n v="11"/>
    <x v="2"/>
    <x v="0"/>
    <x v="4"/>
    <n v="19366.41437269669"/>
    <n v="27"/>
    <n v="10876.50906176305"/>
    <n v="8489.9053109336328"/>
  </r>
  <r>
    <s v="ORD100597"/>
    <d v="2022-11-01T00:00:00"/>
    <x v="0"/>
    <n v="11"/>
    <x v="2"/>
    <x v="1"/>
    <x v="4"/>
    <n v="48032.390847718612"/>
    <n v="67"/>
    <n v="26288.214317903901"/>
    <n v="21744.176529814711"/>
  </r>
  <r>
    <s v="ORD100598"/>
    <d v="2022-11-01T00:00:00"/>
    <x v="0"/>
    <n v="11"/>
    <x v="3"/>
    <x v="0"/>
    <x v="4"/>
    <n v="14328.879173676551"/>
    <n v="20"/>
    <n v="7832.5676081136889"/>
    <n v="6496.3115655628653"/>
  </r>
  <r>
    <s v="ORD100599"/>
    <d v="2022-11-01T00:00:00"/>
    <x v="0"/>
    <n v="11"/>
    <x v="3"/>
    <x v="1"/>
    <x v="4"/>
    <n v="34962.922661136647"/>
    <n v="49"/>
    <n v="19402.723439269201"/>
    <n v="15560.19922186745"/>
  </r>
  <r>
    <s v="ORD100600"/>
    <d v="2022-11-01T00:00:00"/>
    <x v="0"/>
    <n v="11"/>
    <x v="0"/>
    <x v="0"/>
    <x v="5"/>
    <n v="30383.209487314722"/>
    <n v="6"/>
    <n v="20452.36206992402"/>
    <n v="9930.8474173907052"/>
  </r>
  <r>
    <s v="ORD100601"/>
    <d v="2022-11-01T00:00:00"/>
    <x v="0"/>
    <n v="11"/>
    <x v="0"/>
    <x v="1"/>
    <x v="5"/>
    <n v="74146.996266021946"/>
    <n v="14"/>
    <n v="51366.930342221887"/>
    <n v="22780.065923800059"/>
  </r>
  <r>
    <s v="ORD100602"/>
    <d v="2022-11-01T00:00:00"/>
    <x v="0"/>
    <n v="11"/>
    <x v="1"/>
    <x v="0"/>
    <x v="5"/>
    <n v="23793.09736871341"/>
    <n v="4"/>
    <n v="16580.325156579031"/>
    <n v="7212.7722121343832"/>
  </r>
  <r>
    <s v="ORD100603"/>
    <d v="2022-11-01T00:00:00"/>
    <x v="0"/>
    <n v="11"/>
    <x v="1"/>
    <x v="1"/>
    <x v="5"/>
    <n v="62857.860958399848"/>
    <n v="12"/>
    <n v="43902.976134282289"/>
    <n v="18954.884824117558"/>
  </r>
  <r>
    <s v="ORD100604"/>
    <d v="2022-11-01T00:00:00"/>
    <x v="0"/>
    <n v="11"/>
    <x v="2"/>
    <x v="0"/>
    <x v="5"/>
    <n v="16152.02419732455"/>
    <n v="3"/>
    <n v="10756.368337836981"/>
    <n v="5395.6558594875769"/>
  </r>
  <r>
    <s v="ORD100605"/>
    <d v="2022-11-01T00:00:00"/>
    <x v="0"/>
    <n v="11"/>
    <x v="2"/>
    <x v="1"/>
    <x v="5"/>
    <n v="45079.972930850963"/>
    <n v="8"/>
    <n v="30678.90363536161"/>
    <n v="14401.069295489349"/>
  </r>
  <r>
    <s v="ORD100606"/>
    <d v="2022-11-01T00:00:00"/>
    <x v="0"/>
    <n v="11"/>
    <x v="3"/>
    <x v="0"/>
    <x v="5"/>
    <n v="13024.79468962268"/>
    <n v="2"/>
    <n v="8845.0334898304409"/>
    <n v="4179.7611997922359"/>
  </r>
  <r>
    <s v="ORD100607"/>
    <d v="2022-11-01T00:00:00"/>
    <x v="0"/>
    <n v="11"/>
    <x v="3"/>
    <x v="1"/>
    <x v="5"/>
    <n v="32059.8423305453"/>
    <n v="6"/>
    <n v="22161.064519390991"/>
    <n v="9898.7778111543084"/>
  </r>
  <r>
    <s v="ORD100608"/>
    <d v="2022-11-01T00:00:00"/>
    <x v="0"/>
    <n v="11"/>
    <x v="0"/>
    <x v="0"/>
    <x v="6"/>
    <n v="58977.858994600138"/>
    <n v="17"/>
    <n v="35098.048704537381"/>
    <n v="23879.81029006276"/>
  </r>
  <r>
    <s v="ORD100609"/>
    <d v="2022-11-01T00:00:00"/>
    <x v="0"/>
    <n v="11"/>
    <x v="0"/>
    <x v="1"/>
    <x v="6"/>
    <n v="166789.14627500699"/>
    <n v="48"/>
    <n v="101056.7205447114"/>
    <n v="65732.425730295639"/>
  </r>
  <r>
    <s v="ORD100610"/>
    <d v="2022-11-01T00:00:00"/>
    <x v="0"/>
    <n v="11"/>
    <x v="1"/>
    <x v="0"/>
    <x v="6"/>
    <n v="51461.752505255106"/>
    <n v="15"/>
    <n v="30091.92355715646"/>
    <n v="21369.82894809865"/>
  </r>
  <r>
    <s v="ORD100611"/>
    <d v="2022-11-01T00:00:00"/>
    <x v="0"/>
    <n v="11"/>
    <x v="1"/>
    <x v="1"/>
    <x v="6"/>
    <n v="134168.98068257971"/>
    <n v="38"/>
    <n v="78450.720200737109"/>
    <n v="55718.260481842553"/>
  </r>
  <r>
    <s v="ORD100612"/>
    <d v="2022-11-01T00:00:00"/>
    <x v="0"/>
    <n v="11"/>
    <x v="2"/>
    <x v="0"/>
    <x v="6"/>
    <n v="36003.317601677561"/>
    <n v="10"/>
    <n v="21681.54049756104"/>
    <n v="14321.77710411652"/>
  </r>
  <r>
    <s v="ORD100613"/>
    <d v="2022-11-01T00:00:00"/>
    <x v="0"/>
    <n v="11"/>
    <x v="2"/>
    <x v="1"/>
    <x v="6"/>
    <n v="85738.446998835105"/>
    <n v="24"/>
    <n v="50855.729579162951"/>
    <n v="34882.717419672153"/>
  </r>
  <r>
    <s v="ORD100614"/>
    <d v="2022-11-01T00:00:00"/>
    <x v="0"/>
    <n v="11"/>
    <x v="3"/>
    <x v="0"/>
    <x v="6"/>
    <n v="23483.696806811738"/>
    <n v="7"/>
    <n v="14171.529422595449"/>
    <n v="9312.1673842162927"/>
  </r>
  <r>
    <s v="ORD100615"/>
    <d v="2022-11-01T00:00:00"/>
    <x v="0"/>
    <n v="11"/>
    <x v="3"/>
    <x v="1"/>
    <x v="6"/>
    <n v="67231.400941111642"/>
    <n v="19"/>
    <n v="39872.677621231313"/>
    <n v="27358.72331988033"/>
  </r>
  <r>
    <s v="ORD100616"/>
    <d v="2022-12-01T00:00:00"/>
    <x v="0"/>
    <n v="12"/>
    <x v="0"/>
    <x v="0"/>
    <x v="0"/>
    <n v="63877.481603872111"/>
    <n v="12"/>
    <n v="38779.161752337342"/>
    <n v="25098.319851534779"/>
  </r>
  <r>
    <s v="ORD100617"/>
    <d v="2022-12-01T00:00:00"/>
    <x v="0"/>
    <n v="12"/>
    <x v="0"/>
    <x v="1"/>
    <x v="0"/>
    <n v="144653.08362612591"/>
    <n v="28"/>
    <n v="87532.80486654758"/>
    <n v="57120.278759578272"/>
  </r>
  <r>
    <s v="ORD100618"/>
    <d v="2022-12-01T00:00:00"/>
    <x v="0"/>
    <n v="12"/>
    <x v="1"/>
    <x v="0"/>
    <x v="0"/>
    <n v="49802.961901731913"/>
    <n v="10"/>
    <n v="30015.50423447552"/>
    <n v="19787.457667256389"/>
  </r>
  <r>
    <s v="ORD100619"/>
    <d v="2022-12-01T00:00:00"/>
    <x v="0"/>
    <n v="12"/>
    <x v="1"/>
    <x v="1"/>
    <x v="0"/>
    <n v="113246.55925549861"/>
    <n v="22"/>
    <n v="71049.588768869799"/>
    <n v="42196.970486628757"/>
  </r>
  <r>
    <s v="ORD100620"/>
    <d v="2022-12-01T00:00:00"/>
    <x v="0"/>
    <n v="12"/>
    <x v="2"/>
    <x v="0"/>
    <x v="0"/>
    <n v="34033.573649982332"/>
    <n v="7"/>
    <n v="21552.262187297361"/>
    <n v="12481.311462684969"/>
  </r>
  <r>
    <s v="ORD100621"/>
    <d v="2022-12-01T00:00:00"/>
    <x v="0"/>
    <n v="12"/>
    <x v="2"/>
    <x v="1"/>
    <x v="0"/>
    <n v="88147.93333675999"/>
    <n v="17"/>
    <n v="56470.993419210907"/>
    <n v="31676.93991754908"/>
  </r>
  <r>
    <s v="ORD100622"/>
    <d v="2022-12-01T00:00:00"/>
    <x v="0"/>
    <n v="12"/>
    <x v="3"/>
    <x v="0"/>
    <x v="0"/>
    <n v="25518.45693668531"/>
    <n v="5"/>
    <n v="16061.54787855923"/>
    <n v="9456.9090581260789"/>
  </r>
  <r>
    <s v="ORD100623"/>
    <d v="2022-12-01T00:00:00"/>
    <x v="0"/>
    <n v="12"/>
    <x v="3"/>
    <x v="1"/>
    <x v="0"/>
    <n v="63710.95983559842"/>
    <n v="12"/>
    <n v="40327.58996897118"/>
    <n v="23383.369866627239"/>
  </r>
  <r>
    <s v="ORD100624"/>
    <d v="2022-12-01T00:00:00"/>
    <x v="0"/>
    <n v="12"/>
    <x v="0"/>
    <x v="0"/>
    <x v="1"/>
    <n v="66356.971769564916"/>
    <n v="11"/>
    <n v="43338.362414260802"/>
    <n v="23018.60935530411"/>
  </r>
  <r>
    <s v="ORD100625"/>
    <d v="2022-12-01T00:00:00"/>
    <x v="0"/>
    <n v="12"/>
    <x v="0"/>
    <x v="1"/>
    <x v="1"/>
    <n v="169190.8165144228"/>
    <n v="28"/>
    <n v="109341.55825668979"/>
    <n v="59849.258257732967"/>
  </r>
  <r>
    <s v="ORD100626"/>
    <d v="2022-12-01T00:00:00"/>
    <x v="0"/>
    <n v="12"/>
    <x v="1"/>
    <x v="0"/>
    <x v="1"/>
    <n v="50421.199857372747"/>
    <n v="8"/>
    <n v="33787.192702449647"/>
    <n v="16634.0071549231"/>
  </r>
  <r>
    <s v="ORD100627"/>
    <d v="2022-12-01T00:00:00"/>
    <x v="0"/>
    <n v="12"/>
    <x v="1"/>
    <x v="1"/>
    <x v="1"/>
    <n v="133231.93477049679"/>
    <n v="22"/>
    <n v="88594.180115606418"/>
    <n v="44637.754654890377"/>
  </r>
  <r>
    <s v="ORD100628"/>
    <d v="2022-12-01T00:00:00"/>
    <x v="0"/>
    <n v="12"/>
    <x v="2"/>
    <x v="0"/>
    <x v="1"/>
    <n v="35788.716291124183"/>
    <n v="6"/>
    <n v="23666.23487135868"/>
    <n v="12122.4814197655"/>
  </r>
  <r>
    <s v="ORD100629"/>
    <d v="2022-12-01T00:00:00"/>
    <x v="0"/>
    <n v="12"/>
    <x v="2"/>
    <x v="1"/>
    <x v="1"/>
    <n v="89954.696627732759"/>
    <n v="15"/>
    <n v="59784.068876491823"/>
    <n v="30170.62775124094"/>
  </r>
  <r>
    <s v="ORD100630"/>
    <d v="2022-12-01T00:00:00"/>
    <x v="0"/>
    <n v="12"/>
    <x v="3"/>
    <x v="0"/>
    <x v="1"/>
    <n v="23078.5464526912"/>
    <n v="4"/>
    <n v="15320.449434672781"/>
    <n v="7758.0970180184122"/>
  </r>
  <r>
    <s v="ORD100631"/>
    <d v="2022-12-01T00:00:00"/>
    <x v="0"/>
    <n v="12"/>
    <x v="3"/>
    <x v="1"/>
    <x v="1"/>
    <n v="65761.21621390809"/>
    <n v="11"/>
    <n v="44405.375955406038"/>
    <n v="21355.840258502049"/>
  </r>
  <r>
    <s v="ORD100632"/>
    <d v="2022-12-01T00:00:00"/>
    <x v="0"/>
    <n v="12"/>
    <x v="0"/>
    <x v="0"/>
    <x v="2"/>
    <n v="44122.929790387883"/>
    <n v="10"/>
    <n v="28896.911254451101"/>
    <n v="15226.018535936781"/>
  </r>
  <r>
    <s v="ORD100633"/>
    <d v="2022-12-01T00:00:00"/>
    <x v="0"/>
    <n v="12"/>
    <x v="0"/>
    <x v="1"/>
    <x v="2"/>
    <n v="115027.58965112839"/>
    <n v="27"/>
    <n v="74338.813470570734"/>
    <n v="40688.776180557659"/>
  </r>
  <r>
    <s v="ORD100634"/>
    <d v="2022-12-01T00:00:00"/>
    <x v="0"/>
    <n v="12"/>
    <x v="1"/>
    <x v="0"/>
    <x v="2"/>
    <n v="36371.785261696561"/>
    <n v="8"/>
    <n v="23632.336479922611"/>
    <n v="12739.44878177395"/>
  </r>
  <r>
    <s v="ORD100635"/>
    <d v="2022-12-01T00:00:00"/>
    <x v="0"/>
    <n v="12"/>
    <x v="1"/>
    <x v="1"/>
    <x v="2"/>
    <n v="91152.881328868272"/>
    <n v="21"/>
    <n v="58877.651468755517"/>
    <n v="32275.229860112751"/>
  </r>
  <r>
    <s v="ORD100636"/>
    <d v="2022-12-01T00:00:00"/>
    <x v="0"/>
    <n v="12"/>
    <x v="2"/>
    <x v="0"/>
    <x v="2"/>
    <n v="23137.951958582438"/>
    <n v="5"/>
    <n v="14685.36482732812"/>
    <n v="8452.5871312543186"/>
  </r>
  <r>
    <s v="ORD100637"/>
    <d v="2022-12-01T00:00:00"/>
    <x v="0"/>
    <n v="12"/>
    <x v="2"/>
    <x v="1"/>
    <x v="2"/>
    <n v="63092.980512316353"/>
    <n v="15"/>
    <n v="40929.402289630198"/>
    <n v="22163.578222686159"/>
  </r>
  <r>
    <s v="ORD100638"/>
    <d v="2022-12-01T00:00:00"/>
    <x v="0"/>
    <n v="12"/>
    <x v="3"/>
    <x v="0"/>
    <x v="2"/>
    <n v="17609.67346279863"/>
    <n v="4"/>
    <n v="10987.29895184188"/>
    <n v="6622.3745109567553"/>
  </r>
  <r>
    <s v="ORD100639"/>
    <d v="2022-12-01T00:00:00"/>
    <x v="0"/>
    <n v="12"/>
    <x v="3"/>
    <x v="1"/>
    <x v="2"/>
    <n v="48760.675097493491"/>
    <n v="11"/>
    <n v="31798.827162716389"/>
    <n v="16961.847934777099"/>
  </r>
  <r>
    <s v="ORD100640"/>
    <d v="2022-12-01T00:00:00"/>
    <x v="0"/>
    <n v="12"/>
    <x v="0"/>
    <x v="0"/>
    <x v="3"/>
    <n v="40239.553543275382"/>
    <n v="47"/>
    <n v="18899.686217757331"/>
    <n v="21339.867325518051"/>
  </r>
  <r>
    <s v="ORD100641"/>
    <d v="2022-12-01T00:00:00"/>
    <x v="0"/>
    <n v="12"/>
    <x v="0"/>
    <x v="1"/>
    <x v="3"/>
    <n v="95963.792601925132"/>
    <n v="113"/>
    <n v="46299.587718732313"/>
    <n v="49664.204883192819"/>
  </r>
  <r>
    <s v="ORD100642"/>
    <d v="2022-12-01T00:00:00"/>
    <x v="0"/>
    <n v="12"/>
    <x v="1"/>
    <x v="0"/>
    <x v="3"/>
    <n v="33663.973406446246"/>
    <n v="40"/>
    <n v="15912.88851820399"/>
    <n v="17751.084888242262"/>
  </r>
  <r>
    <s v="ORD100643"/>
    <d v="2022-12-01T00:00:00"/>
    <x v="0"/>
    <n v="12"/>
    <x v="1"/>
    <x v="1"/>
    <x v="3"/>
    <n v="84937.775847787372"/>
    <n v="100"/>
    <n v="41176.243764962674"/>
    <n v="43761.532082824699"/>
  </r>
  <r>
    <s v="ORD100644"/>
    <d v="2022-12-01T00:00:00"/>
    <x v="0"/>
    <n v="12"/>
    <x v="2"/>
    <x v="0"/>
    <x v="3"/>
    <n v="25383.919080741631"/>
    <n v="30"/>
    <n v="12176.840777916541"/>
    <n v="13207.07830282509"/>
  </r>
  <r>
    <s v="ORD100645"/>
    <d v="2022-12-01T00:00:00"/>
    <x v="0"/>
    <n v="12"/>
    <x v="2"/>
    <x v="1"/>
    <x v="3"/>
    <n v="57846.925265658538"/>
    <n v="68"/>
    <n v="26969.46919129894"/>
    <n v="30877.456074359601"/>
  </r>
  <r>
    <s v="ORD100646"/>
    <d v="2022-12-01T00:00:00"/>
    <x v="0"/>
    <n v="12"/>
    <x v="3"/>
    <x v="0"/>
    <x v="3"/>
    <n v="15771.667810673631"/>
    <n v="19"/>
    <n v="7627.7281140415516"/>
    <n v="8143.9396966320792"/>
  </r>
  <r>
    <s v="ORD100647"/>
    <d v="2022-12-01T00:00:00"/>
    <x v="0"/>
    <n v="12"/>
    <x v="3"/>
    <x v="1"/>
    <x v="3"/>
    <n v="46718.376848589382"/>
    <n v="55"/>
    <n v="22191.54502898725"/>
    <n v="24526.831819602128"/>
  </r>
  <r>
    <s v="ORD100648"/>
    <d v="2022-12-01T00:00:00"/>
    <x v="0"/>
    <n v="12"/>
    <x v="0"/>
    <x v="0"/>
    <x v="4"/>
    <n v="31719.1342668576"/>
    <n v="44"/>
    <n v="17722.22103711986"/>
    <n v="13996.91322973774"/>
  </r>
  <r>
    <s v="ORD100649"/>
    <d v="2022-12-01T00:00:00"/>
    <x v="0"/>
    <n v="12"/>
    <x v="0"/>
    <x v="1"/>
    <x v="4"/>
    <n v="81405.370054651939"/>
    <n v="113"/>
    <n v="44774.021920060382"/>
    <n v="36631.348134591557"/>
  </r>
  <r>
    <s v="ORD100650"/>
    <d v="2022-12-01T00:00:00"/>
    <x v="0"/>
    <n v="12"/>
    <x v="1"/>
    <x v="0"/>
    <x v="4"/>
    <n v="25526.377604563651"/>
    <n v="35"/>
    <n v="14139.43496982927"/>
    <n v="11386.94263473438"/>
  </r>
  <r>
    <s v="ORD100651"/>
    <d v="2022-12-01T00:00:00"/>
    <x v="0"/>
    <n v="12"/>
    <x v="1"/>
    <x v="1"/>
    <x v="4"/>
    <n v="69327.076750359367"/>
    <n v="96"/>
    <n v="37472.676193960448"/>
    <n v="31854.400556398909"/>
  </r>
  <r>
    <s v="ORD100652"/>
    <d v="2022-12-01T00:00:00"/>
    <x v="0"/>
    <n v="12"/>
    <x v="2"/>
    <x v="0"/>
    <x v="4"/>
    <n v="17375.39362342867"/>
    <n v="24"/>
    <n v="9455.0916858751316"/>
    <n v="7920.3019375535387"/>
  </r>
  <r>
    <s v="ORD100653"/>
    <d v="2022-12-01T00:00:00"/>
    <x v="0"/>
    <n v="12"/>
    <x v="2"/>
    <x v="1"/>
    <x v="4"/>
    <n v="47296.664062538868"/>
    <n v="66"/>
    <n v="25798.413667168421"/>
    <n v="21498.250395370451"/>
  </r>
  <r>
    <s v="ORD100654"/>
    <d v="2022-12-01T00:00:00"/>
    <x v="0"/>
    <n v="12"/>
    <x v="3"/>
    <x v="0"/>
    <x v="4"/>
    <n v="12209.11782610013"/>
    <n v="17"/>
    <n v="6818.5646614346906"/>
    <n v="5390.5531646654426"/>
  </r>
  <r>
    <s v="ORD100655"/>
    <d v="2022-12-01T00:00:00"/>
    <x v="0"/>
    <n v="12"/>
    <x v="3"/>
    <x v="1"/>
    <x v="4"/>
    <n v="34948.525612321842"/>
    <n v="49"/>
    <n v="19802.045462312471"/>
    <n v="15146.480150009371"/>
  </r>
  <r>
    <s v="ORD100656"/>
    <d v="2022-12-01T00:00:00"/>
    <x v="0"/>
    <n v="12"/>
    <x v="0"/>
    <x v="0"/>
    <x v="5"/>
    <n v="26556.522177197639"/>
    <n v="5"/>
    <n v="18058.428888664741"/>
    <n v="8498.0932885329021"/>
  </r>
  <r>
    <s v="ORD100657"/>
    <d v="2022-12-01T00:00:00"/>
    <x v="0"/>
    <n v="12"/>
    <x v="0"/>
    <x v="1"/>
    <x v="5"/>
    <n v="73520.097927539638"/>
    <n v="14"/>
    <n v="51712.158734622513"/>
    <n v="21807.939192917129"/>
  </r>
  <r>
    <s v="ORD100658"/>
    <d v="2022-12-01T00:00:00"/>
    <x v="0"/>
    <n v="12"/>
    <x v="1"/>
    <x v="0"/>
    <x v="5"/>
    <n v="23318.010286565779"/>
    <n v="4"/>
    <n v="15461.067498244771"/>
    <n v="7856.9427883210046"/>
  </r>
  <r>
    <s v="ORD100659"/>
    <d v="2022-12-01T00:00:00"/>
    <x v="0"/>
    <n v="12"/>
    <x v="1"/>
    <x v="1"/>
    <x v="5"/>
    <n v="64423.171852657317"/>
    <n v="12"/>
    <n v="43496.474893214567"/>
    <n v="20926.696959442761"/>
  </r>
  <r>
    <s v="ORD100660"/>
    <d v="2022-12-01T00:00:00"/>
    <x v="0"/>
    <n v="12"/>
    <x v="2"/>
    <x v="0"/>
    <x v="5"/>
    <n v="18317.666011733891"/>
    <n v="3"/>
    <n v="12421.062260533619"/>
    <n v="5896.6037512002713"/>
  </r>
  <r>
    <s v="ORD100661"/>
    <d v="2022-12-01T00:00:00"/>
    <x v="0"/>
    <n v="12"/>
    <x v="2"/>
    <x v="1"/>
    <x v="5"/>
    <n v="45418.175205172738"/>
    <n v="8"/>
    <n v="30575.599211904861"/>
    <n v="14842.575993267879"/>
  </r>
  <r>
    <s v="ORD100662"/>
    <d v="2022-12-01T00:00:00"/>
    <x v="0"/>
    <n v="12"/>
    <x v="3"/>
    <x v="0"/>
    <x v="5"/>
    <n v="11767.48798254266"/>
    <n v="2"/>
    <n v="7888.1217797156314"/>
    <n v="3879.3662028270269"/>
  </r>
  <r>
    <s v="ORD100663"/>
    <d v="2022-12-01T00:00:00"/>
    <x v="0"/>
    <n v="12"/>
    <x v="3"/>
    <x v="1"/>
    <x v="5"/>
    <n v="32284.937423865569"/>
    <n v="6"/>
    <n v="22442.210681375651"/>
    <n v="9842.7267424899183"/>
  </r>
  <r>
    <s v="ORD100664"/>
    <d v="2022-12-01T00:00:00"/>
    <x v="0"/>
    <n v="12"/>
    <x v="0"/>
    <x v="0"/>
    <x v="6"/>
    <n v="63785.059440037578"/>
    <n v="18"/>
    <n v="37488.176182473813"/>
    <n v="26296.883257563772"/>
  </r>
  <r>
    <s v="ORD100665"/>
    <d v="2022-12-01T00:00:00"/>
    <x v="0"/>
    <n v="12"/>
    <x v="0"/>
    <x v="1"/>
    <x v="6"/>
    <n v="162539.41318750751"/>
    <n v="46"/>
    <n v="96553.171452524402"/>
    <n v="65986.241734983108"/>
  </r>
  <r>
    <s v="ORD100666"/>
    <d v="2022-12-01T00:00:00"/>
    <x v="0"/>
    <n v="12"/>
    <x v="1"/>
    <x v="0"/>
    <x v="6"/>
    <n v="56474.430226297627"/>
    <n v="16"/>
    <n v="33734.030660822973"/>
    <n v="22740.399565474661"/>
  </r>
  <r>
    <s v="ORD100667"/>
    <d v="2022-12-01T00:00:00"/>
    <x v="0"/>
    <n v="12"/>
    <x v="1"/>
    <x v="1"/>
    <x v="6"/>
    <n v="146263.26501092041"/>
    <n v="42"/>
    <n v="86707.913448452586"/>
    <n v="59555.351562467797"/>
  </r>
  <r>
    <s v="ORD100668"/>
    <d v="2022-12-01T00:00:00"/>
    <x v="0"/>
    <n v="12"/>
    <x v="2"/>
    <x v="0"/>
    <x v="6"/>
    <n v="35967.256856506887"/>
    <n v="10"/>
    <n v="21471.928837419149"/>
    <n v="14495.328019087739"/>
  </r>
  <r>
    <s v="ORD100669"/>
    <d v="2022-12-01T00:00:00"/>
    <x v="0"/>
    <n v="12"/>
    <x v="2"/>
    <x v="1"/>
    <x v="6"/>
    <n v="97515.55141324384"/>
    <n v="28"/>
    <n v="57462.166644349447"/>
    <n v="40053.384768894393"/>
  </r>
  <r>
    <s v="ORD100670"/>
    <d v="2022-12-01T00:00:00"/>
    <x v="0"/>
    <n v="12"/>
    <x v="3"/>
    <x v="0"/>
    <x v="6"/>
    <n v="29467.660986331859"/>
    <n v="8"/>
    <n v="17014.454484708731"/>
    <n v="12453.20650162313"/>
  </r>
  <r>
    <s v="ORD100671"/>
    <d v="2022-12-01T00:00:00"/>
    <x v="0"/>
    <n v="12"/>
    <x v="3"/>
    <x v="1"/>
    <x v="6"/>
    <n v="66655.34209247095"/>
    <n v="19"/>
    <n v="40075.457054464227"/>
    <n v="26579.88503800672"/>
  </r>
  <r>
    <s v="ORD100672"/>
    <d v="2023-01-01T00:00:00"/>
    <x v="1"/>
    <n v="1"/>
    <x v="0"/>
    <x v="0"/>
    <x v="0"/>
    <n v="52677.518184015877"/>
    <n v="10"/>
    <n v="32313.7333837189"/>
    <n v="20363.78480029698"/>
  </r>
  <r>
    <s v="ORD100673"/>
    <d v="2023-01-01T00:00:00"/>
    <x v="1"/>
    <n v="1"/>
    <x v="0"/>
    <x v="1"/>
    <x v="0"/>
    <n v="119155.0854424779"/>
    <n v="23"/>
    <n v="72632.02437912357"/>
    <n v="46523.061063354333"/>
  </r>
  <r>
    <s v="ORD100674"/>
    <d v="2023-01-01T00:00:00"/>
    <x v="1"/>
    <n v="1"/>
    <x v="1"/>
    <x v="0"/>
    <x v="0"/>
    <n v="45504.449480687777"/>
    <n v="9"/>
    <n v="28122.40670432405"/>
    <n v="17382.042776363742"/>
  </r>
  <r>
    <s v="ORD100675"/>
    <d v="2023-01-01T00:00:00"/>
    <x v="1"/>
    <n v="1"/>
    <x v="1"/>
    <x v="1"/>
    <x v="0"/>
    <n v="92560.060603196442"/>
    <n v="18"/>
    <n v="56444.331026437503"/>
    <n v="36115.729576758938"/>
  </r>
  <r>
    <s v="ORD100676"/>
    <d v="2023-01-01T00:00:00"/>
    <x v="1"/>
    <n v="1"/>
    <x v="2"/>
    <x v="0"/>
    <x v="0"/>
    <n v="27740.575141263169"/>
    <n v="5"/>
    <n v="17069.926478506652"/>
    <n v="10670.648662756519"/>
  </r>
  <r>
    <s v="ORD100677"/>
    <d v="2023-01-01T00:00:00"/>
    <x v="1"/>
    <n v="1"/>
    <x v="2"/>
    <x v="1"/>
    <x v="0"/>
    <n v="67441.775113576441"/>
    <n v="13"/>
    <n v="42072.852826825503"/>
    <n v="25368.922286750942"/>
  </r>
  <r>
    <s v="ORD100678"/>
    <d v="2023-01-01T00:00:00"/>
    <x v="1"/>
    <n v="1"/>
    <x v="3"/>
    <x v="0"/>
    <x v="0"/>
    <n v="21194.973283644271"/>
    <n v="4"/>
    <n v="13223.278763302451"/>
    <n v="7971.69452034182"/>
  </r>
  <r>
    <s v="ORD100679"/>
    <d v="2023-01-01T00:00:00"/>
    <x v="1"/>
    <n v="1"/>
    <x v="3"/>
    <x v="1"/>
    <x v="0"/>
    <n v="46893.184180274919"/>
    <n v="9"/>
    <n v="28603.914636721311"/>
    <n v="18289.269543553612"/>
  </r>
  <r>
    <s v="ORD100680"/>
    <d v="2023-01-01T00:00:00"/>
    <x v="1"/>
    <n v="1"/>
    <x v="0"/>
    <x v="0"/>
    <x v="1"/>
    <n v="54854.044665676767"/>
    <n v="9"/>
    <n v="35885.848445086987"/>
    <n v="18968.196220589791"/>
  </r>
  <r>
    <s v="ORD100681"/>
    <d v="2023-01-01T00:00:00"/>
    <x v="1"/>
    <n v="1"/>
    <x v="0"/>
    <x v="1"/>
    <x v="1"/>
    <n v="117824.58135156491"/>
    <n v="19"/>
    <n v="79268.027789881191"/>
    <n v="38556.553561683693"/>
  </r>
  <r>
    <s v="ORD100682"/>
    <d v="2023-01-01T00:00:00"/>
    <x v="1"/>
    <n v="1"/>
    <x v="1"/>
    <x v="0"/>
    <x v="1"/>
    <n v="41621.370903859774"/>
    <n v="7"/>
    <n v="27715.5557351405"/>
    <n v="13905.815168719269"/>
  </r>
  <r>
    <s v="ORD100683"/>
    <d v="2023-01-01T00:00:00"/>
    <x v="1"/>
    <n v="1"/>
    <x v="1"/>
    <x v="1"/>
    <x v="1"/>
    <n v="88160.312109272956"/>
    <n v="14"/>
    <n v="60359.113964530312"/>
    <n v="27801.198144742641"/>
  </r>
  <r>
    <s v="ORD100684"/>
    <d v="2023-01-01T00:00:00"/>
    <x v="1"/>
    <n v="1"/>
    <x v="2"/>
    <x v="0"/>
    <x v="1"/>
    <n v="31013.57219361742"/>
    <n v="5"/>
    <n v="20903.765532718458"/>
    <n v="10109.80666089895"/>
  </r>
  <r>
    <s v="ORD100685"/>
    <d v="2023-01-01T00:00:00"/>
    <x v="1"/>
    <n v="1"/>
    <x v="2"/>
    <x v="1"/>
    <x v="1"/>
    <n v="64885.851530740067"/>
    <n v="11"/>
    <n v="43706.733360520753"/>
    <n v="21179.118170219321"/>
  </r>
  <r>
    <s v="ORD100686"/>
    <d v="2023-01-01T00:00:00"/>
    <x v="1"/>
    <n v="1"/>
    <x v="3"/>
    <x v="0"/>
    <x v="1"/>
    <n v="23935.475972685461"/>
    <n v="4"/>
    <n v="15402.768925181361"/>
    <n v="8532.7070475041037"/>
  </r>
  <r>
    <s v="ORD100687"/>
    <d v="2023-01-01T00:00:00"/>
    <x v="1"/>
    <n v="1"/>
    <x v="3"/>
    <x v="1"/>
    <x v="1"/>
    <n v="49147.975863593107"/>
    <n v="8"/>
    <n v="32883.665288659249"/>
    <n v="16264.310574933859"/>
  </r>
  <r>
    <s v="ORD100688"/>
    <d v="2023-01-01T00:00:00"/>
    <x v="1"/>
    <n v="1"/>
    <x v="0"/>
    <x v="0"/>
    <x v="2"/>
    <n v="33909.331701334653"/>
    <n v="8"/>
    <n v="21681.226886756209"/>
    <n v="12228.104814578441"/>
  </r>
  <r>
    <s v="ORD100689"/>
    <d v="2023-01-01T00:00:00"/>
    <x v="1"/>
    <n v="1"/>
    <x v="0"/>
    <x v="1"/>
    <x v="2"/>
    <n v="82984.89999501346"/>
    <n v="19"/>
    <n v="52583.605079955822"/>
    <n v="30401.294915057639"/>
  </r>
  <r>
    <s v="ORD100690"/>
    <d v="2023-01-01T00:00:00"/>
    <x v="1"/>
    <n v="1"/>
    <x v="1"/>
    <x v="0"/>
    <x v="2"/>
    <n v="30480.544903988321"/>
    <n v="7"/>
    <n v="19566.544952549259"/>
    <n v="10913.999951439069"/>
  </r>
  <r>
    <s v="ORD100691"/>
    <d v="2023-01-01T00:00:00"/>
    <x v="1"/>
    <n v="1"/>
    <x v="1"/>
    <x v="1"/>
    <x v="2"/>
    <n v="65335.479780425238"/>
    <n v="15"/>
    <n v="42526.134441194386"/>
    <n v="22809.345339230851"/>
  </r>
  <r>
    <s v="ORD100692"/>
    <d v="2023-01-01T00:00:00"/>
    <x v="1"/>
    <n v="1"/>
    <x v="2"/>
    <x v="0"/>
    <x v="2"/>
    <n v="19443.157030956339"/>
    <n v="5"/>
    <n v="12555.799348361979"/>
    <n v="6887.3576825943583"/>
  </r>
  <r>
    <s v="ORD100693"/>
    <d v="2023-01-01T00:00:00"/>
    <x v="1"/>
    <n v="1"/>
    <x v="2"/>
    <x v="1"/>
    <x v="2"/>
    <n v="46276.761092752968"/>
    <n v="11"/>
    <n v="29148.805435261369"/>
    <n v="17127.955657491599"/>
  </r>
  <r>
    <s v="ORD100694"/>
    <d v="2023-01-01T00:00:00"/>
    <x v="1"/>
    <n v="1"/>
    <x v="3"/>
    <x v="0"/>
    <x v="2"/>
    <n v="15540.332242967421"/>
    <n v="4"/>
    <n v="10078.73106589382"/>
    <n v="5461.6011770736004"/>
  </r>
  <r>
    <s v="ORD100695"/>
    <d v="2023-01-01T00:00:00"/>
    <x v="1"/>
    <n v="1"/>
    <x v="3"/>
    <x v="1"/>
    <x v="2"/>
    <n v="31438.081973872631"/>
    <n v="7"/>
    <n v="19889.459484437219"/>
    <n v="11548.622489435411"/>
  </r>
  <r>
    <s v="ORD100696"/>
    <d v="2023-01-01T00:00:00"/>
    <x v="1"/>
    <n v="1"/>
    <x v="0"/>
    <x v="0"/>
    <x v="3"/>
    <n v="34502.079517627128"/>
    <n v="41"/>
    <n v="16625.590965714491"/>
    <n v="17876.488551912629"/>
  </r>
  <r>
    <s v="ORD100697"/>
    <d v="2023-01-01T00:00:00"/>
    <x v="1"/>
    <n v="1"/>
    <x v="0"/>
    <x v="1"/>
    <x v="3"/>
    <n v="74880.829441911643"/>
    <n v="88"/>
    <n v="35746.539627821083"/>
    <n v="39134.28981409056"/>
  </r>
  <r>
    <s v="ORD100698"/>
    <d v="2023-01-01T00:00:00"/>
    <x v="1"/>
    <n v="1"/>
    <x v="1"/>
    <x v="0"/>
    <x v="3"/>
    <n v="28350.03094358262"/>
    <n v="33"/>
    <n v="13554.404819240081"/>
    <n v="14795.626124342551"/>
  </r>
  <r>
    <s v="ORD100699"/>
    <d v="2023-01-01T00:00:00"/>
    <x v="1"/>
    <n v="1"/>
    <x v="1"/>
    <x v="1"/>
    <x v="3"/>
    <n v="57800.83115761193"/>
    <n v="68"/>
    <n v="28127.06006999057"/>
    <n v="29673.77108762136"/>
  </r>
  <r>
    <s v="ORD100700"/>
    <d v="2023-01-01T00:00:00"/>
    <x v="1"/>
    <n v="1"/>
    <x v="2"/>
    <x v="0"/>
    <x v="3"/>
    <n v="18442.410304250061"/>
    <n v="22"/>
    <n v="8686.6099562249201"/>
    <n v="9755.8003480251446"/>
  </r>
  <r>
    <s v="ORD100701"/>
    <d v="2023-01-01T00:00:00"/>
    <x v="1"/>
    <n v="1"/>
    <x v="2"/>
    <x v="1"/>
    <x v="3"/>
    <n v="39838.1633274306"/>
    <n v="47"/>
    <n v="19791.857909155311"/>
    <n v="20046.305418275289"/>
  </r>
  <r>
    <s v="ORD100702"/>
    <d v="2023-01-01T00:00:00"/>
    <x v="1"/>
    <n v="1"/>
    <x v="3"/>
    <x v="0"/>
    <x v="3"/>
    <n v="13509.74779251118"/>
    <n v="16"/>
    <n v="6272.1140877254111"/>
    <n v="7237.6337047857651"/>
  </r>
  <r>
    <s v="ORD100703"/>
    <d v="2023-01-01T00:00:00"/>
    <x v="1"/>
    <n v="1"/>
    <x v="3"/>
    <x v="1"/>
    <x v="3"/>
    <n v="30284.455490534809"/>
    <n v="36"/>
    <n v="14380.154286818341"/>
    <n v="15904.30120371647"/>
  </r>
  <r>
    <s v="ORD100704"/>
    <d v="2023-01-01T00:00:00"/>
    <x v="1"/>
    <n v="1"/>
    <x v="0"/>
    <x v="0"/>
    <x v="4"/>
    <n v="27431.4777393189"/>
    <n v="38"/>
    <n v="15187.8518028813"/>
    <n v="12243.6259364376"/>
  </r>
  <r>
    <s v="ORD100705"/>
    <d v="2023-01-01T00:00:00"/>
    <x v="1"/>
    <n v="1"/>
    <x v="0"/>
    <x v="1"/>
    <x v="4"/>
    <n v="61684.197952457631"/>
    <n v="86"/>
    <n v="34283.134085869016"/>
    <n v="27401.063866588611"/>
  </r>
  <r>
    <s v="ORD100706"/>
    <d v="2023-01-01T00:00:00"/>
    <x v="1"/>
    <n v="1"/>
    <x v="1"/>
    <x v="0"/>
    <x v="4"/>
    <n v="22426.953623928079"/>
    <n v="31"/>
    <n v="12312.516186337079"/>
    <n v="10114.437437590999"/>
  </r>
  <r>
    <s v="ORD100707"/>
    <d v="2023-01-01T00:00:00"/>
    <x v="1"/>
    <n v="1"/>
    <x v="1"/>
    <x v="1"/>
    <x v="4"/>
    <n v="51937.683967072953"/>
    <n v="72"/>
    <n v="28536.21685395822"/>
    <n v="23401.46711311473"/>
  </r>
  <r>
    <s v="ORD100708"/>
    <d v="2023-01-01T00:00:00"/>
    <x v="1"/>
    <n v="1"/>
    <x v="2"/>
    <x v="0"/>
    <x v="4"/>
    <n v="15051.797600231281"/>
    <n v="21"/>
    <n v="8339.6658963393875"/>
    <n v="6712.1317038918969"/>
  </r>
  <r>
    <s v="ORD100709"/>
    <d v="2023-01-01T00:00:00"/>
    <x v="1"/>
    <n v="1"/>
    <x v="2"/>
    <x v="1"/>
    <x v="4"/>
    <n v="33753.652182203426"/>
    <n v="47"/>
    <n v="18487.29425636879"/>
    <n v="15266.35792583464"/>
  </r>
  <r>
    <s v="ORD100710"/>
    <d v="2023-01-01T00:00:00"/>
    <x v="1"/>
    <n v="1"/>
    <x v="3"/>
    <x v="0"/>
    <x v="4"/>
    <n v="12308.117512077861"/>
    <n v="17"/>
    <n v="6939.2242741618657"/>
    <n v="5368.8932379159896"/>
  </r>
  <r>
    <s v="ORD100711"/>
    <d v="2023-01-01T00:00:00"/>
    <x v="1"/>
    <n v="1"/>
    <x v="3"/>
    <x v="1"/>
    <x v="4"/>
    <n v="26402.945494308391"/>
    <n v="37"/>
    <n v="14741.01678211577"/>
    <n v="11661.928712192621"/>
  </r>
  <r>
    <s v="ORD100712"/>
    <d v="2023-01-01T00:00:00"/>
    <x v="1"/>
    <n v="1"/>
    <x v="0"/>
    <x v="0"/>
    <x v="5"/>
    <n v="24881.317613368181"/>
    <n v="5"/>
    <n v="17437.834540357861"/>
    <n v="7443.4830730103131"/>
  </r>
  <r>
    <s v="ORD100713"/>
    <d v="2023-01-01T00:00:00"/>
    <x v="1"/>
    <n v="1"/>
    <x v="0"/>
    <x v="1"/>
    <x v="5"/>
    <n v="53115.13637630218"/>
    <n v="10"/>
    <n v="36012.080176804557"/>
    <n v="17103.05619949762"/>
  </r>
  <r>
    <s v="ORD100714"/>
    <d v="2023-01-01T00:00:00"/>
    <x v="1"/>
    <n v="1"/>
    <x v="1"/>
    <x v="0"/>
    <x v="5"/>
    <n v="21611.49806301673"/>
    <n v="4"/>
    <n v="14890.624634950589"/>
    <n v="6720.8734280661392"/>
  </r>
  <r>
    <s v="ORD100715"/>
    <d v="2023-01-01T00:00:00"/>
    <x v="1"/>
    <n v="1"/>
    <x v="1"/>
    <x v="1"/>
    <x v="5"/>
    <n v="46728.656080972964"/>
    <n v="9"/>
    <n v="32068.391300697229"/>
    <n v="14660.26478027574"/>
  </r>
  <r>
    <s v="ORD100716"/>
    <d v="2023-01-01T00:00:00"/>
    <x v="1"/>
    <n v="1"/>
    <x v="2"/>
    <x v="0"/>
    <x v="5"/>
    <n v="14567.036436419779"/>
    <n v="3"/>
    <n v="9869.3191331777853"/>
    <n v="4697.7173032419978"/>
  </r>
  <r>
    <s v="ORD100717"/>
    <d v="2023-01-01T00:00:00"/>
    <x v="1"/>
    <n v="1"/>
    <x v="2"/>
    <x v="1"/>
    <x v="5"/>
    <n v="32845.424558410967"/>
    <n v="6"/>
    <n v="22810.268384816369"/>
    <n v="10035.156173594591"/>
  </r>
  <r>
    <s v="ORD100718"/>
    <d v="2023-01-01T00:00:00"/>
    <x v="1"/>
    <n v="1"/>
    <x v="3"/>
    <x v="0"/>
    <x v="5"/>
    <n v="12571.594583520489"/>
    <n v="2"/>
    <n v="8590.4526815843747"/>
    <n v="3981.1419019361128"/>
  </r>
  <r>
    <s v="ORD100719"/>
    <d v="2023-01-01T00:00:00"/>
    <x v="1"/>
    <n v="1"/>
    <x v="3"/>
    <x v="1"/>
    <x v="5"/>
    <n v="23400.334265698461"/>
    <n v="4"/>
    <n v="16336.71206855506"/>
    <n v="7063.6221971433934"/>
  </r>
  <r>
    <s v="ORD100720"/>
    <d v="2023-01-01T00:00:00"/>
    <x v="1"/>
    <n v="1"/>
    <x v="0"/>
    <x v="0"/>
    <x v="6"/>
    <n v="55629.428294157849"/>
    <n v="16"/>
    <n v="32189.110075681099"/>
    <n v="23440.31821847675"/>
  </r>
  <r>
    <s v="ORD100721"/>
    <d v="2023-01-01T00:00:00"/>
    <x v="1"/>
    <n v="1"/>
    <x v="0"/>
    <x v="1"/>
    <x v="6"/>
    <n v="109540.70704661129"/>
    <n v="31"/>
    <n v="66628.815452212992"/>
    <n v="42911.89159439833"/>
  </r>
  <r>
    <s v="ORD100722"/>
    <d v="2023-01-01T00:00:00"/>
    <x v="1"/>
    <n v="1"/>
    <x v="1"/>
    <x v="0"/>
    <x v="6"/>
    <n v="43810.930802187941"/>
    <n v="13"/>
    <n v="25431.410608267292"/>
    <n v="18379.520193920649"/>
  </r>
  <r>
    <s v="ORD100723"/>
    <d v="2023-01-01T00:00:00"/>
    <x v="1"/>
    <n v="1"/>
    <x v="1"/>
    <x v="1"/>
    <x v="6"/>
    <n v="98822.694988270639"/>
    <n v="28"/>
    <n v="58535.547192620637"/>
    <n v="40287.147795650002"/>
  </r>
  <r>
    <s v="ORD100724"/>
    <d v="2023-01-01T00:00:00"/>
    <x v="1"/>
    <n v="1"/>
    <x v="2"/>
    <x v="0"/>
    <x v="6"/>
    <n v="28542.587966900821"/>
    <n v="8"/>
    <n v="17080.15710340807"/>
    <n v="11462.430863492749"/>
  </r>
  <r>
    <s v="ORD100725"/>
    <d v="2023-01-01T00:00:00"/>
    <x v="1"/>
    <n v="1"/>
    <x v="2"/>
    <x v="1"/>
    <x v="6"/>
    <n v="63301.191136156973"/>
    <n v="18"/>
    <n v="36964.084805167338"/>
    <n v="26337.106330989631"/>
  </r>
  <r>
    <s v="ORD100726"/>
    <d v="2023-01-01T00:00:00"/>
    <x v="1"/>
    <n v="1"/>
    <x v="3"/>
    <x v="0"/>
    <x v="6"/>
    <n v="20067.67303056932"/>
    <n v="6"/>
    <n v="12021.604086531401"/>
    <n v="8046.0689440379283"/>
  </r>
  <r>
    <s v="ORD100727"/>
    <d v="2023-01-01T00:00:00"/>
    <x v="1"/>
    <n v="1"/>
    <x v="3"/>
    <x v="1"/>
    <x v="6"/>
    <n v="46553.594881292513"/>
    <n v="13"/>
    <n v="26858.913620042309"/>
    <n v="19694.6812612502"/>
  </r>
  <r>
    <s v="ORD100728"/>
    <d v="2023-02-01T00:00:00"/>
    <x v="1"/>
    <n v="2"/>
    <x v="0"/>
    <x v="0"/>
    <x v="0"/>
    <n v="46967.199557367232"/>
    <n v="9"/>
    <n v="29880.796949190219"/>
    <n v="17086.40260817701"/>
  </r>
  <r>
    <s v="ORD100729"/>
    <d v="2023-02-01T00:00:00"/>
    <x v="1"/>
    <n v="2"/>
    <x v="0"/>
    <x v="1"/>
    <x v="0"/>
    <n v="100490.41432651501"/>
    <n v="19"/>
    <n v="62319.924901406208"/>
    <n v="38170.489425108841"/>
  </r>
  <r>
    <s v="ORD100730"/>
    <d v="2023-02-01T00:00:00"/>
    <x v="1"/>
    <n v="2"/>
    <x v="1"/>
    <x v="0"/>
    <x v="0"/>
    <n v="37618.20431822876"/>
    <n v="7"/>
    <n v="23072.901740879752"/>
    <n v="14545.30257734901"/>
  </r>
  <r>
    <s v="ORD100731"/>
    <d v="2023-02-01T00:00:00"/>
    <x v="1"/>
    <n v="2"/>
    <x v="1"/>
    <x v="1"/>
    <x v="0"/>
    <n v="87765.491253120563"/>
    <n v="17"/>
    <n v="54121.56713575597"/>
    <n v="33643.924117364593"/>
  </r>
  <r>
    <s v="ORD100732"/>
    <d v="2023-02-01T00:00:00"/>
    <x v="1"/>
    <n v="2"/>
    <x v="2"/>
    <x v="0"/>
    <x v="0"/>
    <n v="26454.2038731293"/>
    <n v="5"/>
    <n v="16640.422759746871"/>
    <n v="9813.7811133824289"/>
  </r>
  <r>
    <s v="ORD100733"/>
    <d v="2023-02-01T00:00:00"/>
    <x v="1"/>
    <n v="2"/>
    <x v="2"/>
    <x v="1"/>
    <x v="0"/>
    <n v="58391.973602918551"/>
    <n v="11"/>
    <n v="35822.160756421697"/>
    <n v="22569.81284649685"/>
  </r>
  <r>
    <s v="ORD100734"/>
    <d v="2023-02-01T00:00:00"/>
    <x v="1"/>
    <n v="2"/>
    <x v="3"/>
    <x v="0"/>
    <x v="0"/>
    <n v="19965.38709134997"/>
    <n v="4"/>
    <n v="12211.572822291449"/>
    <n v="7753.8142690585209"/>
  </r>
  <r>
    <s v="ORD100735"/>
    <d v="2023-02-01T00:00:00"/>
    <x v="1"/>
    <n v="2"/>
    <x v="3"/>
    <x v="1"/>
    <x v="0"/>
    <n v="41443.466005260023"/>
    <n v="8"/>
    <n v="25592.486235189361"/>
    <n v="15850.97977007066"/>
  </r>
  <r>
    <s v="ORD100736"/>
    <d v="2023-02-01T00:00:00"/>
    <x v="1"/>
    <n v="2"/>
    <x v="0"/>
    <x v="0"/>
    <x v="1"/>
    <n v="49686.970529245707"/>
    <n v="8"/>
    <n v="32098.661929384631"/>
    <n v="17588.30859986108"/>
  </r>
  <r>
    <s v="ORD100737"/>
    <d v="2023-02-01T00:00:00"/>
    <x v="1"/>
    <n v="2"/>
    <x v="0"/>
    <x v="1"/>
    <x v="1"/>
    <n v="106809.01043937419"/>
    <n v="18"/>
    <n v="72804.018750019095"/>
    <n v="34004.991689355127"/>
  </r>
  <r>
    <s v="ORD100738"/>
    <d v="2023-02-01T00:00:00"/>
    <x v="1"/>
    <n v="2"/>
    <x v="1"/>
    <x v="0"/>
    <x v="1"/>
    <n v="40410.673774943643"/>
    <n v="7"/>
    <n v="26399.13065326757"/>
    <n v="14011.54312167607"/>
  </r>
  <r>
    <s v="ORD100739"/>
    <d v="2023-02-01T00:00:00"/>
    <x v="1"/>
    <n v="2"/>
    <x v="1"/>
    <x v="1"/>
    <x v="1"/>
    <n v="86134.658426204202"/>
    <n v="14"/>
    <n v="57699.851171786227"/>
    <n v="28434.80725441797"/>
  </r>
  <r>
    <s v="ORD100740"/>
    <d v="2023-02-01T00:00:00"/>
    <x v="1"/>
    <n v="2"/>
    <x v="2"/>
    <x v="0"/>
    <x v="1"/>
    <n v="28456.256379799859"/>
    <n v="5"/>
    <n v="18851.942735389559"/>
    <n v="9604.3136444103075"/>
  </r>
  <r>
    <s v="ORD100741"/>
    <d v="2023-02-01T00:00:00"/>
    <x v="1"/>
    <n v="2"/>
    <x v="2"/>
    <x v="1"/>
    <x v="1"/>
    <n v="64710.4037643134"/>
    <n v="11"/>
    <n v="41951.996484841169"/>
    <n v="22758.407279472231"/>
  </r>
  <r>
    <s v="ORD100742"/>
    <d v="2023-02-01T00:00:00"/>
    <x v="1"/>
    <n v="2"/>
    <x v="3"/>
    <x v="0"/>
    <x v="1"/>
    <n v="19301.853093346101"/>
    <n v="3"/>
    <n v="12737.857590969859"/>
    <n v="6563.9955023762359"/>
  </r>
  <r>
    <s v="ORD100743"/>
    <d v="2023-02-01T00:00:00"/>
    <x v="1"/>
    <n v="2"/>
    <x v="3"/>
    <x v="1"/>
    <x v="1"/>
    <n v="43847.731261975481"/>
    <n v="7"/>
    <n v="29347.898341833032"/>
    <n v="14499.832920142449"/>
  </r>
  <r>
    <s v="ORD100744"/>
    <d v="2023-02-01T00:00:00"/>
    <x v="1"/>
    <n v="2"/>
    <x v="0"/>
    <x v="0"/>
    <x v="2"/>
    <n v="34885.161547579592"/>
    <n v="8"/>
    <n v="22250.845478401221"/>
    <n v="12634.316069178371"/>
  </r>
  <r>
    <s v="ORD100745"/>
    <d v="2023-02-01T00:00:00"/>
    <x v="1"/>
    <n v="2"/>
    <x v="0"/>
    <x v="1"/>
    <x v="2"/>
    <n v="69926.939216095881"/>
    <n v="16"/>
    <n v="45714.363182118534"/>
    <n v="24212.576033977359"/>
  </r>
  <r>
    <s v="ORD100746"/>
    <d v="2023-02-01T00:00:00"/>
    <x v="1"/>
    <n v="2"/>
    <x v="1"/>
    <x v="0"/>
    <x v="2"/>
    <n v="27779.304304642301"/>
    <n v="6"/>
    <n v="18105.657644611609"/>
    <n v="9673.6466600306885"/>
  </r>
  <r>
    <s v="ORD100747"/>
    <d v="2023-02-01T00:00:00"/>
    <x v="1"/>
    <n v="2"/>
    <x v="1"/>
    <x v="1"/>
    <x v="2"/>
    <n v="62872.740402348812"/>
    <n v="15"/>
    <n v="40904.118345156559"/>
    <n v="21968.622057192249"/>
  </r>
  <r>
    <s v="ORD100748"/>
    <d v="2023-02-01T00:00:00"/>
    <x v="1"/>
    <n v="2"/>
    <x v="2"/>
    <x v="0"/>
    <x v="2"/>
    <n v="18622.973585762571"/>
    <n v="4"/>
    <n v="11820.089868191069"/>
    <n v="6802.8837175714998"/>
  </r>
  <r>
    <s v="ORD100749"/>
    <d v="2023-02-01T00:00:00"/>
    <x v="1"/>
    <n v="2"/>
    <x v="2"/>
    <x v="1"/>
    <x v="2"/>
    <n v="39199.556518215271"/>
    <n v="9"/>
    <n v="24600.082116536869"/>
    <n v="14599.474401678401"/>
  </r>
  <r>
    <s v="ORD100750"/>
    <d v="2023-02-01T00:00:00"/>
    <x v="1"/>
    <n v="2"/>
    <x v="3"/>
    <x v="0"/>
    <x v="2"/>
    <n v="14214.4109883282"/>
    <n v="3"/>
    <n v="8996.7480532023856"/>
    <n v="5217.6629351258161"/>
  </r>
  <r>
    <s v="ORD100751"/>
    <d v="2023-02-01T00:00:00"/>
    <x v="1"/>
    <n v="2"/>
    <x v="3"/>
    <x v="1"/>
    <x v="2"/>
    <n v="29590.442057254018"/>
    <n v="7"/>
    <n v="19004.777899882942"/>
    <n v="10585.66415737108"/>
  </r>
  <r>
    <s v="ORD100752"/>
    <d v="2023-02-01T00:00:00"/>
    <x v="1"/>
    <n v="2"/>
    <x v="0"/>
    <x v="0"/>
    <x v="3"/>
    <n v="32302.396933416181"/>
    <n v="38"/>
    <n v="15657.475620731189"/>
    <n v="16644.92131268499"/>
  </r>
  <r>
    <s v="ORD100753"/>
    <d v="2023-02-01T00:00:00"/>
    <x v="1"/>
    <n v="2"/>
    <x v="0"/>
    <x v="1"/>
    <x v="3"/>
    <n v="63206.756281786467"/>
    <n v="74"/>
    <n v="29153.334028925299"/>
    <n v="34053.422252861172"/>
  </r>
  <r>
    <s v="ORD100754"/>
    <d v="2023-02-01T00:00:00"/>
    <x v="1"/>
    <n v="2"/>
    <x v="1"/>
    <x v="0"/>
    <x v="3"/>
    <n v="26408.109925949211"/>
    <n v="31"/>
    <n v="12674.04160713069"/>
    <n v="13734.06831881851"/>
  </r>
  <r>
    <s v="ORD100755"/>
    <d v="2023-02-01T00:00:00"/>
    <x v="1"/>
    <n v="2"/>
    <x v="1"/>
    <x v="1"/>
    <x v="3"/>
    <n v="59947.038652327632"/>
    <n v="71"/>
    <n v="28856.459668101601"/>
    <n v="31090.578984226031"/>
  </r>
  <r>
    <s v="ORD100756"/>
    <d v="2023-02-01T00:00:00"/>
    <x v="1"/>
    <n v="2"/>
    <x v="2"/>
    <x v="0"/>
    <x v="3"/>
    <n v="17647.978189176949"/>
    <n v="21"/>
    <n v="8428.7099901605561"/>
    <n v="9219.2681990163892"/>
  </r>
  <r>
    <s v="ORD100757"/>
    <d v="2023-02-01T00:00:00"/>
    <x v="1"/>
    <n v="2"/>
    <x v="2"/>
    <x v="1"/>
    <x v="3"/>
    <n v="37624.939199050277"/>
    <n v="44"/>
    <n v="18479.73743679918"/>
    <n v="19145.201762251101"/>
  </r>
  <r>
    <s v="ORD100758"/>
    <d v="2023-02-01T00:00:00"/>
    <x v="1"/>
    <n v="2"/>
    <x v="3"/>
    <x v="0"/>
    <x v="3"/>
    <n v="13812.8096164285"/>
    <n v="16"/>
    <n v="6680.4849782447263"/>
    <n v="7132.3246381837753"/>
  </r>
  <r>
    <s v="ORD100759"/>
    <d v="2023-02-01T00:00:00"/>
    <x v="1"/>
    <n v="2"/>
    <x v="3"/>
    <x v="1"/>
    <x v="3"/>
    <n v="28704.081769962271"/>
    <n v="34"/>
    <n v="14102.89112251796"/>
    <n v="14601.190647444309"/>
  </r>
  <r>
    <s v="ORD100760"/>
    <d v="2023-02-01T00:00:00"/>
    <x v="1"/>
    <n v="2"/>
    <x v="0"/>
    <x v="0"/>
    <x v="4"/>
    <n v="26449.3841916274"/>
    <n v="37"/>
    <n v="14490.612279942699"/>
    <n v="11958.7719116847"/>
  </r>
  <r>
    <s v="ORD100761"/>
    <d v="2023-02-01T00:00:00"/>
    <x v="1"/>
    <n v="2"/>
    <x v="0"/>
    <x v="1"/>
    <x v="4"/>
    <n v="60834.955192344511"/>
    <n v="84"/>
    <n v="34023.836228169333"/>
    <n v="26811.118964175181"/>
  </r>
  <r>
    <s v="ORD100762"/>
    <d v="2023-02-01T00:00:00"/>
    <x v="1"/>
    <n v="2"/>
    <x v="1"/>
    <x v="0"/>
    <x v="4"/>
    <n v="20472.263599442889"/>
    <n v="28"/>
    <n v="11591.132730984031"/>
    <n v="8881.130868458853"/>
  </r>
  <r>
    <s v="ORD100763"/>
    <d v="2023-02-01T00:00:00"/>
    <x v="1"/>
    <n v="2"/>
    <x v="1"/>
    <x v="1"/>
    <x v="4"/>
    <n v="46862.723944913159"/>
    <n v="65"/>
    <n v="26383.04649703703"/>
    <n v="20479.677447876129"/>
  </r>
  <r>
    <s v="ORD100764"/>
    <d v="2023-02-01T00:00:00"/>
    <x v="1"/>
    <n v="2"/>
    <x v="2"/>
    <x v="0"/>
    <x v="4"/>
    <n v="16664.04536186011"/>
    <n v="23"/>
    <n v="8985.0499281838038"/>
    <n v="7678.9954336763094"/>
  </r>
  <r>
    <s v="ORD100765"/>
    <d v="2023-02-01T00:00:00"/>
    <x v="1"/>
    <n v="2"/>
    <x v="2"/>
    <x v="1"/>
    <x v="4"/>
    <n v="32072.86649706087"/>
    <n v="45"/>
    <n v="17559.528995595181"/>
    <n v="14513.337501465679"/>
  </r>
  <r>
    <s v="ORD100766"/>
    <d v="2023-02-01T00:00:00"/>
    <x v="1"/>
    <n v="2"/>
    <x v="3"/>
    <x v="0"/>
    <x v="4"/>
    <n v="11439.24254064444"/>
    <n v="16"/>
    <n v="6252.4940118115519"/>
    <n v="5186.7485288328917"/>
  </r>
  <r>
    <s v="ORD100767"/>
    <d v="2023-02-01T00:00:00"/>
    <x v="1"/>
    <n v="2"/>
    <x v="3"/>
    <x v="1"/>
    <x v="4"/>
    <n v="24492.899785410362"/>
    <n v="34"/>
    <n v="13589.7291787178"/>
    <n v="10903.17060669256"/>
  </r>
  <r>
    <s v="ORD100768"/>
    <d v="2023-02-01T00:00:00"/>
    <x v="1"/>
    <n v="2"/>
    <x v="0"/>
    <x v="0"/>
    <x v="5"/>
    <n v="27654.043331495341"/>
    <n v="5"/>
    <n v="19317.027099544419"/>
    <n v="8337.0162319509218"/>
  </r>
  <r>
    <s v="ORD100769"/>
    <d v="2023-02-01T00:00:00"/>
    <x v="1"/>
    <n v="2"/>
    <x v="0"/>
    <x v="1"/>
    <x v="5"/>
    <n v="50707.33652858634"/>
    <n v="9"/>
    <n v="34459.740081610369"/>
    <n v="16247.596446975969"/>
  </r>
  <r>
    <s v="ORD100770"/>
    <d v="2023-02-01T00:00:00"/>
    <x v="1"/>
    <n v="2"/>
    <x v="1"/>
    <x v="0"/>
    <x v="5"/>
    <n v="18298.804341029801"/>
    <n v="3"/>
    <n v="12641.592732377019"/>
    <n v="5657.2116086527731"/>
  </r>
  <r>
    <s v="ORD100771"/>
    <d v="2023-02-01T00:00:00"/>
    <x v="1"/>
    <n v="2"/>
    <x v="1"/>
    <x v="1"/>
    <x v="5"/>
    <n v="41178.86258977418"/>
    <n v="8"/>
    <n v="27380.34057609602"/>
    <n v="13798.522013678161"/>
  </r>
  <r>
    <s v="ORD100772"/>
    <d v="2023-02-01T00:00:00"/>
    <x v="1"/>
    <n v="2"/>
    <x v="2"/>
    <x v="0"/>
    <x v="5"/>
    <n v="14089.90449491847"/>
    <n v="3"/>
    <n v="9974.3695948336608"/>
    <n v="4115.5349000848046"/>
  </r>
  <r>
    <s v="ORD100773"/>
    <d v="2023-02-01T00:00:00"/>
    <x v="1"/>
    <n v="2"/>
    <x v="2"/>
    <x v="1"/>
    <x v="5"/>
    <n v="29233.205335112649"/>
    <n v="5"/>
    <n v="19984.88068121206"/>
    <n v="9248.3246539005886"/>
  </r>
  <r>
    <s v="ORD100774"/>
    <d v="2023-02-01T00:00:00"/>
    <x v="1"/>
    <n v="2"/>
    <x v="3"/>
    <x v="0"/>
    <x v="5"/>
    <n v="10804.753127538999"/>
    <n v="2"/>
    <n v="7462.7763213000017"/>
    <n v="3341.9768062389981"/>
  </r>
  <r>
    <s v="ORD100775"/>
    <d v="2023-02-01T00:00:00"/>
    <x v="1"/>
    <n v="2"/>
    <x v="3"/>
    <x v="1"/>
    <x v="5"/>
    <n v="22568.08192752668"/>
    <n v="4"/>
    <n v="15485.183084576071"/>
    <n v="7082.8988429506126"/>
  </r>
  <r>
    <s v="ORD100776"/>
    <d v="2023-02-01T00:00:00"/>
    <x v="1"/>
    <n v="2"/>
    <x v="0"/>
    <x v="0"/>
    <x v="6"/>
    <n v="53298.58499768874"/>
    <n v="15"/>
    <n v="32094.8522516341"/>
    <n v="21203.73274605464"/>
  </r>
  <r>
    <s v="ORD100777"/>
    <d v="2023-02-01T00:00:00"/>
    <x v="1"/>
    <n v="2"/>
    <x v="0"/>
    <x v="1"/>
    <x v="6"/>
    <n v="107418.1656202248"/>
    <n v="31"/>
    <n v="60139.744510368168"/>
    <n v="47278.421109856637"/>
  </r>
  <r>
    <s v="ORD100778"/>
    <d v="2023-02-01T00:00:00"/>
    <x v="1"/>
    <n v="2"/>
    <x v="1"/>
    <x v="0"/>
    <x v="6"/>
    <n v="42096.165736759998"/>
    <n v="12"/>
    <n v="24829.31194378488"/>
    <n v="17266.853792975118"/>
  </r>
  <r>
    <s v="ORD100779"/>
    <d v="2023-02-01T00:00:00"/>
    <x v="1"/>
    <n v="2"/>
    <x v="1"/>
    <x v="1"/>
    <x v="6"/>
    <n v="88390.433590437271"/>
    <n v="25"/>
    <n v="52051.023072954289"/>
    <n v="36339.410517482982"/>
  </r>
  <r>
    <s v="ORD100780"/>
    <d v="2023-02-01T00:00:00"/>
    <x v="1"/>
    <n v="2"/>
    <x v="2"/>
    <x v="0"/>
    <x v="6"/>
    <n v="30176.137525184731"/>
    <n v="9"/>
    <n v="17658.544023383642"/>
    <n v="12517.59350180109"/>
  </r>
  <r>
    <s v="ORD100781"/>
    <d v="2023-02-01T00:00:00"/>
    <x v="1"/>
    <n v="2"/>
    <x v="2"/>
    <x v="1"/>
    <x v="6"/>
    <n v="60568.401175719453"/>
    <n v="17"/>
    <n v="36845.728477837292"/>
    <n v="23722.67269788215"/>
  </r>
  <r>
    <s v="ORD100782"/>
    <d v="2023-02-01T00:00:00"/>
    <x v="1"/>
    <n v="2"/>
    <x v="3"/>
    <x v="0"/>
    <x v="6"/>
    <n v="22335.901154737781"/>
    <n v="6"/>
    <n v="12967.700682535889"/>
    <n v="9368.2004722018883"/>
  </r>
  <r>
    <s v="ORD100783"/>
    <d v="2023-02-01T00:00:00"/>
    <x v="1"/>
    <n v="2"/>
    <x v="3"/>
    <x v="1"/>
    <x v="6"/>
    <n v="46446.954022980601"/>
    <n v="13"/>
    <n v="27784.404189717021"/>
    <n v="18662.54983326358"/>
  </r>
  <r>
    <s v="ORD100784"/>
    <d v="2023-03-01T00:00:00"/>
    <x v="1"/>
    <n v="3"/>
    <x v="0"/>
    <x v="0"/>
    <x v="0"/>
    <n v="55414.236952712607"/>
    <n v="11"/>
    <n v="34577.141787846231"/>
    <n v="20837.095164866379"/>
  </r>
  <r>
    <s v="ORD100785"/>
    <d v="2023-03-01T00:00:00"/>
    <x v="1"/>
    <n v="3"/>
    <x v="0"/>
    <x v="1"/>
    <x v="0"/>
    <n v="127624.4931079013"/>
    <n v="25"/>
    <n v="80923.95415438067"/>
    <n v="46700.538953520627"/>
  </r>
  <r>
    <s v="ORD100786"/>
    <d v="2023-03-01T00:00:00"/>
    <x v="1"/>
    <n v="3"/>
    <x v="1"/>
    <x v="0"/>
    <x v="0"/>
    <n v="44293.787902356853"/>
    <n v="9"/>
    <n v="27132.344476440408"/>
    <n v="17161.44342591643"/>
  </r>
  <r>
    <s v="ORD100787"/>
    <d v="2023-03-01T00:00:00"/>
    <x v="1"/>
    <n v="3"/>
    <x v="1"/>
    <x v="1"/>
    <x v="0"/>
    <n v="99005.466964654654"/>
    <n v="19"/>
    <n v="60573.531440173872"/>
    <n v="38431.935524480781"/>
  </r>
  <r>
    <s v="ORD100788"/>
    <d v="2023-03-01T00:00:00"/>
    <x v="1"/>
    <n v="3"/>
    <x v="2"/>
    <x v="0"/>
    <x v="0"/>
    <n v="32637.794807671129"/>
    <n v="6"/>
    <n v="20634.662861599929"/>
    <n v="12003.1319460712"/>
  </r>
  <r>
    <s v="ORD100789"/>
    <d v="2023-03-01T00:00:00"/>
    <x v="1"/>
    <n v="3"/>
    <x v="2"/>
    <x v="1"/>
    <x v="0"/>
    <n v="65028.461384487338"/>
    <n v="13"/>
    <n v="40626.309229848302"/>
    <n v="24402.15215463904"/>
  </r>
  <r>
    <s v="ORD100790"/>
    <d v="2023-03-01T00:00:00"/>
    <x v="1"/>
    <n v="3"/>
    <x v="3"/>
    <x v="0"/>
    <x v="0"/>
    <n v="23255.946520190209"/>
    <n v="4"/>
    <n v="14017.719422243161"/>
    <n v="9238.2270979470504"/>
  </r>
  <r>
    <s v="ORD100791"/>
    <d v="2023-03-01T00:00:00"/>
    <x v="1"/>
    <n v="3"/>
    <x v="3"/>
    <x v="1"/>
    <x v="0"/>
    <n v="50409.561231295433"/>
    <n v="10"/>
    <n v="30950.530762101091"/>
    <n v="19459.030469194331"/>
  </r>
  <r>
    <s v="ORD100792"/>
    <d v="2023-03-01T00:00:00"/>
    <x v="1"/>
    <n v="3"/>
    <x v="0"/>
    <x v="0"/>
    <x v="1"/>
    <n v="59443.778178236353"/>
    <n v="10"/>
    <n v="39505.753969471058"/>
    <n v="19938.024208765291"/>
  </r>
  <r>
    <s v="ORD100793"/>
    <d v="2023-03-01T00:00:00"/>
    <x v="1"/>
    <n v="3"/>
    <x v="0"/>
    <x v="1"/>
    <x v="1"/>
    <n v="123639.1462808295"/>
    <n v="20"/>
    <n v="82832.372328610785"/>
    <n v="40806.773952218697"/>
  </r>
  <r>
    <s v="ORD100794"/>
    <d v="2023-03-01T00:00:00"/>
    <x v="1"/>
    <n v="3"/>
    <x v="1"/>
    <x v="0"/>
    <x v="1"/>
    <n v="47988.904046714597"/>
    <n v="8"/>
    <n v="31285.441719288661"/>
    <n v="16703.462327425939"/>
  </r>
  <r>
    <s v="ORD100795"/>
    <d v="2023-03-01T00:00:00"/>
    <x v="1"/>
    <n v="3"/>
    <x v="1"/>
    <x v="1"/>
    <x v="1"/>
    <n v="106622.82910149269"/>
    <n v="17"/>
    <n v="66679.639732865355"/>
    <n v="39943.189368627332"/>
  </r>
  <r>
    <s v="ORD100796"/>
    <d v="2023-03-01T00:00:00"/>
    <x v="1"/>
    <n v="3"/>
    <x v="2"/>
    <x v="0"/>
    <x v="1"/>
    <n v="31837.11445709438"/>
    <n v="5"/>
    <n v="21210.391589119161"/>
    <n v="10626.722867975221"/>
  </r>
  <r>
    <s v="ORD100797"/>
    <d v="2023-03-01T00:00:00"/>
    <x v="1"/>
    <n v="3"/>
    <x v="2"/>
    <x v="1"/>
    <x v="1"/>
    <n v="68046.925886469122"/>
    <n v="11"/>
    <n v="43924.466915099067"/>
    <n v="24122.458971370059"/>
  </r>
  <r>
    <s v="ORD100798"/>
    <d v="2023-03-01T00:00:00"/>
    <x v="1"/>
    <n v="3"/>
    <x v="3"/>
    <x v="0"/>
    <x v="1"/>
    <n v="24598.77434314277"/>
    <n v="4"/>
    <n v="15645.65721147431"/>
    <n v="8953.1171316684631"/>
  </r>
  <r>
    <s v="ORD100799"/>
    <d v="2023-03-01T00:00:00"/>
    <x v="1"/>
    <n v="3"/>
    <x v="3"/>
    <x v="1"/>
    <x v="1"/>
    <n v="53848.557552102196"/>
    <n v="9"/>
    <n v="33728.149997322937"/>
    <n v="20120.407554779249"/>
  </r>
  <r>
    <s v="ORD100800"/>
    <d v="2023-03-01T00:00:00"/>
    <x v="1"/>
    <n v="3"/>
    <x v="0"/>
    <x v="0"/>
    <x v="2"/>
    <n v="41302.476566718411"/>
    <n v="10"/>
    <n v="26820.880783354722"/>
    <n v="14481.595783363689"/>
  </r>
  <r>
    <s v="ORD100801"/>
    <d v="2023-03-01T00:00:00"/>
    <x v="1"/>
    <n v="3"/>
    <x v="0"/>
    <x v="1"/>
    <x v="2"/>
    <n v="88661.616402350992"/>
    <n v="21"/>
    <n v="56874.802023205862"/>
    <n v="31786.814379145129"/>
  </r>
  <r>
    <s v="ORD100802"/>
    <d v="2023-03-01T00:00:00"/>
    <x v="1"/>
    <n v="3"/>
    <x v="1"/>
    <x v="0"/>
    <x v="2"/>
    <n v="32080.57333267232"/>
    <n v="7"/>
    <n v="20448.171509390511"/>
    <n v="11632.401823281811"/>
  </r>
  <r>
    <s v="ORD100803"/>
    <d v="2023-03-01T00:00:00"/>
    <x v="1"/>
    <n v="3"/>
    <x v="1"/>
    <x v="1"/>
    <x v="2"/>
    <n v="68829.863943070857"/>
    <n v="16"/>
    <n v="45152.498166761558"/>
    <n v="23677.3657763093"/>
  </r>
  <r>
    <s v="ORD100804"/>
    <d v="2023-03-01T00:00:00"/>
    <x v="1"/>
    <n v="3"/>
    <x v="2"/>
    <x v="0"/>
    <x v="2"/>
    <n v="21977.235973720421"/>
    <n v="5"/>
    <n v="14226.787457812839"/>
    <n v="7750.4485159075793"/>
  </r>
  <r>
    <s v="ORD100805"/>
    <d v="2023-03-01T00:00:00"/>
    <x v="1"/>
    <n v="3"/>
    <x v="2"/>
    <x v="1"/>
    <x v="2"/>
    <n v="51377.468369457747"/>
    <n v="12"/>
    <n v="33838.216734225098"/>
    <n v="17539.251635232649"/>
  </r>
  <r>
    <s v="ORD100806"/>
    <d v="2023-03-01T00:00:00"/>
    <x v="1"/>
    <n v="3"/>
    <x v="3"/>
    <x v="0"/>
    <x v="2"/>
    <n v="16220.7172915144"/>
    <n v="4"/>
    <n v="10121.00880710942"/>
    <n v="6099.708484404975"/>
  </r>
  <r>
    <s v="ORD100807"/>
    <d v="2023-03-01T00:00:00"/>
    <x v="1"/>
    <n v="3"/>
    <x v="3"/>
    <x v="1"/>
    <x v="2"/>
    <n v="37049.607270980567"/>
    <n v="9"/>
    <n v="23697.002050629289"/>
    <n v="13352.60522035129"/>
  </r>
  <r>
    <s v="ORD100808"/>
    <d v="2023-03-01T00:00:00"/>
    <x v="1"/>
    <n v="3"/>
    <x v="0"/>
    <x v="0"/>
    <x v="3"/>
    <n v="34872.751420551722"/>
    <n v="41"/>
    <n v="16251.80401679066"/>
    <n v="18620.94740376106"/>
  </r>
  <r>
    <s v="ORD100809"/>
    <d v="2023-03-01T00:00:00"/>
    <x v="1"/>
    <n v="3"/>
    <x v="0"/>
    <x v="1"/>
    <x v="3"/>
    <n v="78861.4693154095"/>
    <n v="93"/>
    <n v="37697.212615851553"/>
    <n v="41164.256699557947"/>
  </r>
  <r>
    <s v="ORD100810"/>
    <d v="2023-03-01T00:00:00"/>
    <x v="1"/>
    <n v="3"/>
    <x v="1"/>
    <x v="0"/>
    <x v="3"/>
    <n v="33190.398751189758"/>
    <n v="39"/>
    <n v="15860.097064025689"/>
    <n v="17330.301687164068"/>
  </r>
  <r>
    <s v="ORD100811"/>
    <d v="2023-03-01T00:00:00"/>
    <x v="1"/>
    <n v="3"/>
    <x v="1"/>
    <x v="1"/>
    <x v="3"/>
    <n v="64865.965781391184"/>
    <n v="76"/>
    <n v="31486.844140292469"/>
    <n v="33379.121641098711"/>
  </r>
  <r>
    <s v="ORD100812"/>
    <d v="2023-03-01T00:00:00"/>
    <x v="1"/>
    <n v="3"/>
    <x v="2"/>
    <x v="0"/>
    <x v="3"/>
    <n v="20421.38196520973"/>
    <n v="24"/>
    <n v="9810.302668214792"/>
    <n v="10611.079296994931"/>
  </r>
  <r>
    <s v="ORD100813"/>
    <d v="2023-03-01T00:00:00"/>
    <x v="1"/>
    <n v="3"/>
    <x v="2"/>
    <x v="1"/>
    <x v="3"/>
    <n v="46168.921330966878"/>
    <n v="54"/>
    <n v="22409.759022338989"/>
    <n v="23759.162308627889"/>
  </r>
  <r>
    <s v="ORD100814"/>
    <d v="2023-03-01T00:00:00"/>
    <x v="1"/>
    <n v="3"/>
    <x v="3"/>
    <x v="0"/>
    <x v="3"/>
    <n v="15647.580290084279"/>
    <n v="18"/>
    <n v="7605.9401939569607"/>
    <n v="8041.6400961273239"/>
  </r>
  <r>
    <s v="ORD100815"/>
    <d v="2023-03-01T00:00:00"/>
    <x v="1"/>
    <n v="3"/>
    <x v="3"/>
    <x v="1"/>
    <x v="3"/>
    <n v="37706.182034918616"/>
    <n v="44"/>
    <n v="18801.003085722608"/>
    <n v="18905.178949196012"/>
  </r>
  <r>
    <s v="ORD100816"/>
    <d v="2023-03-01T00:00:00"/>
    <x v="1"/>
    <n v="3"/>
    <x v="0"/>
    <x v="0"/>
    <x v="4"/>
    <n v="28681.530461979521"/>
    <n v="40"/>
    <n v="15685.314166919559"/>
    <n v="12996.21629505996"/>
  </r>
  <r>
    <s v="ORD100817"/>
    <d v="2023-03-01T00:00:00"/>
    <x v="1"/>
    <n v="3"/>
    <x v="0"/>
    <x v="1"/>
    <x v="4"/>
    <n v="64601.086817177762"/>
    <n v="90"/>
    <n v="34928.765966539198"/>
    <n v="29672.32085063856"/>
  </r>
  <r>
    <s v="ORD100818"/>
    <d v="2023-03-01T00:00:00"/>
    <x v="1"/>
    <n v="3"/>
    <x v="1"/>
    <x v="0"/>
    <x v="4"/>
    <n v="23236.450134059"/>
    <n v="32"/>
    <n v="12836.65685932793"/>
    <n v="10399.793274731081"/>
  </r>
  <r>
    <s v="ORD100819"/>
    <d v="2023-03-01T00:00:00"/>
    <x v="1"/>
    <n v="3"/>
    <x v="1"/>
    <x v="1"/>
    <x v="4"/>
    <n v="48123.013644998769"/>
    <n v="67"/>
    <n v="26085.436991087179"/>
    <n v="22037.57665391159"/>
  </r>
  <r>
    <s v="ORD100820"/>
    <d v="2023-03-01T00:00:00"/>
    <x v="1"/>
    <n v="3"/>
    <x v="2"/>
    <x v="0"/>
    <x v="4"/>
    <n v="15778.52667473781"/>
    <n v="22"/>
    <n v="8909.6829305111369"/>
    <n v="6868.8437442266732"/>
  </r>
  <r>
    <s v="ORD100821"/>
    <d v="2023-03-01T00:00:00"/>
    <x v="1"/>
    <n v="3"/>
    <x v="2"/>
    <x v="1"/>
    <x v="4"/>
    <n v="35694.649371925327"/>
    <n v="50"/>
    <n v="19531.97440545899"/>
    <n v="16162.674966466349"/>
  </r>
  <r>
    <s v="ORD100822"/>
    <d v="2023-03-01T00:00:00"/>
    <x v="1"/>
    <n v="3"/>
    <x v="3"/>
    <x v="0"/>
    <x v="4"/>
    <n v="11995.83303854692"/>
    <n v="17"/>
    <n v="6530.5410303731214"/>
    <n v="5465.2920081737984"/>
  </r>
  <r>
    <s v="ORD100823"/>
    <d v="2023-03-01T00:00:00"/>
    <x v="1"/>
    <n v="3"/>
    <x v="3"/>
    <x v="1"/>
    <x v="4"/>
    <n v="24567.14617164855"/>
    <n v="34"/>
    <n v="13397.299460483"/>
    <n v="11169.84671116555"/>
  </r>
  <r>
    <s v="ORD100824"/>
    <d v="2023-03-01T00:00:00"/>
    <x v="1"/>
    <n v="3"/>
    <x v="0"/>
    <x v="0"/>
    <x v="5"/>
    <n v="30364.52223706228"/>
    <n v="6"/>
    <n v="21222.455214307749"/>
    <n v="9142.0670227545306"/>
  </r>
  <r>
    <s v="ORD100825"/>
    <d v="2023-03-01T00:00:00"/>
    <x v="1"/>
    <n v="3"/>
    <x v="0"/>
    <x v="1"/>
    <x v="5"/>
    <n v="58239.392764564021"/>
    <n v="11"/>
    <n v="40071.077368207239"/>
    <n v="18168.315396356778"/>
  </r>
  <r>
    <s v="ORD100826"/>
    <d v="2023-03-01T00:00:00"/>
    <x v="1"/>
    <n v="3"/>
    <x v="1"/>
    <x v="0"/>
    <x v="5"/>
    <n v="20138.981760349579"/>
    <n v="4"/>
    <n v="13735.39976111682"/>
    <n v="6403.581999232767"/>
  </r>
  <r>
    <s v="ORD100827"/>
    <d v="2023-03-01T00:00:00"/>
    <x v="1"/>
    <n v="3"/>
    <x v="1"/>
    <x v="1"/>
    <x v="5"/>
    <n v="48802.481144663609"/>
    <n v="9"/>
    <n v="34683.126444861307"/>
    <n v="14119.354699802299"/>
  </r>
  <r>
    <s v="ORD100828"/>
    <d v="2023-03-01T00:00:00"/>
    <x v="1"/>
    <n v="3"/>
    <x v="2"/>
    <x v="0"/>
    <x v="5"/>
    <n v="15149.9310382898"/>
    <n v="3"/>
    <n v="10292.35366400479"/>
    <n v="4857.5773742850051"/>
  </r>
  <r>
    <s v="ORD100829"/>
    <d v="2023-03-01T00:00:00"/>
    <x v="1"/>
    <n v="3"/>
    <x v="2"/>
    <x v="1"/>
    <x v="5"/>
    <n v="33049.718130662499"/>
    <n v="6"/>
    <n v="22818.904583281939"/>
    <n v="10230.81354738056"/>
  </r>
  <r>
    <s v="ORD100830"/>
    <d v="2023-03-01T00:00:00"/>
    <x v="1"/>
    <n v="3"/>
    <x v="3"/>
    <x v="0"/>
    <x v="5"/>
    <n v="11633.964049207811"/>
    <n v="2"/>
    <n v="8121.6894104094199"/>
    <n v="3512.2746387983939"/>
  </r>
  <r>
    <s v="ORD100831"/>
    <d v="2023-03-01T00:00:00"/>
    <x v="1"/>
    <n v="3"/>
    <x v="3"/>
    <x v="1"/>
    <x v="5"/>
    <n v="25728.453358792649"/>
    <n v="5"/>
    <n v="17231.34393964941"/>
    <n v="8497.1094191432312"/>
  </r>
  <r>
    <s v="ORD100832"/>
    <d v="2023-03-01T00:00:00"/>
    <x v="1"/>
    <n v="3"/>
    <x v="0"/>
    <x v="0"/>
    <x v="6"/>
    <n v="59980.631307071941"/>
    <n v="17"/>
    <n v="35694.495675235259"/>
    <n v="24286.135631836682"/>
  </r>
  <r>
    <s v="ORD100833"/>
    <d v="2023-03-01T00:00:00"/>
    <x v="1"/>
    <n v="3"/>
    <x v="0"/>
    <x v="1"/>
    <x v="6"/>
    <n v="118185.0563280176"/>
    <n v="34"/>
    <n v="68404.890897706136"/>
    <n v="49780.165430311463"/>
  </r>
  <r>
    <s v="ORD100834"/>
    <d v="2023-03-01T00:00:00"/>
    <x v="1"/>
    <n v="3"/>
    <x v="1"/>
    <x v="0"/>
    <x v="6"/>
    <n v="49652.983890510171"/>
    <n v="14"/>
    <n v="29729.125941522929"/>
    <n v="19923.857948987239"/>
  </r>
  <r>
    <s v="ORD100835"/>
    <d v="2023-03-01T00:00:00"/>
    <x v="1"/>
    <n v="3"/>
    <x v="1"/>
    <x v="1"/>
    <x v="6"/>
    <n v="100012.6421082321"/>
    <n v="29"/>
    <n v="57984.994224454451"/>
    <n v="42027.647883777681"/>
  </r>
  <r>
    <s v="ORD100836"/>
    <d v="2023-03-01T00:00:00"/>
    <x v="1"/>
    <n v="3"/>
    <x v="2"/>
    <x v="0"/>
    <x v="6"/>
    <n v="33716.181597922638"/>
    <n v="10"/>
    <n v="20140.604074026291"/>
    <n v="13575.57752389634"/>
  </r>
  <r>
    <s v="ORD100837"/>
    <d v="2023-03-01T00:00:00"/>
    <x v="1"/>
    <n v="3"/>
    <x v="2"/>
    <x v="1"/>
    <x v="6"/>
    <n v="71040.834382249785"/>
    <n v="20"/>
    <n v="42748.392091002541"/>
    <n v="28292.44229124724"/>
  </r>
  <r>
    <s v="ORD100838"/>
    <d v="2023-03-01T00:00:00"/>
    <x v="1"/>
    <n v="3"/>
    <x v="3"/>
    <x v="0"/>
    <x v="6"/>
    <n v="25474.95480697239"/>
    <n v="7"/>
    <n v="15263.27983677635"/>
    <n v="10211.674970196031"/>
  </r>
  <r>
    <s v="ORD100839"/>
    <d v="2023-03-01T00:00:00"/>
    <x v="1"/>
    <n v="3"/>
    <x v="3"/>
    <x v="1"/>
    <x v="6"/>
    <n v="53709.742976120498"/>
    <n v="15"/>
    <n v="31832.098736337131"/>
    <n v="21877.644239783371"/>
  </r>
  <r>
    <s v="ORD100840"/>
    <d v="2023-04-01T00:00:00"/>
    <x v="1"/>
    <n v="4"/>
    <x v="0"/>
    <x v="0"/>
    <x v="0"/>
    <n v="63046.747415768987"/>
    <n v="12"/>
    <n v="38926.239660851526"/>
    <n v="24120.50775491746"/>
  </r>
  <r>
    <s v="ORD100841"/>
    <d v="2023-04-01T00:00:00"/>
    <x v="1"/>
    <n v="4"/>
    <x v="0"/>
    <x v="1"/>
    <x v="0"/>
    <n v="130564.9236364033"/>
    <n v="25"/>
    <n v="80110.349068461815"/>
    <n v="50454.574567941469"/>
  </r>
  <r>
    <s v="ORD100842"/>
    <d v="2023-04-01T00:00:00"/>
    <x v="1"/>
    <n v="4"/>
    <x v="1"/>
    <x v="0"/>
    <x v="0"/>
    <n v="51975.694176454679"/>
    <n v="10"/>
    <n v="33078.20221861748"/>
    <n v="18897.491957837199"/>
  </r>
  <r>
    <s v="ORD100843"/>
    <d v="2023-04-01T00:00:00"/>
    <x v="1"/>
    <n v="4"/>
    <x v="1"/>
    <x v="1"/>
    <x v="0"/>
    <n v="102437.3262709034"/>
    <n v="20"/>
    <n v="62711.478959719418"/>
    <n v="39725.847311183963"/>
  </r>
  <r>
    <s v="ORD100844"/>
    <d v="2023-04-01T00:00:00"/>
    <x v="1"/>
    <n v="4"/>
    <x v="2"/>
    <x v="0"/>
    <x v="0"/>
    <n v="35671.474901538968"/>
    <n v="7"/>
    <n v="21703.46501016734"/>
    <n v="13968.00989137163"/>
  </r>
  <r>
    <s v="ORD100845"/>
    <d v="2023-04-01T00:00:00"/>
    <x v="1"/>
    <n v="4"/>
    <x v="2"/>
    <x v="1"/>
    <x v="0"/>
    <n v="68626.781293925829"/>
    <n v="13"/>
    <n v="43058.193755002467"/>
    <n v="25568.587538923359"/>
  </r>
  <r>
    <s v="ORD100846"/>
    <d v="2023-04-01T00:00:00"/>
    <x v="1"/>
    <n v="4"/>
    <x v="3"/>
    <x v="0"/>
    <x v="0"/>
    <n v="23485.368387183938"/>
    <n v="5"/>
    <n v="14352.263562272799"/>
    <n v="9133.1048249111336"/>
  </r>
  <r>
    <s v="ORD100847"/>
    <d v="2023-04-01T00:00:00"/>
    <x v="1"/>
    <n v="4"/>
    <x v="3"/>
    <x v="1"/>
    <x v="0"/>
    <n v="56522.461968004158"/>
    <n v="11"/>
    <n v="34444.635224768237"/>
    <n v="22077.82674323591"/>
  </r>
  <r>
    <s v="ORD100848"/>
    <d v="2023-04-01T00:00:00"/>
    <x v="1"/>
    <n v="4"/>
    <x v="0"/>
    <x v="0"/>
    <x v="1"/>
    <n v="63024.141162668559"/>
    <n v="10"/>
    <n v="40515.067971993281"/>
    <n v="22509.073190675281"/>
  </r>
  <r>
    <s v="ORD100849"/>
    <d v="2023-04-01T00:00:00"/>
    <x v="1"/>
    <n v="4"/>
    <x v="0"/>
    <x v="1"/>
    <x v="1"/>
    <n v="129351.57347322709"/>
    <n v="21"/>
    <n v="84629.95253908039"/>
    <n v="44721.620934146667"/>
  </r>
  <r>
    <s v="ORD100850"/>
    <d v="2023-04-01T00:00:00"/>
    <x v="1"/>
    <n v="4"/>
    <x v="1"/>
    <x v="0"/>
    <x v="1"/>
    <n v="47826.865003281353"/>
    <n v="8"/>
    <n v="31518.733618819799"/>
    <n v="16308.13138446156"/>
  </r>
  <r>
    <s v="ORD100851"/>
    <d v="2023-04-01T00:00:00"/>
    <x v="1"/>
    <n v="4"/>
    <x v="1"/>
    <x v="1"/>
    <x v="1"/>
    <n v="107300.4154472964"/>
    <n v="18"/>
    <n v="71128.150254448803"/>
    <n v="36172.265192847641"/>
  </r>
  <r>
    <s v="ORD100852"/>
    <d v="2023-04-01T00:00:00"/>
    <x v="1"/>
    <n v="4"/>
    <x v="2"/>
    <x v="0"/>
    <x v="1"/>
    <n v="31513.326835498359"/>
    <n v="5"/>
    <n v="21154.944147644372"/>
    <n v="10358.382687853989"/>
  </r>
  <r>
    <s v="ORD100853"/>
    <d v="2023-04-01T00:00:00"/>
    <x v="1"/>
    <n v="4"/>
    <x v="2"/>
    <x v="1"/>
    <x v="1"/>
    <n v="70731.162903415869"/>
    <n v="12"/>
    <n v="47125.31257837711"/>
    <n v="23605.850325038758"/>
  </r>
  <r>
    <s v="ORD100854"/>
    <d v="2023-04-01T00:00:00"/>
    <x v="1"/>
    <n v="4"/>
    <x v="3"/>
    <x v="0"/>
    <x v="1"/>
    <n v="21886.121538755029"/>
    <n v="4"/>
    <n v="14395.212078743631"/>
    <n v="7490.909460011404"/>
  </r>
  <r>
    <s v="ORD100855"/>
    <d v="2023-04-01T00:00:00"/>
    <x v="1"/>
    <n v="4"/>
    <x v="3"/>
    <x v="1"/>
    <x v="1"/>
    <n v="53261.564218361629"/>
    <n v="9"/>
    <n v="35027.224588584497"/>
    <n v="18234.339629777129"/>
  </r>
  <r>
    <s v="ORD100856"/>
    <d v="2023-04-01T00:00:00"/>
    <x v="1"/>
    <n v="4"/>
    <x v="0"/>
    <x v="0"/>
    <x v="2"/>
    <n v="45228.479080103847"/>
    <n v="11"/>
    <n v="29212.03501791415"/>
    <n v="16016.444062189699"/>
  </r>
  <r>
    <s v="ORD100857"/>
    <d v="2023-04-01T00:00:00"/>
    <x v="1"/>
    <n v="4"/>
    <x v="0"/>
    <x v="1"/>
    <x v="2"/>
    <n v="95502.794918526619"/>
    <n v="22"/>
    <n v="62521.860511833263"/>
    <n v="32980.934406693363"/>
  </r>
  <r>
    <s v="ORD100858"/>
    <d v="2023-04-01T00:00:00"/>
    <x v="1"/>
    <n v="4"/>
    <x v="1"/>
    <x v="0"/>
    <x v="2"/>
    <n v="33502.16891742462"/>
    <n v="8"/>
    <n v="21490.138439093898"/>
    <n v="12012.03047833072"/>
  </r>
  <r>
    <s v="ORD100859"/>
    <d v="2023-04-01T00:00:00"/>
    <x v="1"/>
    <n v="4"/>
    <x v="1"/>
    <x v="1"/>
    <x v="2"/>
    <n v="73096.11090739214"/>
    <n v="17"/>
    <n v="46386.471276993383"/>
    <n v="26709.63963039876"/>
  </r>
  <r>
    <s v="ORD100860"/>
    <d v="2023-04-01T00:00:00"/>
    <x v="1"/>
    <n v="4"/>
    <x v="2"/>
    <x v="0"/>
    <x v="2"/>
    <n v="22643.7823669149"/>
    <n v="5"/>
    <n v="14233.025291039539"/>
    <n v="8410.7570758753627"/>
  </r>
  <r>
    <s v="ORD100861"/>
    <d v="2023-04-01T00:00:00"/>
    <x v="1"/>
    <n v="4"/>
    <x v="2"/>
    <x v="1"/>
    <x v="2"/>
    <n v="53437.924986380232"/>
    <n v="12"/>
    <n v="33310.596555012948"/>
    <n v="20127.32843136727"/>
  </r>
  <r>
    <s v="ORD100862"/>
    <d v="2023-04-01T00:00:00"/>
    <x v="1"/>
    <n v="4"/>
    <x v="3"/>
    <x v="0"/>
    <x v="2"/>
    <n v="19713.04325290741"/>
    <n v="5"/>
    <n v="12767.653698843589"/>
    <n v="6945.3895540638187"/>
  </r>
  <r>
    <s v="ORD100863"/>
    <d v="2023-04-01T00:00:00"/>
    <x v="1"/>
    <n v="4"/>
    <x v="3"/>
    <x v="1"/>
    <x v="2"/>
    <n v="40358.31571952653"/>
    <n v="9"/>
    <n v="26098.040342257442"/>
    <n v="14260.27537726909"/>
  </r>
  <r>
    <s v="ORD100864"/>
    <d v="2023-04-01T00:00:00"/>
    <x v="1"/>
    <n v="4"/>
    <x v="0"/>
    <x v="0"/>
    <x v="3"/>
    <n v="39288.76384150848"/>
    <n v="46"/>
    <n v="19054.595532913721"/>
    <n v="20234.168308594759"/>
  </r>
  <r>
    <s v="ORD100865"/>
    <d v="2023-04-01T00:00:00"/>
    <x v="1"/>
    <n v="4"/>
    <x v="0"/>
    <x v="1"/>
    <x v="3"/>
    <n v="84211.973884976862"/>
    <n v="99"/>
    <n v="40328.135951099663"/>
    <n v="43883.837933877207"/>
  </r>
  <r>
    <s v="ORD100866"/>
    <d v="2023-04-01T00:00:00"/>
    <x v="1"/>
    <n v="4"/>
    <x v="1"/>
    <x v="0"/>
    <x v="3"/>
    <n v="28729.31568173716"/>
    <n v="34"/>
    <n v="14139.302681273801"/>
    <n v="14590.013000463359"/>
  </r>
  <r>
    <s v="ORD100867"/>
    <d v="2023-04-01T00:00:00"/>
    <x v="1"/>
    <n v="4"/>
    <x v="1"/>
    <x v="1"/>
    <x v="3"/>
    <n v="63561.152338869717"/>
    <n v="75"/>
    <n v="30243.490564776512"/>
    <n v="33317.661774093212"/>
  </r>
  <r>
    <s v="ORD100868"/>
    <d v="2023-04-01T00:00:00"/>
    <x v="1"/>
    <n v="4"/>
    <x v="2"/>
    <x v="0"/>
    <x v="3"/>
    <n v="20071.62557363437"/>
    <n v="24"/>
    <n v="9800.041963083162"/>
    <n v="10271.583610551201"/>
  </r>
  <r>
    <s v="ORD100869"/>
    <d v="2023-04-01T00:00:00"/>
    <x v="1"/>
    <n v="4"/>
    <x v="2"/>
    <x v="1"/>
    <x v="3"/>
    <n v="46839.212816160267"/>
    <n v="55"/>
    <n v="22467.143258638429"/>
    <n v="24372.069557521831"/>
  </r>
  <r>
    <s v="ORD100870"/>
    <d v="2023-04-01T00:00:00"/>
    <x v="1"/>
    <n v="4"/>
    <x v="3"/>
    <x v="0"/>
    <x v="3"/>
    <n v="17407.5598657431"/>
    <n v="20"/>
    <n v="8264.1319792049417"/>
    <n v="9143.4278865381584"/>
  </r>
  <r>
    <s v="ORD100871"/>
    <d v="2023-04-01T00:00:00"/>
    <x v="1"/>
    <n v="4"/>
    <x v="3"/>
    <x v="1"/>
    <x v="3"/>
    <n v="33496.903167502809"/>
    <n v="39"/>
    <n v="16249.99963843556"/>
    <n v="17246.903529067251"/>
  </r>
  <r>
    <s v="ORD100872"/>
    <d v="2023-04-01T00:00:00"/>
    <x v="1"/>
    <n v="4"/>
    <x v="0"/>
    <x v="0"/>
    <x v="4"/>
    <n v="33312.837701862867"/>
    <n v="46"/>
    <n v="18457.157537256131"/>
    <n v="14855.68016460674"/>
  </r>
  <r>
    <s v="ORD100873"/>
    <d v="2023-04-01T00:00:00"/>
    <x v="1"/>
    <n v="4"/>
    <x v="0"/>
    <x v="1"/>
    <x v="4"/>
    <n v="69635.236216768943"/>
    <n v="97"/>
    <n v="38545.472955126512"/>
    <n v="31089.763261642431"/>
  </r>
  <r>
    <s v="ORD100874"/>
    <d v="2023-04-01T00:00:00"/>
    <x v="1"/>
    <n v="4"/>
    <x v="1"/>
    <x v="0"/>
    <x v="4"/>
    <n v="29192.650588298569"/>
    <n v="41"/>
    <n v="16079.44787606122"/>
    <n v="13113.202712237349"/>
  </r>
  <r>
    <s v="ORD100875"/>
    <d v="2023-04-01T00:00:00"/>
    <x v="1"/>
    <n v="4"/>
    <x v="1"/>
    <x v="1"/>
    <x v="4"/>
    <n v="59574.018631052983"/>
    <n v="83"/>
    <n v="32743.361559832891"/>
    <n v="26830.657071220081"/>
  </r>
  <r>
    <s v="ORD100876"/>
    <d v="2023-04-01T00:00:00"/>
    <x v="1"/>
    <n v="4"/>
    <x v="2"/>
    <x v="0"/>
    <x v="4"/>
    <n v="17854.277062254419"/>
    <n v="25"/>
    <n v="10242.01467159546"/>
    <n v="7612.2623906589561"/>
  </r>
  <r>
    <s v="ORD100877"/>
    <d v="2023-04-01T00:00:00"/>
    <x v="1"/>
    <n v="4"/>
    <x v="2"/>
    <x v="1"/>
    <x v="4"/>
    <n v="40627.589990554043"/>
    <n v="56"/>
    <n v="22821.49807970845"/>
    <n v="17806.091910845589"/>
  </r>
  <r>
    <s v="ORD100878"/>
    <d v="2023-04-01T00:00:00"/>
    <x v="1"/>
    <n v="4"/>
    <x v="3"/>
    <x v="0"/>
    <x v="4"/>
    <n v="14389.1600275244"/>
    <n v="20"/>
    <n v="8017.0066465934588"/>
    <n v="6372.1533809309449"/>
  </r>
  <r>
    <s v="ORD100879"/>
    <d v="2023-04-01T00:00:00"/>
    <x v="1"/>
    <n v="4"/>
    <x v="3"/>
    <x v="1"/>
    <x v="4"/>
    <n v="30450.53382722157"/>
    <n v="42"/>
    <n v="16781.496611054259"/>
    <n v="13669.0372161673"/>
  </r>
  <r>
    <s v="ORD100880"/>
    <d v="2023-04-01T00:00:00"/>
    <x v="1"/>
    <n v="4"/>
    <x v="0"/>
    <x v="0"/>
    <x v="5"/>
    <n v="32164.769410347781"/>
    <n v="6"/>
    <n v="22596.036533775139"/>
    <n v="9568.7328765726452"/>
  </r>
  <r>
    <s v="ORD100881"/>
    <d v="2023-04-01T00:00:00"/>
    <x v="1"/>
    <n v="4"/>
    <x v="0"/>
    <x v="1"/>
    <x v="5"/>
    <n v="65085.183383481337"/>
    <n v="12"/>
    <n v="45327.501744465102"/>
    <n v="19757.681639016231"/>
  </r>
  <r>
    <s v="ORD100882"/>
    <d v="2023-04-01T00:00:00"/>
    <x v="1"/>
    <n v="4"/>
    <x v="1"/>
    <x v="0"/>
    <x v="5"/>
    <n v="25174.31577921538"/>
    <n v="5"/>
    <n v="17378.47119673654"/>
    <n v="7795.8445824788469"/>
  </r>
  <r>
    <s v="ORD100883"/>
    <d v="2023-04-01T00:00:00"/>
    <x v="1"/>
    <n v="4"/>
    <x v="1"/>
    <x v="1"/>
    <x v="5"/>
    <n v="50026.566262773908"/>
    <n v="9"/>
    <n v="34329.717113369014"/>
    <n v="15696.849149404899"/>
  </r>
  <r>
    <s v="ORD100884"/>
    <d v="2023-04-01T00:00:00"/>
    <x v="1"/>
    <n v="4"/>
    <x v="2"/>
    <x v="0"/>
    <x v="5"/>
    <n v="18420.395725567931"/>
    <n v="3"/>
    <n v="12691.56067573226"/>
    <n v="5728.835049835674"/>
  </r>
  <r>
    <s v="ORD100885"/>
    <d v="2023-04-01T00:00:00"/>
    <x v="1"/>
    <n v="4"/>
    <x v="2"/>
    <x v="1"/>
    <x v="5"/>
    <n v="34797.914068769693"/>
    <n v="6"/>
    <n v="22640.334114655299"/>
    <n v="12157.579954114381"/>
  </r>
  <r>
    <s v="ORD100886"/>
    <d v="2023-04-01T00:00:00"/>
    <x v="1"/>
    <n v="4"/>
    <x v="3"/>
    <x v="0"/>
    <x v="5"/>
    <n v="13192.571305270531"/>
    <n v="2"/>
    <n v="9137.3815136768117"/>
    <n v="4055.1897915937152"/>
  </r>
  <r>
    <s v="ORD100887"/>
    <d v="2023-04-01T00:00:00"/>
    <x v="1"/>
    <n v="4"/>
    <x v="3"/>
    <x v="1"/>
    <x v="5"/>
    <n v="25490.845034539929"/>
    <n v="5"/>
    <n v="17434.03335651278"/>
    <n v="8056.8116780271448"/>
  </r>
  <r>
    <s v="ORD100888"/>
    <d v="2023-04-01T00:00:00"/>
    <x v="1"/>
    <n v="4"/>
    <x v="0"/>
    <x v="0"/>
    <x v="6"/>
    <n v="59368.030862765729"/>
    <n v="17"/>
    <n v="36031.298307753983"/>
    <n v="23336.732555011749"/>
  </r>
  <r>
    <s v="ORD100889"/>
    <d v="2023-04-01T00:00:00"/>
    <x v="1"/>
    <n v="4"/>
    <x v="0"/>
    <x v="1"/>
    <x v="6"/>
    <n v="133547.09391042229"/>
    <n v="38"/>
    <n v="78820.220525115845"/>
    <n v="54726.873385306448"/>
  </r>
  <r>
    <s v="ORD100890"/>
    <d v="2023-04-01T00:00:00"/>
    <x v="1"/>
    <n v="4"/>
    <x v="1"/>
    <x v="0"/>
    <x v="6"/>
    <n v="50533.159664624967"/>
    <n v="14"/>
    <n v="29176.492530426"/>
    <n v="21356.667134198971"/>
  </r>
  <r>
    <s v="ORD100891"/>
    <d v="2023-04-01T00:00:00"/>
    <x v="1"/>
    <n v="4"/>
    <x v="1"/>
    <x v="1"/>
    <x v="6"/>
    <n v="106713.44304574961"/>
    <n v="30"/>
    <n v="62904.402379673877"/>
    <n v="43809.040666075693"/>
  </r>
  <r>
    <s v="ORD100892"/>
    <d v="2023-04-01T00:00:00"/>
    <x v="1"/>
    <n v="4"/>
    <x v="2"/>
    <x v="0"/>
    <x v="6"/>
    <n v="34218.938714945027"/>
    <n v="10"/>
    <n v="19809.00807379105"/>
    <n v="14409.93064115398"/>
  </r>
  <r>
    <s v="ORD100893"/>
    <d v="2023-04-01T00:00:00"/>
    <x v="1"/>
    <n v="4"/>
    <x v="2"/>
    <x v="1"/>
    <x v="6"/>
    <n v="77463.675436232894"/>
    <n v="22"/>
    <n v="46093.023855983891"/>
    <n v="31370.651580248999"/>
  </r>
  <r>
    <s v="ORD100894"/>
    <d v="2023-04-01T00:00:00"/>
    <x v="1"/>
    <n v="4"/>
    <x v="3"/>
    <x v="0"/>
    <x v="6"/>
    <n v="28529.770663746611"/>
    <n v="8"/>
    <n v="16920.717717588261"/>
    <n v="11609.05294615835"/>
  </r>
  <r>
    <s v="ORD100895"/>
    <d v="2023-04-01T00:00:00"/>
    <x v="1"/>
    <n v="4"/>
    <x v="3"/>
    <x v="1"/>
    <x v="6"/>
    <n v="53656.837713190813"/>
    <n v="15"/>
    <n v="32203.345387496789"/>
    <n v="21453.49232569402"/>
  </r>
  <r>
    <s v="ORD100896"/>
    <d v="2023-05-01T00:00:00"/>
    <x v="1"/>
    <n v="5"/>
    <x v="0"/>
    <x v="0"/>
    <x v="0"/>
    <n v="63937.244615755633"/>
    <n v="12"/>
    <n v="39076.7661450011"/>
    <n v="24860.47847075453"/>
  </r>
  <r>
    <s v="ORD100897"/>
    <d v="2023-05-01T00:00:00"/>
    <x v="1"/>
    <n v="5"/>
    <x v="0"/>
    <x v="1"/>
    <x v="0"/>
    <n v="137884.56655700429"/>
    <n v="27"/>
    <n v="85540.762643686248"/>
    <n v="52343.803913318072"/>
  </r>
  <r>
    <s v="ORD100898"/>
    <d v="2023-05-01T00:00:00"/>
    <x v="1"/>
    <n v="5"/>
    <x v="1"/>
    <x v="0"/>
    <x v="0"/>
    <n v="49698.044482627789"/>
    <n v="10"/>
    <n v="30055.705300006251"/>
    <n v="19642.339182621541"/>
  </r>
  <r>
    <s v="ORD100899"/>
    <d v="2023-05-01T00:00:00"/>
    <x v="1"/>
    <n v="5"/>
    <x v="1"/>
    <x v="1"/>
    <x v="0"/>
    <n v="116151.11017633141"/>
    <n v="22"/>
    <n v="72922.998387696047"/>
    <n v="43228.111788635317"/>
  </r>
  <r>
    <s v="ORD100900"/>
    <d v="2023-05-01T00:00:00"/>
    <x v="1"/>
    <n v="5"/>
    <x v="2"/>
    <x v="0"/>
    <x v="0"/>
    <n v="32176.83383337222"/>
    <n v="6"/>
    <n v="20135.960227064828"/>
    <n v="12040.87360630739"/>
  </r>
  <r>
    <s v="ORD100901"/>
    <d v="2023-05-01T00:00:00"/>
    <x v="1"/>
    <n v="5"/>
    <x v="2"/>
    <x v="1"/>
    <x v="0"/>
    <n v="78788.770742930865"/>
    <n v="15"/>
    <n v="49284.990629003012"/>
    <n v="29503.780113927849"/>
  </r>
  <r>
    <s v="ORD100902"/>
    <d v="2023-05-01T00:00:00"/>
    <x v="1"/>
    <n v="5"/>
    <x v="3"/>
    <x v="0"/>
    <x v="0"/>
    <n v="27650.23286550332"/>
    <n v="5"/>
    <n v="17143.643971801499"/>
    <n v="10506.588893701821"/>
  </r>
  <r>
    <s v="ORD100903"/>
    <d v="2023-05-01T00:00:00"/>
    <x v="1"/>
    <n v="5"/>
    <x v="3"/>
    <x v="1"/>
    <x v="0"/>
    <n v="57503.930418960103"/>
    <n v="11"/>
    <n v="35918.614817155001"/>
    <n v="21585.315601805101"/>
  </r>
  <r>
    <s v="ORD100904"/>
    <d v="2023-05-01T00:00:00"/>
    <x v="1"/>
    <n v="5"/>
    <x v="0"/>
    <x v="0"/>
    <x v="1"/>
    <n v="65067.245148050417"/>
    <n v="11"/>
    <n v="44184.534119317002"/>
    <n v="20882.711028733411"/>
  </r>
  <r>
    <s v="ORD100905"/>
    <d v="2023-05-01T00:00:00"/>
    <x v="1"/>
    <n v="5"/>
    <x v="0"/>
    <x v="1"/>
    <x v="1"/>
    <n v="154299.84989477971"/>
    <n v="25"/>
    <n v="101315.29971787331"/>
    <n v="52984.550176906378"/>
  </r>
  <r>
    <s v="ORD100906"/>
    <d v="2023-05-01T00:00:00"/>
    <x v="1"/>
    <n v="5"/>
    <x v="1"/>
    <x v="0"/>
    <x v="1"/>
    <n v="50588.961788135581"/>
    <n v="8"/>
    <n v="33472.040101071201"/>
    <n v="17116.92168706438"/>
  </r>
  <r>
    <s v="ORD100907"/>
    <d v="2023-05-01T00:00:00"/>
    <x v="1"/>
    <n v="5"/>
    <x v="1"/>
    <x v="1"/>
    <x v="1"/>
    <n v="108312.5486665733"/>
    <n v="18"/>
    <n v="70088.705761197343"/>
    <n v="38223.842905375932"/>
  </r>
  <r>
    <s v="ORD100908"/>
    <d v="2023-05-01T00:00:00"/>
    <x v="1"/>
    <n v="5"/>
    <x v="2"/>
    <x v="0"/>
    <x v="1"/>
    <n v="40742.781504099337"/>
    <n v="7"/>
    <n v="26469.976436939909"/>
    <n v="14272.805067159419"/>
  </r>
  <r>
    <s v="ORD100909"/>
    <d v="2023-05-01T00:00:00"/>
    <x v="1"/>
    <n v="5"/>
    <x v="2"/>
    <x v="1"/>
    <x v="1"/>
    <n v="78997.744499669468"/>
    <n v="13"/>
    <n v="52230.308480674947"/>
    <n v="26767.436018994518"/>
  </r>
  <r>
    <s v="ORD100910"/>
    <d v="2023-05-01T00:00:00"/>
    <x v="1"/>
    <n v="5"/>
    <x v="3"/>
    <x v="0"/>
    <x v="1"/>
    <n v="28229.520672685361"/>
    <n v="5"/>
    <n v="19001.706200721699"/>
    <n v="9227.8144719636657"/>
  </r>
  <r>
    <s v="ORD100911"/>
    <d v="2023-05-01T00:00:00"/>
    <x v="1"/>
    <n v="5"/>
    <x v="3"/>
    <x v="1"/>
    <x v="1"/>
    <n v="57009.631930854033"/>
    <n v="9"/>
    <n v="37452.78462588082"/>
    <n v="19556.847304973209"/>
  </r>
  <r>
    <s v="ORD100912"/>
    <d v="2023-05-01T00:00:00"/>
    <x v="1"/>
    <n v="5"/>
    <x v="0"/>
    <x v="0"/>
    <x v="2"/>
    <n v="46936.527988879126"/>
    <n v="11"/>
    <n v="29911.815768844401"/>
    <n v="17024.712220034729"/>
  </r>
  <r>
    <s v="ORD100913"/>
    <d v="2023-05-01T00:00:00"/>
    <x v="1"/>
    <n v="5"/>
    <x v="0"/>
    <x v="1"/>
    <x v="2"/>
    <n v="96051.522221366016"/>
    <n v="22"/>
    <n v="61022.750191035513"/>
    <n v="35028.77203033051"/>
  </r>
  <r>
    <s v="ORD100914"/>
    <d v="2023-05-01T00:00:00"/>
    <x v="1"/>
    <n v="5"/>
    <x v="1"/>
    <x v="0"/>
    <x v="2"/>
    <n v="34534.435261226849"/>
    <n v="8"/>
    <n v="21889.292741050089"/>
    <n v="12645.14252017676"/>
  </r>
  <r>
    <s v="ORD100915"/>
    <d v="2023-05-01T00:00:00"/>
    <x v="1"/>
    <n v="5"/>
    <x v="1"/>
    <x v="1"/>
    <x v="2"/>
    <n v="83996.359979763249"/>
    <n v="20"/>
    <n v="54043.095996260963"/>
    <n v="29953.263983502289"/>
  </r>
  <r>
    <s v="ORD100916"/>
    <d v="2023-05-01T00:00:00"/>
    <x v="1"/>
    <n v="5"/>
    <x v="2"/>
    <x v="0"/>
    <x v="2"/>
    <n v="28216.001244664909"/>
    <n v="7"/>
    <n v="17571.559692944578"/>
    <n v="10644.441551720331"/>
  </r>
  <r>
    <s v="ORD100917"/>
    <d v="2023-05-01T00:00:00"/>
    <x v="1"/>
    <n v="5"/>
    <x v="2"/>
    <x v="1"/>
    <x v="2"/>
    <n v="55834.8955938652"/>
    <n v="13"/>
    <n v="36558.256569164463"/>
    <n v="19276.63902470074"/>
  </r>
  <r>
    <s v="ORD100918"/>
    <d v="2023-05-01T00:00:00"/>
    <x v="1"/>
    <n v="5"/>
    <x v="3"/>
    <x v="0"/>
    <x v="2"/>
    <n v="18815.940213933329"/>
    <n v="4"/>
    <n v="11897.96504493961"/>
    <n v="6917.9751689937257"/>
  </r>
  <r>
    <s v="ORD100919"/>
    <d v="2023-05-01T00:00:00"/>
    <x v="1"/>
    <n v="5"/>
    <x v="3"/>
    <x v="1"/>
    <x v="2"/>
    <n v="39812.192742225532"/>
    <n v="9"/>
    <n v="25810.894614329209"/>
    <n v="14001.29812789632"/>
  </r>
  <r>
    <s v="ORD100920"/>
    <d v="2023-05-01T00:00:00"/>
    <x v="1"/>
    <n v="5"/>
    <x v="0"/>
    <x v="0"/>
    <x v="3"/>
    <n v="41652.525947600217"/>
    <n v="49"/>
    <n v="19536.168122897121"/>
    <n v="22116.3578247031"/>
  </r>
  <r>
    <s v="ORD100921"/>
    <d v="2023-05-01T00:00:00"/>
    <x v="1"/>
    <n v="5"/>
    <x v="0"/>
    <x v="1"/>
    <x v="3"/>
    <n v="94136.055939014681"/>
    <n v="111"/>
    <n v="45729.298288317637"/>
    <n v="48406.757650697044"/>
  </r>
  <r>
    <s v="ORD100922"/>
    <d v="2023-05-01T00:00:00"/>
    <x v="1"/>
    <n v="5"/>
    <x v="1"/>
    <x v="0"/>
    <x v="3"/>
    <n v="33301.620421109968"/>
    <n v="39"/>
    <n v="16178.11373665539"/>
    <n v="17123.506684454569"/>
  </r>
  <r>
    <s v="ORD100923"/>
    <d v="2023-05-01T00:00:00"/>
    <x v="1"/>
    <n v="5"/>
    <x v="1"/>
    <x v="1"/>
    <x v="3"/>
    <n v="72546.612022708388"/>
    <n v="85"/>
    <n v="35063.19267768901"/>
    <n v="37483.419345019378"/>
  </r>
  <r>
    <s v="ORD100924"/>
    <d v="2023-05-01T00:00:00"/>
    <x v="1"/>
    <n v="5"/>
    <x v="2"/>
    <x v="0"/>
    <x v="3"/>
    <n v="25149.285400659672"/>
    <n v="30"/>
    <n v="11855.57779198286"/>
    <n v="13293.70760867681"/>
  </r>
  <r>
    <s v="ORD100925"/>
    <d v="2023-05-01T00:00:00"/>
    <x v="1"/>
    <n v="5"/>
    <x v="2"/>
    <x v="1"/>
    <x v="3"/>
    <n v="52675.173588525802"/>
    <n v="62"/>
    <n v="25397.656072430331"/>
    <n v="27277.517516095471"/>
  </r>
  <r>
    <s v="ORD100926"/>
    <d v="2023-05-01T00:00:00"/>
    <x v="1"/>
    <n v="5"/>
    <x v="3"/>
    <x v="0"/>
    <x v="3"/>
    <n v="18072.611916103699"/>
    <n v="21"/>
    <n v="8490.1226115235131"/>
    <n v="9582.4893045801891"/>
  </r>
  <r>
    <s v="ORD100927"/>
    <d v="2023-05-01T00:00:00"/>
    <x v="1"/>
    <n v="5"/>
    <x v="3"/>
    <x v="1"/>
    <x v="3"/>
    <n v="37267.157865738642"/>
    <n v="44"/>
    <n v="17806.848978908522"/>
    <n v="19460.30888683012"/>
  </r>
  <r>
    <s v="ORD100928"/>
    <d v="2023-05-01T00:00:00"/>
    <x v="1"/>
    <n v="5"/>
    <x v="0"/>
    <x v="0"/>
    <x v="4"/>
    <n v="30916.917592489881"/>
    <n v="43"/>
    <n v="17319.384847976999"/>
    <n v="13597.532744512881"/>
  </r>
  <r>
    <s v="ORD100929"/>
    <d v="2023-05-01T00:00:00"/>
    <x v="1"/>
    <n v="5"/>
    <x v="0"/>
    <x v="1"/>
    <x v="4"/>
    <n v="76097.475434975946"/>
    <n v="106"/>
    <n v="42453.818841946988"/>
    <n v="33643.656593028958"/>
  </r>
  <r>
    <s v="ORD100930"/>
    <d v="2023-05-01T00:00:00"/>
    <x v="1"/>
    <n v="5"/>
    <x v="1"/>
    <x v="0"/>
    <x v="4"/>
    <n v="24399.919673328659"/>
    <n v="34"/>
    <n v="13423.62339985684"/>
    <n v="10976.29627347182"/>
  </r>
  <r>
    <s v="ORD100931"/>
    <d v="2023-05-01T00:00:00"/>
    <x v="1"/>
    <n v="5"/>
    <x v="1"/>
    <x v="1"/>
    <x v="4"/>
    <n v="57422.731305466717"/>
    <n v="80"/>
    <n v="31028.339262774909"/>
    <n v="26394.392042691808"/>
  </r>
  <r>
    <s v="ORD100932"/>
    <d v="2023-05-01T00:00:00"/>
    <x v="1"/>
    <n v="5"/>
    <x v="2"/>
    <x v="0"/>
    <x v="4"/>
    <n v="18137.934901162589"/>
    <n v="25"/>
    <n v="10091.78951181384"/>
    <n v="8046.1453893487451"/>
  </r>
  <r>
    <s v="ORD100933"/>
    <d v="2023-05-01T00:00:00"/>
    <x v="1"/>
    <n v="5"/>
    <x v="2"/>
    <x v="1"/>
    <x v="4"/>
    <n v="36426.620459479069"/>
    <n v="51"/>
    <n v="20041.630583311129"/>
    <n v="16384.98987616794"/>
  </r>
  <r>
    <s v="ORD100934"/>
    <d v="2023-05-01T00:00:00"/>
    <x v="1"/>
    <n v="5"/>
    <x v="3"/>
    <x v="0"/>
    <x v="4"/>
    <n v="13500.85417564335"/>
    <n v="19"/>
    <n v="7115.3399955253653"/>
    <n v="6385.5141801179843"/>
  </r>
  <r>
    <s v="ORD100935"/>
    <d v="2023-05-01T00:00:00"/>
    <x v="1"/>
    <n v="5"/>
    <x v="3"/>
    <x v="1"/>
    <x v="4"/>
    <n v="28663.284272020599"/>
    <n v="40"/>
    <n v="15986.89048740691"/>
    <n v="12676.393784613691"/>
  </r>
  <r>
    <s v="ORD100936"/>
    <d v="2023-05-01T00:00:00"/>
    <x v="1"/>
    <n v="5"/>
    <x v="0"/>
    <x v="0"/>
    <x v="5"/>
    <n v="32005.683046829909"/>
    <n v="6"/>
    <n v="22074.28849438265"/>
    <n v="9931.3945524472583"/>
  </r>
  <r>
    <s v="ORD100937"/>
    <d v="2023-05-01T00:00:00"/>
    <x v="1"/>
    <n v="5"/>
    <x v="0"/>
    <x v="1"/>
    <x v="5"/>
    <n v="69229.323547167485"/>
    <n v="13"/>
    <n v="48802.134737829801"/>
    <n v="20427.18880933768"/>
  </r>
  <r>
    <s v="ORD100938"/>
    <d v="2023-05-01T00:00:00"/>
    <x v="1"/>
    <n v="5"/>
    <x v="1"/>
    <x v="0"/>
    <x v="5"/>
    <n v="25276.785785168238"/>
    <n v="5"/>
    <n v="17097.135506708619"/>
    <n v="8179.6502784596232"/>
  </r>
  <r>
    <s v="ORD100939"/>
    <d v="2023-05-01T00:00:00"/>
    <x v="1"/>
    <n v="5"/>
    <x v="1"/>
    <x v="1"/>
    <x v="5"/>
    <n v="51332.534613451258"/>
    <n v="10"/>
    <n v="33394.141113362602"/>
    <n v="17938.393500088659"/>
  </r>
  <r>
    <s v="ORD100940"/>
    <d v="2023-05-01T00:00:00"/>
    <x v="1"/>
    <n v="5"/>
    <x v="2"/>
    <x v="0"/>
    <x v="5"/>
    <n v="15854.76929535021"/>
    <n v="3"/>
    <n v="10994.746956328079"/>
    <n v="4860.0223390221254"/>
  </r>
  <r>
    <s v="ORD100941"/>
    <d v="2023-05-01T00:00:00"/>
    <x v="1"/>
    <n v="5"/>
    <x v="2"/>
    <x v="1"/>
    <x v="5"/>
    <n v="38507.309130415619"/>
    <n v="7"/>
    <n v="26709.486771241351"/>
    <n v="11797.822359174261"/>
  </r>
  <r>
    <s v="ORD100942"/>
    <d v="2023-05-01T00:00:00"/>
    <x v="1"/>
    <n v="5"/>
    <x v="3"/>
    <x v="0"/>
    <x v="5"/>
    <n v="13793.03662729379"/>
    <n v="3"/>
    <n v="9227.5671364336795"/>
    <n v="4565.4694908601068"/>
  </r>
  <r>
    <s v="ORD100943"/>
    <d v="2023-05-01T00:00:00"/>
    <x v="1"/>
    <n v="5"/>
    <x v="3"/>
    <x v="1"/>
    <x v="5"/>
    <n v="27073.840034163011"/>
    <n v="5"/>
    <n v="18351.92221055807"/>
    <n v="8721.9178236049411"/>
  </r>
  <r>
    <s v="ORD100944"/>
    <d v="2023-05-01T00:00:00"/>
    <x v="1"/>
    <n v="5"/>
    <x v="0"/>
    <x v="0"/>
    <x v="6"/>
    <n v="65764.174740641742"/>
    <n v="19"/>
    <n v="40725.149973554588"/>
    <n v="25039.02476708715"/>
  </r>
  <r>
    <s v="ORD100945"/>
    <d v="2023-05-01T00:00:00"/>
    <x v="1"/>
    <n v="5"/>
    <x v="0"/>
    <x v="1"/>
    <x v="6"/>
    <n v="146541.9134990827"/>
    <n v="42"/>
    <n v="85984.114768827625"/>
    <n v="60557.798730255097"/>
  </r>
  <r>
    <s v="ORD100946"/>
    <d v="2023-05-01T00:00:00"/>
    <x v="1"/>
    <n v="5"/>
    <x v="1"/>
    <x v="0"/>
    <x v="6"/>
    <n v="59256.958181992348"/>
    <n v="17"/>
    <n v="35421.604313741707"/>
    <n v="23835.353868250641"/>
  </r>
  <r>
    <s v="ORD100947"/>
    <d v="2023-05-01T00:00:00"/>
    <x v="1"/>
    <n v="5"/>
    <x v="1"/>
    <x v="1"/>
    <x v="6"/>
    <n v="111931.1087680683"/>
    <n v="32"/>
    <n v="65265.909387015367"/>
    <n v="46665.19938105288"/>
  </r>
  <r>
    <s v="ORD100948"/>
    <d v="2023-05-01T00:00:00"/>
    <x v="1"/>
    <n v="5"/>
    <x v="2"/>
    <x v="0"/>
    <x v="6"/>
    <n v="38895.872023481192"/>
    <n v="11"/>
    <n v="22085.11437790552"/>
    <n v="16810.757645575679"/>
  </r>
  <r>
    <s v="ORD100949"/>
    <d v="2023-05-01T00:00:00"/>
    <x v="1"/>
    <n v="5"/>
    <x v="2"/>
    <x v="1"/>
    <x v="6"/>
    <n v="82105.205696712103"/>
    <n v="23"/>
    <n v="48293.613442520407"/>
    <n v="33811.592254191703"/>
  </r>
  <r>
    <s v="ORD100950"/>
    <d v="2023-05-01T00:00:00"/>
    <x v="1"/>
    <n v="5"/>
    <x v="3"/>
    <x v="0"/>
    <x v="6"/>
    <n v="29558.971123527601"/>
    <n v="8"/>
    <n v="17356.415369136321"/>
    <n v="12202.55575439128"/>
  </r>
  <r>
    <s v="ORD100951"/>
    <d v="2023-05-01T00:00:00"/>
    <x v="1"/>
    <n v="5"/>
    <x v="3"/>
    <x v="1"/>
    <x v="6"/>
    <n v="63224.005351585292"/>
    <n v="18"/>
    <n v="37033.669338000851"/>
    <n v="26190.336013584441"/>
  </r>
  <r>
    <s v="ORD100952"/>
    <d v="2023-06-01T00:00:00"/>
    <x v="1"/>
    <n v="6"/>
    <x v="0"/>
    <x v="0"/>
    <x v="0"/>
    <n v="60623.251543850893"/>
    <n v="12"/>
    <n v="37508.855070865138"/>
    <n v="23114.396472985751"/>
  </r>
  <r>
    <s v="ORD100953"/>
    <d v="2023-06-01T00:00:00"/>
    <x v="1"/>
    <n v="6"/>
    <x v="0"/>
    <x v="1"/>
    <x v="0"/>
    <n v="132173.24463245081"/>
    <n v="25"/>
    <n v="82337.221487391114"/>
    <n v="49836.023145059662"/>
  </r>
  <r>
    <s v="ORD100954"/>
    <d v="2023-06-01T00:00:00"/>
    <x v="1"/>
    <n v="6"/>
    <x v="1"/>
    <x v="0"/>
    <x v="0"/>
    <n v="50418.459126008223"/>
    <n v="10"/>
    <n v="31174.97835258572"/>
    <n v="19243.480773422489"/>
  </r>
  <r>
    <s v="ORD100955"/>
    <d v="2023-06-01T00:00:00"/>
    <x v="1"/>
    <n v="6"/>
    <x v="1"/>
    <x v="1"/>
    <x v="0"/>
    <n v="109245.1950859573"/>
    <n v="21"/>
    <n v="66190.974492748486"/>
    <n v="43054.22059320884"/>
  </r>
  <r>
    <s v="ORD100956"/>
    <d v="2023-06-01T00:00:00"/>
    <x v="1"/>
    <n v="6"/>
    <x v="2"/>
    <x v="0"/>
    <x v="0"/>
    <n v="34558.142355757212"/>
    <n v="7"/>
    <n v="21613.55459910557"/>
    <n v="12944.587756651639"/>
  </r>
  <r>
    <s v="ORD100957"/>
    <d v="2023-06-01T00:00:00"/>
    <x v="1"/>
    <n v="6"/>
    <x v="2"/>
    <x v="1"/>
    <x v="0"/>
    <n v="75573.553401077603"/>
    <n v="15"/>
    <n v="45211.501301652679"/>
    <n v="30362.05209942492"/>
  </r>
  <r>
    <s v="ORD100958"/>
    <d v="2023-06-01T00:00:00"/>
    <x v="1"/>
    <n v="6"/>
    <x v="3"/>
    <x v="0"/>
    <x v="0"/>
    <n v="23017.451971856561"/>
    <n v="4"/>
    <n v="13744.135134583419"/>
    <n v="9273.3168372731488"/>
  </r>
  <r>
    <s v="ORD100959"/>
    <d v="2023-06-01T00:00:00"/>
    <x v="1"/>
    <n v="6"/>
    <x v="3"/>
    <x v="1"/>
    <x v="0"/>
    <n v="57737.889806469429"/>
    <n v="11"/>
    <n v="36273.78621697495"/>
    <n v="21464.10358949448"/>
  </r>
  <r>
    <s v="ORD100960"/>
    <d v="2023-06-01T00:00:00"/>
    <x v="1"/>
    <n v="6"/>
    <x v="0"/>
    <x v="0"/>
    <x v="1"/>
    <n v="70041.173808927531"/>
    <n v="11"/>
    <n v="46649.060778554907"/>
    <n v="23392.11303037262"/>
  </r>
  <r>
    <s v="ORD100961"/>
    <d v="2023-06-01T00:00:00"/>
    <x v="1"/>
    <n v="6"/>
    <x v="0"/>
    <x v="1"/>
    <x v="1"/>
    <n v="142224.00672069559"/>
    <n v="23"/>
    <n v="93770.868010057369"/>
    <n v="48453.138710638283"/>
  </r>
  <r>
    <s v="ORD100962"/>
    <d v="2023-06-01T00:00:00"/>
    <x v="1"/>
    <n v="6"/>
    <x v="1"/>
    <x v="0"/>
    <x v="1"/>
    <n v="52578.144041082793"/>
    <n v="9"/>
    <n v="33829.938368393712"/>
    <n v="18748.20567268907"/>
  </r>
  <r>
    <s v="ORD100963"/>
    <d v="2023-06-01T00:00:00"/>
    <x v="1"/>
    <n v="6"/>
    <x v="1"/>
    <x v="1"/>
    <x v="1"/>
    <n v="99238.934794399553"/>
    <n v="16"/>
    <n v="64663.099311443963"/>
    <n v="34575.835482955597"/>
  </r>
  <r>
    <s v="ORD100964"/>
    <d v="2023-06-01T00:00:00"/>
    <x v="1"/>
    <n v="6"/>
    <x v="2"/>
    <x v="0"/>
    <x v="1"/>
    <n v="38449.305819884328"/>
    <n v="6"/>
    <n v="25256.524972070511"/>
    <n v="13192.780847813819"/>
  </r>
  <r>
    <s v="ORD100965"/>
    <d v="2023-06-01T00:00:00"/>
    <x v="1"/>
    <n v="6"/>
    <x v="2"/>
    <x v="1"/>
    <x v="1"/>
    <n v="77493.604364409897"/>
    <n v="13"/>
    <n v="49676.56055990875"/>
    <n v="27817.043804501151"/>
  </r>
  <r>
    <s v="ORD100966"/>
    <d v="2023-06-01T00:00:00"/>
    <x v="1"/>
    <n v="6"/>
    <x v="3"/>
    <x v="0"/>
    <x v="1"/>
    <n v="27298.10565436427"/>
    <n v="4"/>
    <n v="17777.081633107151"/>
    <n v="9521.0240212571116"/>
  </r>
  <r>
    <s v="ORD100967"/>
    <d v="2023-06-01T00:00:00"/>
    <x v="1"/>
    <n v="6"/>
    <x v="3"/>
    <x v="1"/>
    <x v="1"/>
    <n v="56905.510146412889"/>
    <n v="9"/>
    <n v="37998.636441886258"/>
    <n v="18906.873704526632"/>
  </r>
  <r>
    <s v="ORD100968"/>
    <d v="2023-06-01T00:00:00"/>
    <x v="1"/>
    <n v="6"/>
    <x v="0"/>
    <x v="0"/>
    <x v="2"/>
    <n v="45921.116531659929"/>
    <n v="11"/>
    <n v="30144.575192919121"/>
    <n v="15776.54133874081"/>
  </r>
  <r>
    <s v="ORD100969"/>
    <d v="2023-06-01T00:00:00"/>
    <x v="1"/>
    <n v="6"/>
    <x v="0"/>
    <x v="1"/>
    <x v="2"/>
    <n v="87682.949968000758"/>
    <n v="20"/>
    <n v="55693.413755021538"/>
    <n v="31989.536212979219"/>
  </r>
  <r>
    <s v="ORD100970"/>
    <d v="2023-06-01T00:00:00"/>
    <x v="1"/>
    <n v="6"/>
    <x v="1"/>
    <x v="0"/>
    <x v="2"/>
    <n v="34783.848780738503"/>
    <n v="8"/>
    <n v="22564.795621193651"/>
    <n v="12219.05315954485"/>
  </r>
  <r>
    <s v="ORD100971"/>
    <d v="2023-06-01T00:00:00"/>
    <x v="1"/>
    <n v="6"/>
    <x v="1"/>
    <x v="1"/>
    <x v="2"/>
    <n v="74509.451021826666"/>
    <n v="17"/>
    <n v="46043.117344221297"/>
    <n v="28466.333677605358"/>
  </r>
  <r>
    <s v="ORD100972"/>
    <d v="2023-06-01T00:00:00"/>
    <x v="1"/>
    <n v="6"/>
    <x v="2"/>
    <x v="0"/>
    <x v="2"/>
    <n v="25211.813770518031"/>
    <n v="6"/>
    <n v="16327.09189400865"/>
    <n v="8884.7218765093839"/>
  </r>
  <r>
    <s v="ORD100973"/>
    <d v="2023-06-01T00:00:00"/>
    <x v="1"/>
    <n v="6"/>
    <x v="2"/>
    <x v="1"/>
    <x v="2"/>
    <n v="52980.05720435187"/>
    <n v="12"/>
    <n v="33416.562566606663"/>
    <n v="19563.494637745211"/>
  </r>
  <r>
    <s v="ORD100974"/>
    <d v="2023-06-01T00:00:00"/>
    <x v="1"/>
    <n v="6"/>
    <x v="3"/>
    <x v="0"/>
    <x v="2"/>
    <n v="18334.485409785531"/>
    <n v="4"/>
    <n v="11798.98613557812"/>
    <n v="6535.4992742074082"/>
  </r>
  <r>
    <s v="ORD100975"/>
    <d v="2023-06-01T00:00:00"/>
    <x v="1"/>
    <n v="6"/>
    <x v="3"/>
    <x v="1"/>
    <x v="2"/>
    <n v="38875.96431572258"/>
    <n v="9"/>
    <n v="24769.6609668169"/>
    <n v="14106.30334890568"/>
  </r>
  <r>
    <s v="ORD100976"/>
    <d v="2023-06-01T00:00:00"/>
    <x v="1"/>
    <n v="6"/>
    <x v="0"/>
    <x v="0"/>
    <x v="3"/>
    <n v="43566.078654248653"/>
    <n v="51"/>
    <n v="21408.73600567878"/>
    <n v="22157.34264856988"/>
  </r>
  <r>
    <s v="ORD100977"/>
    <d v="2023-06-01T00:00:00"/>
    <x v="1"/>
    <n v="6"/>
    <x v="0"/>
    <x v="1"/>
    <x v="3"/>
    <n v="93427.066711326319"/>
    <n v="110"/>
    <n v="44139.138947321488"/>
    <n v="49287.927764004831"/>
  </r>
  <r>
    <s v="ORD100978"/>
    <d v="2023-06-01T00:00:00"/>
    <x v="1"/>
    <n v="6"/>
    <x v="1"/>
    <x v="0"/>
    <x v="3"/>
    <n v="38014.281947954863"/>
    <n v="45"/>
    <n v="18452.988478759558"/>
    <n v="19561.293469195291"/>
  </r>
  <r>
    <s v="ORD100979"/>
    <d v="2023-06-01T00:00:00"/>
    <x v="1"/>
    <n v="6"/>
    <x v="1"/>
    <x v="1"/>
    <x v="3"/>
    <n v="76630.602362104721"/>
    <n v="90"/>
    <n v="36597.630483415967"/>
    <n v="40032.971878688753"/>
  </r>
  <r>
    <s v="ORD100980"/>
    <d v="2023-06-01T00:00:00"/>
    <x v="1"/>
    <n v="6"/>
    <x v="2"/>
    <x v="0"/>
    <x v="3"/>
    <n v="25781.28453414515"/>
    <n v="30"/>
    <n v="12339.75398392862"/>
    <n v="13441.53055021653"/>
  </r>
  <r>
    <s v="ORD100981"/>
    <d v="2023-06-01T00:00:00"/>
    <x v="1"/>
    <n v="6"/>
    <x v="2"/>
    <x v="1"/>
    <x v="3"/>
    <n v="53648.15909035076"/>
    <n v="63"/>
    <n v="25665.896389429541"/>
    <n v="27982.262700921219"/>
  </r>
  <r>
    <s v="ORD100982"/>
    <d v="2023-06-01T00:00:00"/>
    <x v="1"/>
    <n v="6"/>
    <x v="3"/>
    <x v="0"/>
    <x v="3"/>
    <n v="18641.242638672189"/>
    <n v="22"/>
    <n v="8811.5920718699763"/>
    <n v="9829.6505668022091"/>
  </r>
  <r>
    <s v="ORD100983"/>
    <d v="2023-06-01T00:00:00"/>
    <x v="1"/>
    <n v="6"/>
    <x v="3"/>
    <x v="1"/>
    <x v="3"/>
    <n v="36266.450323008568"/>
    <n v="43"/>
    <n v="17403.47835502497"/>
    <n v="18862.971967983602"/>
  </r>
  <r>
    <s v="ORD100984"/>
    <d v="2023-06-01T00:00:00"/>
    <x v="1"/>
    <n v="6"/>
    <x v="0"/>
    <x v="0"/>
    <x v="4"/>
    <n v="32168.13388558495"/>
    <n v="45"/>
    <n v="17672.522400742331"/>
    <n v="14495.61148484262"/>
  </r>
  <r>
    <s v="ORD100985"/>
    <d v="2023-06-01T00:00:00"/>
    <x v="1"/>
    <n v="6"/>
    <x v="0"/>
    <x v="1"/>
    <x v="4"/>
    <n v="73757.554084486852"/>
    <n v="102"/>
    <n v="40742.808324092999"/>
    <n v="33014.745760393853"/>
  </r>
  <r>
    <s v="ORD100986"/>
    <d v="2023-06-01T00:00:00"/>
    <x v="1"/>
    <n v="6"/>
    <x v="1"/>
    <x v="0"/>
    <x v="4"/>
    <n v="26952.665899394149"/>
    <n v="37"/>
    <n v="14846.51487035731"/>
    <n v="12106.151029036841"/>
  </r>
  <r>
    <s v="ORD100987"/>
    <d v="2023-06-01T00:00:00"/>
    <x v="1"/>
    <n v="6"/>
    <x v="1"/>
    <x v="1"/>
    <x v="4"/>
    <n v="57292.465568005238"/>
    <n v="80"/>
    <n v="31963.474907448319"/>
    <n v="25328.990660556919"/>
  </r>
  <r>
    <s v="ORD100988"/>
    <d v="2023-06-01T00:00:00"/>
    <x v="1"/>
    <n v="6"/>
    <x v="2"/>
    <x v="0"/>
    <x v="4"/>
    <n v="18921.691528021271"/>
    <n v="26"/>
    <n v="10579.92635745925"/>
    <n v="8341.765170562021"/>
  </r>
  <r>
    <s v="ORD100989"/>
    <d v="2023-06-01T00:00:00"/>
    <x v="1"/>
    <n v="6"/>
    <x v="2"/>
    <x v="1"/>
    <x v="4"/>
    <n v="39964.069293341418"/>
    <n v="56"/>
    <n v="21564.564997313992"/>
    <n v="18399.50429602744"/>
  </r>
  <r>
    <s v="ORD100990"/>
    <d v="2023-06-01T00:00:00"/>
    <x v="1"/>
    <n v="6"/>
    <x v="3"/>
    <x v="0"/>
    <x v="4"/>
    <n v="14847.91376621052"/>
    <n v="21"/>
    <n v="8294.0572172109332"/>
    <n v="6553.8565489995872"/>
  </r>
  <r>
    <s v="ORD100991"/>
    <d v="2023-06-01T00:00:00"/>
    <x v="1"/>
    <n v="6"/>
    <x v="3"/>
    <x v="1"/>
    <x v="4"/>
    <n v="31291.845950560859"/>
    <n v="43"/>
    <n v="16843.00097125414"/>
    <n v="14448.844979306719"/>
  </r>
  <r>
    <s v="ORD100992"/>
    <d v="2023-06-01T00:00:00"/>
    <x v="1"/>
    <n v="6"/>
    <x v="0"/>
    <x v="0"/>
    <x v="5"/>
    <n v="33211.442547840437"/>
    <n v="6"/>
    <n v="23158.37775033668"/>
    <n v="10053.064797503759"/>
  </r>
  <r>
    <s v="ORD100993"/>
    <d v="2023-06-01T00:00:00"/>
    <x v="1"/>
    <n v="6"/>
    <x v="0"/>
    <x v="1"/>
    <x v="5"/>
    <n v="66569.945699397984"/>
    <n v="12"/>
    <n v="46445.661769973478"/>
    <n v="20124.28392942451"/>
  </r>
  <r>
    <s v="ORD100994"/>
    <d v="2023-06-01T00:00:00"/>
    <x v="1"/>
    <n v="6"/>
    <x v="1"/>
    <x v="0"/>
    <x v="5"/>
    <n v="24107.513080635181"/>
    <n v="4"/>
    <n v="16061.90648130822"/>
    <n v="8045.6065993269603"/>
  </r>
  <r>
    <s v="ORD100995"/>
    <d v="2023-06-01T00:00:00"/>
    <x v="1"/>
    <n v="6"/>
    <x v="1"/>
    <x v="1"/>
    <x v="5"/>
    <n v="50307.348593045193"/>
    <n v="9"/>
    <n v="34770.165568140234"/>
    <n v="15537.183024904951"/>
  </r>
  <r>
    <s v="ORD100996"/>
    <d v="2023-06-01T00:00:00"/>
    <x v="1"/>
    <n v="6"/>
    <x v="2"/>
    <x v="0"/>
    <x v="5"/>
    <n v="17061.079868483459"/>
    <n v="3"/>
    <n v="11672.871433120799"/>
    <n v="5388.2084353626542"/>
  </r>
  <r>
    <s v="ORD100997"/>
    <d v="2023-06-01T00:00:00"/>
    <x v="1"/>
    <n v="6"/>
    <x v="2"/>
    <x v="1"/>
    <x v="5"/>
    <n v="37879.570462706477"/>
    <n v="7"/>
    <n v="25779.93167977397"/>
    <n v="12099.63878293251"/>
  </r>
  <r>
    <s v="ORD100998"/>
    <d v="2023-06-01T00:00:00"/>
    <x v="1"/>
    <n v="6"/>
    <x v="3"/>
    <x v="0"/>
    <x v="5"/>
    <n v="13183.939090353189"/>
    <n v="2"/>
    <n v="9318.1126435558235"/>
    <n v="3865.8264467973622"/>
  </r>
  <r>
    <s v="ORD100999"/>
    <d v="2023-06-01T00:00:00"/>
    <x v="1"/>
    <n v="6"/>
    <x v="3"/>
    <x v="1"/>
    <x v="5"/>
    <n v="28971.05448092792"/>
    <n v="5"/>
    <n v="19754.82043880432"/>
    <n v="9216.234042123604"/>
  </r>
  <r>
    <s v="ORD101000"/>
    <d v="2023-06-01T00:00:00"/>
    <x v="1"/>
    <n v="6"/>
    <x v="0"/>
    <x v="0"/>
    <x v="6"/>
    <n v="64440.992231644021"/>
    <n v="18"/>
    <n v="37468.330610175697"/>
    <n v="26972.66162146832"/>
  </r>
  <r>
    <s v="ORD101001"/>
    <d v="2023-06-01T00:00:00"/>
    <x v="1"/>
    <n v="6"/>
    <x v="0"/>
    <x v="1"/>
    <x v="6"/>
    <n v="139981.93321093"/>
    <n v="40"/>
    <n v="82701.869307713147"/>
    <n v="57280.063903216847"/>
  </r>
  <r>
    <s v="ORD101002"/>
    <d v="2023-06-01T00:00:00"/>
    <x v="1"/>
    <n v="6"/>
    <x v="1"/>
    <x v="0"/>
    <x v="6"/>
    <n v="46744.550998744613"/>
    <n v="13"/>
    <n v="27919.630440473189"/>
    <n v="18824.92055827142"/>
  </r>
  <r>
    <s v="ORD101003"/>
    <d v="2023-06-01T00:00:00"/>
    <x v="1"/>
    <n v="6"/>
    <x v="1"/>
    <x v="1"/>
    <x v="6"/>
    <n v="112576.0781711554"/>
    <n v="32"/>
    <n v="66250.537027845843"/>
    <n v="46325.541143309529"/>
  </r>
  <r>
    <s v="ORD101004"/>
    <d v="2023-06-01T00:00:00"/>
    <x v="1"/>
    <n v="6"/>
    <x v="2"/>
    <x v="0"/>
    <x v="6"/>
    <n v="36468.042437549622"/>
    <n v="10"/>
    <n v="21967.869399073599"/>
    <n v="14500.17303847603"/>
  </r>
  <r>
    <s v="ORD101005"/>
    <d v="2023-06-01T00:00:00"/>
    <x v="1"/>
    <n v="6"/>
    <x v="2"/>
    <x v="1"/>
    <x v="6"/>
    <n v="84168.992561988896"/>
    <n v="24"/>
    <n v="50134.331322654303"/>
    <n v="34034.6612393346"/>
  </r>
  <r>
    <s v="ORD101006"/>
    <d v="2023-06-01T00:00:00"/>
    <x v="1"/>
    <n v="6"/>
    <x v="3"/>
    <x v="0"/>
    <x v="6"/>
    <n v="23385.382567726399"/>
    <n v="7"/>
    <n v="13256.41091559019"/>
    <n v="10128.97165213621"/>
  </r>
  <r>
    <s v="ORD101007"/>
    <d v="2023-06-01T00:00:00"/>
    <x v="1"/>
    <n v="6"/>
    <x v="3"/>
    <x v="1"/>
    <x v="6"/>
    <n v="59336.418006095468"/>
    <n v="17"/>
    <n v="34674.841555624051"/>
    <n v="24661.576450471421"/>
  </r>
  <r>
    <s v="ORD101008"/>
    <d v="2023-07-01T00:00:00"/>
    <x v="1"/>
    <n v="7"/>
    <x v="0"/>
    <x v="0"/>
    <x v="0"/>
    <n v="66008.587633724921"/>
    <n v="13"/>
    <n v="40511.440070392127"/>
    <n v="25497.14756333279"/>
  </r>
  <r>
    <s v="ORD101009"/>
    <d v="2023-07-01T00:00:00"/>
    <x v="1"/>
    <n v="7"/>
    <x v="0"/>
    <x v="1"/>
    <x v="0"/>
    <n v="133928.21743158359"/>
    <n v="26"/>
    <n v="83751.966338851867"/>
    <n v="50176.25109273172"/>
  </r>
  <r>
    <s v="ORD101010"/>
    <d v="2023-07-01T00:00:00"/>
    <x v="1"/>
    <n v="7"/>
    <x v="1"/>
    <x v="0"/>
    <x v="0"/>
    <n v="51843.171478118769"/>
    <n v="10"/>
    <n v="30624.12645363804"/>
    <n v="21219.045024480729"/>
  </r>
  <r>
    <s v="ORD101011"/>
    <d v="2023-07-01T00:00:00"/>
    <x v="1"/>
    <n v="7"/>
    <x v="1"/>
    <x v="1"/>
    <x v="0"/>
    <n v="96795.511402588847"/>
    <n v="19"/>
    <n v="62766.753982917609"/>
    <n v="34028.757419671238"/>
  </r>
  <r>
    <s v="ORD101012"/>
    <d v="2023-07-01T00:00:00"/>
    <x v="1"/>
    <n v="7"/>
    <x v="2"/>
    <x v="0"/>
    <x v="0"/>
    <n v="33694.945521503992"/>
    <n v="6"/>
    <n v="21090.55093530408"/>
    <n v="12604.394586199909"/>
  </r>
  <r>
    <s v="ORD101013"/>
    <d v="2023-07-01T00:00:00"/>
    <x v="1"/>
    <n v="7"/>
    <x v="2"/>
    <x v="1"/>
    <x v="0"/>
    <n v="74953.730728799099"/>
    <n v="14"/>
    <n v="46595.84606195378"/>
    <n v="28357.884666845319"/>
  </r>
  <r>
    <s v="ORD101014"/>
    <d v="2023-07-01T00:00:00"/>
    <x v="1"/>
    <n v="7"/>
    <x v="3"/>
    <x v="0"/>
    <x v="0"/>
    <n v="25115.066301615709"/>
    <n v="5"/>
    <n v="15902.51579816264"/>
    <n v="9212.5505034530615"/>
  </r>
  <r>
    <s v="ORD101015"/>
    <d v="2023-07-01T00:00:00"/>
    <x v="1"/>
    <n v="7"/>
    <x v="3"/>
    <x v="1"/>
    <x v="0"/>
    <n v="46772.868170020563"/>
    <n v="9"/>
    <n v="30222.53101547221"/>
    <n v="16550.33715454835"/>
  </r>
  <r>
    <s v="ORD101016"/>
    <d v="2023-07-01T00:00:00"/>
    <x v="1"/>
    <n v="7"/>
    <x v="0"/>
    <x v="0"/>
    <x v="1"/>
    <n v="62023.75312300567"/>
    <n v="10"/>
    <n v="41577.279923193368"/>
    <n v="20446.473199812299"/>
  </r>
  <r>
    <s v="ORD101017"/>
    <d v="2023-07-01T00:00:00"/>
    <x v="1"/>
    <n v="7"/>
    <x v="0"/>
    <x v="1"/>
    <x v="1"/>
    <n v="125734.387446134"/>
    <n v="21"/>
    <n v="84401.961104258866"/>
    <n v="41332.426341875092"/>
  </r>
  <r>
    <s v="ORD101018"/>
    <d v="2023-07-01T00:00:00"/>
    <x v="1"/>
    <n v="7"/>
    <x v="1"/>
    <x v="0"/>
    <x v="1"/>
    <n v="58489.041612144043"/>
    <n v="10"/>
    <n v="38693.577403251838"/>
    <n v="19795.464208892201"/>
  </r>
  <r>
    <s v="ORD101019"/>
    <d v="2023-07-01T00:00:00"/>
    <x v="1"/>
    <n v="7"/>
    <x v="1"/>
    <x v="1"/>
    <x v="1"/>
    <n v="115707.791692404"/>
    <n v="19"/>
    <n v="76172.600004197055"/>
    <n v="39535.19168820692"/>
  </r>
  <r>
    <s v="ORD101020"/>
    <d v="2023-07-01T00:00:00"/>
    <x v="1"/>
    <n v="7"/>
    <x v="2"/>
    <x v="0"/>
    <x v="1"/>
    <n v="36560.618250934531"/>
    <n v="6"/>
    <n v="23923.350983562479"/>
    <n v="12637.26726737205"/>
  </r>
  <r>
    <s v="ORD101021"/>
    <d v="2023-07-01T00:00:00"/>
    <x v="1"/>
    <n v="7"/>
    <x v="2"/>
    <x v="1"/>
    <x v="1"/>
    <n v="76308.206811807206"/>
    <n v="13"/>
    <n v="49614.511694196757"/>
    <n v="26693.695117610449"/>
  </r>
  <r>
    <s v="ORD101022"/>
    <d v="2023-07-01T00:00:00"/>
    <x v="1"/>
    <n v="7"/>
    <x v="3"/>
    <x v="0"/>
    <x v="1"/>
    <n v="27903.465761155639"/>
    <n v="5"/>
    <n v="18188.54691839097"/>
    <n v="9714.9188427646623"/>
  </r>
  <r>
    <s v="ORD101023"/>
    <d v="2023-07-01T00:00:00"/>
    <x v="1"/>
    <n v="7"/>
    <x v="3"/>
    <x v="1"/>
    <x v="1"/>
    <n v="57589.303015008583"/>
    <n v="9"/>
    <n v="37084.942379074673"/>
    <n v="20504.360635933899"/>
  </r>
  <r>
    <s v="ORD101024"/>
    <d v="2023-07-01T00:00:00"/>
    <x v="1"/>
    <n v="7"/>
    <x v="0"/>
    <x v="0"/>
    <x v="2"/>
    <n v="44827.138431924701"/>
    <n v="10"/>
    <n v="28650.187924168131"/>
    <n v="16176.95050775657"/>
  </r>
  <r>
    <s v="ORD101025"/>
    <d v="2023-07-01T00:00:00"/>
    <x v="1"/>
    <n v="7"/>
    <x v="0"/>
    <x v="1"/>
    <x v="2"/>
    <n v="97906.673530427302"/>
    <n v="23"/>
    <n v="60760.159972859459"/>
    <n v="37146.513557567843"/>
  </r>
  <r>
    <s v="ORD101026"/>
    <d v="2023-07-01T00:00:00"/>
    <x v="1"/>
    <n v="7"/>
    <x v="1"/>
    <x v="0"/>
    <x v="2"/>
    <n v="34665.206619244382"/>
    <n v="8"/>
    <n v="22261.97344823094"/>
    <n v="12403.23317101344"/>
  </r>
  <r>
    <s v="ORD101027"/>
    <d v="2023-07-01T00:00:00"/>
    <x v="1"/>
    <n v="7"/>
    <x v="1"/>
    <x v="1"/>
    <x v="2"/>
    <n v="76873.841259484208"/>
    <n v="18"/>
    <n v="49167.084504553648"/>
    <n v="27706.75675493056"/>
  </r>
  <r>
    <s v="ORD101028"/>
    <d v="2023-07-01T00:00:00"/>
    <x v="1"/>
    <n v="7"/>
    <x v="2"/>
    <x v="0"/>
    <x v="2"/>
    <n v="23303.331553438911"/>
    <n v="5"/>
    <n v="14953.57761855531"/>
    <n v="8349.753934883609"/>
  </r>
  <r>
    <s v="ORD101029"/>
    <d v="2023-07-01T00:00:00"/>
    <x v="1"/>
    <n v="7"/>
    <x v="2"/>
    <x v="1"/>
    <x v="2"/>
    <n v="51023.55966748522"/>
    <n v="12"/>
    <n v="32348.17373681648"/>
    <n v="18675.385930668741"/>
  </r>
  <r>
    <s v="ORD101030"/>
    <d v="2023-07-01T00:00:00"/>
    <x v="1"/>
    <n v="7"/>
    <x v="3"/>
    <x v="0"/>
    <x v="2"/>
    <n v="17072.91175879721"/>
    <n v="4"/>
    <n v="11531.82024927577"/>
    <n v="5541.0915095214459"/>
  </r>
  <r>
    <s v="ORD101031"/>
    <d v="2023-07-01T00:00:00"/>
    <x v="1"/>
    <n v="7"/>
    <x v="3"/>
    <x v="1"/>
    <x v="2"/>
    <n v="40133.090640318558"/>
    <n v="9"/>
    <n v="26314.004751985602"/>
    <n v="13819.08588833296"/>
  </r>
  <r>
    <s v="ORD101032"/>
    <d v="2023-07-01T00:00:00"/>
    <x v="1"/>
    <n v="7"/>
    <x v="0"/>
    <x v="0"/>
    <x v="3"/>
    <n v="45149.013992651031"/>
    <n v="53"/>
    <n v="21186.046267745809"/>
    <n v="23962.967724905229"/>
  </r>
  <r>
    <s v="ORD101033"/>
    <d v="2023-07-01T00:00:00"/>
    <x v="1"/>
    <n v="7"/>
    <x v="0"/>
    <x v="1"/>
    <x v="3"/>
    <n v="92176.051626323868"/>
    <n v="108"/>
    <n v="44429.961178368962"/>
    <n v="47746.090447954914"/>
  </r>
  <r>
    <s v="ORD101034"/>
    <d v="2023-07-01T00:00:00"/>
    <x v="1"/>
    <n v="7"/>
    <x v="1"/>
    <x v="0"/>
    <x v="3"/>
    <n v="29921.1913722756"/>
    <n v="35"/>
    <n v="14204.99066180417"/>
    <n v="15716.20071047143"/>
  </r>
  <r>
    <s v="ORD101035"/>
    <d v="2023-07-01T00:00:00"/>
    <x v="1"/>
    <n v="7"/>
    <x v="1"/>
    <x v="1"/>
    <x v="3"/>
    <n v="69764.416926217629"/>
    <n v="82"/>
    <n v="32875.427696211751"/>
    <n v="36888.989230005878"/>
  </r>
  <r>
    <s v="ORD101036"/>
    <d v="2023-07-01T00:00:00"/>
    <x v="1"/>
    <n v="7"/>
    <x v="2"/>
    <x v="0"/>
    <x v="3"/>
    <n v="22562.578094499469"/>
    <n v="27"/>
    <n v="10568.802931619341"/>
    <n v="11993.775162880131"/>
  </r>
  <r>
    <s v="ORD101037"/>
    <d v="2023-07-01T00:00:00"/>
    <x v="1"/>
    <n v="7"/>
    <x v="2"/>
    <x v="1"/>
    <x v="3"/>
    <n v="52580.218242797768"/>
    <n v="62"/>
    <n v="25434.857810643451"/>
    <n v="27145.360432154321"/>
  </r>
  <r>
    <s v="ORD101038"/>
    <d v="2023-07-01T00:00:00"/>
    <x v="1"/>
    <n v="7"/>
    <x v="3"/>
    <x v="0"/>
    <x v="3"/>
    <n v="17498.087631632639"/>
    <n v="21"/>
    <n v="8296.0686299932131"/>
    <n v="9202.0190016394226"/>
  </r>
  <r>
    <s v="ORD101039"/>
    <d v="2023-07-01T00:00:00"/>
    <x v="1"/>
    <n v="7"/>
    <x v="3"/>
    <x v="1"/>
    <x v="3"/>
    <n v="36633.529780790137"/>
    <n v="43"/>
    <n v="17890.424487992481"/>
    <n v="18743.105292797671"/>
  </r>
  <r>
    <s v="ORD101040"/>
    <d v="2023-07-01T00:00:00"/>
    <x v="1"/>
    <n v="7"/>
    <x v="0"/>
    <x v="0"/>
    <x v="4"/>
    <n v="31385.040552198319"/>
    <n v="44"/>
    <n v="17570.552265229679"/>
    <n v="13814.488286968641"/>
  </r>
  <r>
    <s v="ORD101041"/>
    <d v="2023-07-01T00:00:00"/>
    <x v="1"/>
    <n v="7"/>
    <x v="0"/>
    <x v="1"/>
    <x v="4"/>
    <n v="75008.671911557278"/>
    <n v="104"/>
    <n v="42275.018935569948"/>
    <n v="32733.652975987319"/>
  </r>
  <r>
    <s v="ORD101042"/>
    <d v="2023-07-01T00:00:00"/>
    <x v="1"/>
    <n v="7"/>
    <x v="1"/>
    <x v="0"/>
    <x v="4"/>
    <n v="26733.02724051095"/>
    <n v="37"/>
    <n v="14477.574883775609"/>
    <n v="12255.45235673533"/>
  </r>
  <r>
    <s v="ORD101043"/>
    <d v="2023-07-01T00:00:00"/>
    <x v="1"/>
    <n v="7"/>
    <x v="1"/>
    <x v="1"/>
    <x v="4"/>
    <n v="56860.78350011196"/>
    <n v="79"/>
    <n v="31541.02456968385"/>
    <n v="25319.75893042811"/>
  </r>
  <r>
    <s v="ORD101044"/>
    <d v="2023-07-01T00:00:00"/>
    <x v="1"/>
    <n v="7"/>
    <x v="2"/>
    <x v="0"/>
    <x v="4"/>
    <n v="17883.606926169861"/>
    <n v="25"/>
    <n v="9947.9583792247977"/>
    <n v="7935.6485469450636"/>
  </r>
  <r>
    <s v="ORD101045"/>
    <d v="2023-07-01T00:00:00"/>
    <x v="1"/>
    <n v="7"/>
    <x v="2"/>
    <x v="1"/>
    <x v="4"/>
    <n v="37723.392280512497"/>
    <n v="52"/>
    <n v="20570.77842210987"/>
    <n v="17152.613858402641"/>
  </r>
  <r>
    <s v="ORD101046"/>
    <d v="2023-07-01T00:00:00"/>
    <x v="1"/>
    <n v="7"/>
    <x v="3"/>
    <x v="0"/>
    <x v="4"/>
    <n v="14269.082048793611"/>
    <n v="20"/>
    <n v="7738.9716007448169"/>
    <n v="6530.1104480487957"/>
  </r>
  <r>
    <s v="ORD101047"/>
    <d v="2023-07-01T00:00:00"/>
    <x v="1"/>
    <n v="7"/>
    <x v="3"/>
    <x v="1"/>
    <x v="4"/>
    <n v="29868.37671342606"/>
    <n v="41"/>
    <n v="16903.537511161401"/>
    <n v="12964.839202264649"/>
  </r>
  <r>
    <s v="ORD101048"/>
    <d v="2023-07-01T00:00:00"/>
    <x v="1"/>
    <n v="7"/>
    <x v="0"/>
    <x v="0"/>
    <x v="5"/>
    <n v="32641.881921706819"/>
    <n v="6"/>
    <n v="22615.128123413149"/>
    <n v="10026.75379829367"/>
  </r>
  <r>
    <s v="ORD101049"/>
    <d v="2023-07-01T00:00:00"/>
    <x v="1"/>
    <n v="7"/>
    <x v="0"/>
    <x v="1"/>
    <x v="5"/>
    <n v="70368.879510644256"/>
    <n v="13"/>
    <n v="49110.350900583857"/>
    <n v="21258.528610060399"/>
  </r>
  <r>
    <s v="ORD101050"/>
    <d v="2023-07-01T00:00:00"/>
    <x v="1"/>
    <n v="7"/>
    <x v="1"/>
    <x v="0"/>
    <x v="5"/>
    <n v="24716.006771961951"/>
    <n v="5"/>
    <n v="16801.6896941132"/>
    <n v="7914.3170778487547"/>
  </r>
  <r>
    <s v="ORD101051"/>
    <d v="2023-07-01T00:00:00"/>
    <x v="1"/>
    <n v="7"/>
    <x v="1"/>
    <x v="1"/>
    <x v="5"/>
    <n v="53293.205273314707"/>
    <n v="10"/>
    <n v="35965.265287764378"/>
    <n v="17327.939985550322"/>
  </r>
  <r>
    <s v="ORD101052"/>
    <d v="2023-07-01T00:00:00"/>
    <x v="1"/>
    <n v="7"/>
    <x v="2"/>
    <x v="0"/>
    <x v="5"/>
    <n v="17573.373162307958"/>
    <n v="3"/>
    <n v="12001.338636958961"/>
    <n v="5572.0345253489959"/>
  </r>
  <r>
    <s v="ORD101053"/>
    <d v="2023-07-01T00:00:00"/>
    <x v="1"/>
    <n v="7"/>
    <x v="2"/>
    <x v="1"/>
    <x v="5"/>
    <n v="38085.612973106166"/>
    <n v="7"/>
    <n v="26220.407943881561"/>
    <n v="11865.205029224609"/>
  </r>
  <r>
    <s v="ORD101054"/>
    <d v="2023-07-01T00:00:00"/>
    <x v="1"/>
    <n v="7"/>
    <x v="3"/>
    <x v="0"/>
    <x v="5"/>
    <n v="12490.420148178089"/>
    <n v="2"/>
    <n v="8453.29636895353"/>
    <n v="4037.1237792245588"/>
  </r>
  <r>
    <s v="ORD101055"/>
    <d v="2023-07-01T00:00:00"/>
    <x v="1"/>
    <n v="7"/>
    <x v="3"/>
    <x v="1"/>
    <x v="5"/>
    <n v="28533.046969282721"/>
    <n v="5"/>
    <n v="19684.31360115077"/>
    <n v="8848.7333681319469"/>
  </r>
  <r>
    <s v="ORD101056"/>
    <d v="2023-07-01T00:00:00"/>
    <x v="1"/>
    <n v="7"/>
    <x v="0"/>
    <x v="0"/>
    <x v="6"/>
    <n v="65865.740918177544"/>
    <n v="19"/>
    <n v="37679.687609102657"/>
    <n v="28186.05330907489"/>
  </r>
  <r>
    <s v="ORD101057"/>
    <d v="2023-07-01T00:00:00"/>
    <x v="1"/>
    <n v="7"/>
    <x v="0"/>
    <x v="1"/>
    <x v="6"/>
    <n v="127151.01029941181"/>
    <n v="36"/>
    <n v="73506.647063112803"/>
    <n v="53644.363236298967"/>
  </r>
  <r>
    <s v="ORD101058"/>
    <d v="2023-07-01T00:00:00"/>
    <x v="1"/>
    <n v="7"/>
    <x v="1"/>
    <x v="0"/>
    <x v="6"/>
    <n v="47638.674156962967"/>
    <n v="14"/>
    <n v="28446.246995911031"/>
    <n v="19192.427161051939"/>
  </r>
  <r>
    <s v="ORD101059"/>
    <d v="2023-07-01T00:00:00"/>
    <x v="1"/>
    <n v="7"/>
    <x v="1"/>
    <x v="1"/>
    <x v="6"/>
    <n v="108755.51424853411"/>
    <n v="31"/>
    <n v="64863.121532036632"/>
    <n v="43892.392716497503"/>
  </r>
  <r>
    <s v="ORD101060"/>
    <d v="2023-07-01T00:00:00"/>
    <x v="1"/>
    <n v="7"/>
    <x v="2"/>
    <x v="0"/>
    <x v="6"/>
    <n v="36104.27987227351"/>
    <n v="10"/>
    <n v="21151.26881489564"/>
    <n v="14953.011057377869"/>
  </r>
  <r>
    <s v="ORD101061"/>
    <d v="2023-07-01T00:00:00"/>
    <x v="1"/>
    <n v="7"/>
    <x v="2"/>
    <x v="1"/>
    <x v="6"/>
    <n v="73827.681985491246"/>
    <n v="21"/>
    <n v="42760.354282529719"/>
    <n v="31067.327702961531"/>
  </r>
  <r>
    <s v="ORD101062"/>
    <d v="2023-07-01T00:00:00"/>
    <x v="1"/>
    <n v="7"/>
    <x v="3"/>
    <x v="0"/>
    <x v="6"/>
    <n v="27932.863481809291"/>
    <n v="8"/>
    <n v="16175.61326246225"/>
    <n v="11757.250219347039"/>
  </r>
  <r>
    <s v="ORD101063"/>
    <d v="2023-07-01T00:00:00"/>
    <x v="1"/>
    <n v="7"/>
    <x v="3"/>
    <x v="1"/>
    <x v="6"/>
    <n v="55769.603613697087"/>
    <n v="16"/>
    <n v="32682.989357191029"/>
    <n v="23086.614256506062"/>
  </r>
  <r>
    <s v="ORD101064"/>
    <d v="2023-08-01T00:00:00"/>
    <x v="1"/>
    <n v="8"/>
    <x v="0"/>
    <x v="0"/>
    <x v="0"/>
    <n v="63628.217430204117"/>
    <n v="12"/>
    <n v="39907.161526728552"/>
    <n v="23721.055903475561"/>
  </r>
  <r>
    <s v="ORD101065"/>
    <d v="2023-08-01T00:00:00"/>
    <x v="1"/>
    <n v="8"/>
    <x v="0"/>
    <x v="1"/>
    <x v="0"/>
    <n v="119644.7931948817"/>
    <n v="23"/>
    <n v="75419.198744554873"/>
    <n v="44225.594450326811"/>
  </r>
  <r>
    <s v="ORD101066"/>
    <d v="2023-08-01T00:00:00"/>
    <x v="1"/>
    <n v="8"/>
    <x v="1"/>
    <x v="0"/>
    <x v="0"/>
    <n v="46592.300403753601"/>
    <n v="9"/>
    <n v="28629.0446078272"/>
    <n v="17963.255795926401"/>
  </r>
  <r>
    <s v="ORD101067"/>
    <d v="2023-08-01T00:00:00"/>
    <x v="1"/>
    <n v="8"/>
    <x v="1"/>
    <x v="1"/>
    <x v="0"/>
    <n v="99169.290108339817"/>
    <n v="19"/>
    <n v="60208.356027833011"/>
    <n v="38960.934080506813"/>
  </r>
  <r>
    <s v="ORD101068"/>
    <d v="2023-08-01T00:00:00"/>
    <x v="1"/>
    <n v="8"/>
    <x v="2"/>
    <x v="0"/>
    <x v="0"/>
    <n v="34437.066760927337"/>
    <n v="7"/>
    <n v="21453.918433278759"/>
    <n v="12983.14832764858"/>
  </r>
  <r>
    <s v="ORD101069"/>
    <d v="2023-08-01T00:00:00"/>
    <x v="1"/>
    <n v="8"/>
    <x v="2"/>
    <x v="1"/>
    <x v="0"/>
    <n v="72774.383214883695"/>
    <n v="14"/>
    <n v="44451.273688325957"/>
    <n v="28323.109526557731"/>
  </r>
  <r>
    <s v="ORD101070"/>
    <d v="2023-08-01T00:00:00"/>
    <x v="1"/>
    <n v="8"/>
    <x v="3"/>
    <x v="0"/>
    <x v="0"/>
    <n v="24466.168412668329"/>
    <n v="5"/>
    <n v="15027.519451069969"/>
    <n v="9438.6489615983628"/>
  </r>
  <r>
    <s v="ORD101071"/>
    <d v="2023-08-01T00:00:00"/>
    <x v="1"/>
    <n v="8"/>
    <x v="3"/>
    <x v="1"/>
    <x v="0"/>
    <n v="53687.347698094287"/>
    <n v="10"/>
    <n v="34080.195803036491"/>
    <n v="19607.151895057799"/>
  </r>
  <r>
    <s v="ORD101072"/>
    <d v="2023-08-01T00:00:00"/>
    <x v="1"/>
    <n v="8"/>
    <x v="0"/>
    <x v="0"/>
    <x v="1"/>
    <n v="64935.667902787267"/>
    <n v="11"/>
    <n v="43495.60721414462"/>
    <n v="21440.06068864265"/>
  </r>
  <r>
    <s v="ORD101073"/>
    <d v="2023-08-01T00:00:00"/>
    <x v="1"/>
    <n v="8"/>
    <x v="0"/>
    <x v="1"/>
    <x v="1"/>
    <n v="132162.69089951721"/>
    <n v="22"/>
    <n v="87475.410318859111"/>
    <n v="44687.280580658044"/>
  </r>
  <r>
    <s v="ORD101074"/>
    <d v="2023-08-01T00:00:00"/>
    <x v="1"/>
    <n v="8"/>
    <x v="1"/>
    <x v="0"/>
    <x v="1"/>
    <n v="52724.003925617137"/>
    <n v="9"/>
    <n v="34001.161921503422"/>
    <n v="18722.842004113711"/>
  </r>
  <r>
    <s v="ORD101075"/>
    <d v="2023-08-01T00:00:00"/>
    <x v="1"/>
    <n v="8"/>
    <x v="1"/>
    <x v="1"/>
    <x v="1"/>
    <n v="119218.3799577536"/>
    <n v="20"/>
    <n v="78983.534764990822"/>
    <n v="40234.845192762732"/>
  </r>
  <r>
    <s v="ORD101076"/>
    <d v="2023-08-01T00:00:00"/>
    <x v="1"/>
    <n v="8"/>
    <x v="2"/>
    <x v="0"/>
    <x v="1"/>
    <n v="32869.615300758822"/>
    <n v="5"/>
    <n v="22108.904238276242"/>
    <n v="10760.71106248258"/>
  </r>
  <r>
    <s v="ORD101077"/>
    <d v="2023-08-01T00:00:00"/>
    <x v="1"/>
    <n v="8"/>
    <x v="2"/>
    <x v="1"/>
    <x v="1"/>
    <n v="71918.890922589751"/>
    <n v="12"/>
    <n v="47145.527948084913"/>
    <n v="24773.362974504849"/>
  </r>
  <r>
    <s v="ORD101078"/>
    <d v="2023-08-01T00:00:00"/>
    <x v="1"/>
    <n v="8"/>
    <x v="3"/>
    <x v="0"/>
    <x v="1"/>
    <n v="27265.75882021233"/>
    <n v="4"/>
    <n v="18433.049934224218"/>
    <n v="8832.7088859881114"/>
  </r>
  <r>
    <s v="ORD101079"/>
    <d v="2023-08-01T00:00:00"/>
    <x v="1"/>
    <n v="8"/>
    <x v="3"/>
    <x v="1"/>
    <x v="1"/>
    <n v="62736.616156278273"/>
    <n v="10"/>
    <n v="42369.663947537781"/>
    <n v="20366.95220874048"/>
  </r>
  <r>
    <s v="ORD101080"/>
    <d v="2023-08-01T00:00:00"/>
    <x v="1"/>
    <n v="8"/>
    <x v="0"/>
    <x v="0"/>
    <x v="2"/>
    <n v="45768.680254034043"/>
    <n v="11"/>
    <n v="30169.167143961138"/>
    <n v="15599.5131100729"/>
  </r>
  <r>
    <s v="ORD101081"/>
    <d v="2023-08-01T00:00:00"/>
    <x v="1"/>
    <n v="8"/>
    <x v="0"/>
    <x v="1"/>
    <x v="2"/>
    <n v="103462.65609678109"/>
    <n v="24"/>
    <n v="66579.916070433959"/>
    <n v="36882.74002634715"/>
  </r>
  <r>
    <s v="ORD101082"/>
    <d v="2023-08-01T00:00:00"/>
    <x v="1"/>
    <n v="8"/>
    <x v="1"/>
    <x v="0"/>
    <x v="2"/>
    <n v="39308.219230572453"/>
    <n v="9"/>
    <n v="25423.249293667792"/>
    <n v="13884.96993690465"/>
  </r>
  <r>
    <s v="ORD101083"/>
    <d v="2023-08-01T00:00:00"/>
    <x v="1"/>
    <n v="8"/>
    <x v="1"/>
    <x v="1"/>
    <x v="2"/>
    <n v="76499.718572071564"/>
    <n v="18"/>
    <n v="50206.110274720697"/>
    <n v="26293.608297350871"/>
  </r>
  <r>
    <s v="ORD101084"/>
    <d v="2023-08-01T00:00:00"/>
    <x v="1"/>
    <n v="8"/>
    <x v="2"/>
    <x v="0"/>
    <x v="2"/>
    <n v="24103.771170074939"/>
    <n v="6"/>
    <n v="15550.643858912479"/>
    <n v="8553.1273111624578"/>
  </r>
  <r>
    <s v="ORD101085"/>
    <d v="2023-08-01T00:00:00"/>
    <x v="1"/>
    <n v="8"/>
    <x v="2"/>
    <x v="1"/>
    <x v="2"/>
    <n v="53165.206174570783"/>
    <n v="12"/>
    <n v="33718.744518584121"/>
    <n v="19446.461655986659"/>
  </r>
  <r>
    <s v="ORD101086"/>
    <d v="2023-08-01T00:00:00"/>
    <x v="1"/>
    <n v="8"/>
    <x v="3"/>
    <x v="0"/>
    <x v="2"/>
    <n v="17247.874680230361"/>
    <n v="4"/>
    <n v="10949.51634485357"/>
    <n v="6298.3583353767881"/>
  </r>
  <r>
    <s v="ORD101087"/>
    <d v="2023-08-01T00:00:00"/>
    <x v="1"/>
    <n v="8"/>
    <x v="3"/>
    <x v="1"/>
    <x v="2"/>
    <n v="40287.492616563177"/>
    <n v="9"/>
    <n v="25894.71147101546"/>
    <n v="14392.78114554772"/>
  </r>
  <r>
    <s v="ORD101088"/>
    <d v="2023-08-01T00:00:00"/>
    <x v="1"/>
    <n v="8"/>
    <x v="0"/>
    <x v="0"/>
    <x v="3"/>
    <n v="37133.727019902617"/>
    <n v="44"/>
    <n v="17410.131177644729"/>
    <n v="19723.595842257891"/>
  </r>
  <r>
    <s v="ORD101089"/>
    <d v="2023-08-01T00:00:00"/>
    <x v="1"/>
    <n v="8"/>
    <x v="0"/>
    <x v="1"/>
    <x v="3"/>
    <n v="80560.100955180475"/>
    <n v="95"/>
    <n v="38569.134627292813"/>
    <n v="41990.966327887661"/>
  </r>
  <r>
    <s v="ORD101090"/>
    <d v="2023-08-01T00:00:00"/>
    <x v="1"/>
    <n v="8"/>
    <x v="1"/>
    <x v="0"/>
    <x v="3"/>
    <n v="30698.55719186991"/>
    <n v="36"/>
    <n v="15026.150712708581"/>
    <n v="15672.40647916134"/>
  </r>
  <r>
    <s v="ORD101091"/>
    <d v="2023-08-01T00:00:00"/>
    <x v="1"/>
    <n v="8"/>
    <x v="1"/>
    <x v="1"/>
    <x v="3"/>
    <n v="65684.183406525655"/>
    <n v="77"/>
    <n v="30284.846615626619"/>
    <n v="35399.336790899033"/>
  </r>
  <r>
    <s v="ORD101092"/>
    <d v="2023-08-01T00:00:00"/>
    <x v="1"/>
    <n v="8"/>
    <x v="2"/>
    <x v="0"/>
    <x v="3"/>
    <n v="20666.994005299799"/>
    <n v="24"/>
    <n v="10194.1585864715"/>
    <n v="10472.835418828299"/>
  </r>
  <r>
    <s v="ORD101093"/>
    <d v="2023-08-01T00:00:00"/>
    <x v="1"/>
    <n v="8"/>
    <x v="2"/>
    <x v="1"/>
    <x v="3"/>
    <n v="43924.789613293236"/>
    <n v="52"/>
    <n v="21509.851458683421"/>
    <n v="22414.938154609808"/>
  </r>
  <r>
    <s v="ORD101094"/>
    <d v="2023-08-01T00:00:00"/>
    <x v="1"/>
    <n v="8"/>
    <x v="3"/>
    <x v="0"/>
    <x v="3"/>
    <n v="15032.58203719166"/>
    <n v="18"/>
    <n v="7155.9244558544679"/>
    <n v="7876.6575813371937"/>
  </r>
  <r>
    <s v="ORD101095"/>
    <d v="2023-08-01T00:00:00"/>
    <x v="1"/>
    <n v="8"/>
    <x v="3"/>
    <x v="1"/>
    <x v="3"/>
    <n v="37695.935096217632"/>
    <n v="44"/>
    <n v="18271.027369461921"/>
    <n v="19424.907726755711"/>
  </r>
  <r>
    <s v="ORD101096"/>
    <d v="2023-08-01T00:00:00"/>
    <x v="1"/>
    <n v="8"/>
    <x v="0"/>
    <x v="0"/>
    <x v="4"/>
    <n v="32550.12924657136"/>
    <n v="45"/>
    <n v="17903.58542889883"/>
    <n v="14646.54381767254"/>
  </r>
  <r>
    <s v="ORD101097"/>
    <d v="2023-08-01T00:00:00"/>
    <x v="1"/>
    <n v="8"/>
    <x v="0"/>
    <x v="1"/>
    <x v="4"/>
    <n v="77099.65621146794"/>
    <n v="107"/>
    <n v="43343.646078352758"/>
    <n v="33756.010133115182"/>
  </r>
  <r>
    <s v="ORD101098"/>
    <d v="2023-08-01T00:00:00"/>
    <x v="1"/>
    <n v="8"/>
    <x v="1"/>
    <x v="0"/>
    <x v="4"/>
    <n v="28802.504276663291"/>
    <n v="40"/>
    <n v="16121.58433284495"/>
    <n v="12680.91994381834"/>
  </r>
  <r>
    <s v="ORD101099"/>
    <d v="2023-08-01T00:00:00"/>
    <x v="1"/>
    <n v="8"/>
    <x v="1"/>
    <x v="1"/>
    <x v="4"/>
    <n v="60845.249942981747"/>
    <n v="85"/>
    <n v="32621.529703049739"/>
    <n v="28223.720239932009"/>
  </r>
  <r>
    <s v="ORD101100"/>
    <d v="2023-08-01T00:00:00"/>
    <x v="1"/>
    <n v="8"/>
    <x v="2"/>
    <x v="0"/>
    <x v="4"/>
    <n v="17896.535778153218"/>
    <n v="25"/>
    <n v="9947.1433096421624"/>
    <n v="7949.3924685110596"/>
  </r>
  <r>
    <s v="ORD101101"/>
    <d v="2023-08-01T00:00:00"/>
    <x v="1"/>
    <n v="8"/>
    <x v="2"/>
    <x v="1"/>
    <x v="4"/>
    <n v="39069.145589381289"/>
    <n v="54"/>
    <n v="21408.496399102631"/>
    <n v="17660.649190278658"/>
  </r>
  <r>
    <s v="ORD101102"/>
    <d v="2023-08-01T00:00:00"/>
    <x v="1"/>
    <n v="8"/>
    <x v="3"/>
    <x v="0"/>
    <x v="4"/>
    <n v="14119.191598430019"/>
    <n v="20"/>
    <n v="7777.1337155804949"/>
    <n v="6342.0578828495281"/>
  </r>
  <r>
    <s v="ORD101103"/>
    <d v="2023-08-01T00:00:00"/>
    <x v="1"/>
    <n v="8"/>
    <x v="3"/>
    <x v="1"/>
    <x v="4"/>
    <n v="30541.996440498198"/>
    <n v="42"/>
    <n v="16577.923788559849"/>
    <n v="13964.07265193835"/>
  </r>
  <r>
    <s v="ORD101104"/>
    <d v="2023-08-01T00:00:00"/>
    <x v="1"/>
    <n v="8"/>
    <x v="0"/>
    <x v="0"/>
    <x v="5"/>
    <n v="29195.855941026872"/>
    <n v="5"/>
    <n v="20779.03700610598"/>
    <n v="8416.8189349208878"/>
  </r>
  <r>
    <s v="ORD101105"/>
    <d v="2023-08-01T00:00:00"/>
    <x v="1"/>
    <n v="8"/>
    <x v="0"/>
    <x v="1"/>
    <x v="5"/>
    <n v="62747.892963214523"/>
    <n v="12"/>
    <n v="44106.596306477652"/>
    <n v="18641.296656736871"/>
  </r>
  <r>
    <s v="ORD101106"/>
    <d v="2023-08-01T00:00:00"/>
    <x v="1"/>
    <n v="8"/>
    <x v="1"/>
    <x v="0"/>
    <x v="5"/>
    <n v="22793.348543962129"/>
    <n v="4"/>
    <n v="15517.986169502419"/>
    <n v="7275.3623744597098"/>
  </r>
  <r>
    <s v="ORD101107"/>
    <d v="2023-08-01T00:00:00"/>
    <x v="1"/>
    <n v="8"/>
    <x v="1"/>
    <x v="1"/>
    <x v="5"/>
    <n v="49951.781163520667"/>
    <n v="9"/>
    <n v="33638.735084801083"/>
    <n v="16313.04607871959"/>
  </r>
  <r>
    <s v="ORD101108"/>
    <d v="2023-08-01T00:00:00"/>
    <x v="1"/>
    <n v="8"/>
    <x v="2"/>
    <x v="0"/>
    <x v="5"/>
    <n v="15536.00905892811"/>
    <n v="3"/>
    <n v="10645.42792713133"/>
    <n v="4890.58113179678"/>
  </r>
  <r>
    <s v="ORD101109"/>
    <d v="2023-08-01T00:00:00"/>
    <x v="1"/>
    <n v="8"/>
    <x v="2"/>
    <x v="1"/>
    <x v="5"/>
    <n v="35574.823562284742"/>
    <n v="7"/>
    <n v="24738.608606729249"/>
    <n v="10836.214955555481"/>
  </r>
  <r>
    <s v="ORD101110"/>
    <d v="2023-08-01T00:00:00"/>
    <x v="1"/>
    <n v="8"/>
    <x v="3"/>
    <x v="0"/>
    <x v="5"/>
    <n v="13684.929771574991"/>
    <n v="3"/>
    <n v="9483.4285676924101"/>
    <n v="4201.5012038825844"/>
  </r>
  <r>
    <s v="ORD101111"/>
    <d v="2023-08-01T00:00:00"/>
    <x v="1"/>
    <n v="8"/>
    <x v="3"/>
    <x v="1"/>
    <x v="5"/>
    <n v="27613.148362226089"/>
    <n v="5"/>
    <n v="19482.84091712613"/>
    <n v="8130.3074450999593"/>
  </r>
  <r>
    <s v="ORD101112"/>
    <d v="2023-08-01T00:00:00"/>
    <x v="1"/>
    <n v="8"/>
    <x v="0"/>
    <x v="0"/>
    <x v="6"/>
    <n v="59951.44102615647"/>
    <n v="17"/>
    <n v="35874.279693726181"/>
    <n v="24077.161332430289"/>
  </r>
  <r>
    <s v="ORD101113"/>
    <d v="2023-08-01T00:00:00"/>
    <x v="1"/>
    <n v="8"/>
    <x v="0"/>
    <x v="1"/>
    <x v="6"/>
    <n v="133282.0564230872"/>
    <n v="38"/>
    <n v="80008.795040816025"/>
    <n v="53273.261382271143"/>
  </r>
  <r>
    <s v="ORD101114"/>
    <d v="2023-08-01T00:00:00"/>
    <x v="1"/>
    <n v="8"/>
    <x v="1"/>
    <x v="0"/>
    <x v="6"/>
    <n v="53505.369384765523"/>
    <n v="15"/>
    <n v="31753.89600820827"/>
    <n v="21751.473376557249"/>
  </r>
  <r>
    <s v="ORD101115"/>
    <d v="2023-08-01T00:00:00"/>
    <x v="1"/>
    <n v="8"/>
    <x v="1"/>
    <x v="1"/>
    <x v="6"/>
    <n v="115214.3538156579"/>
    <n v="33"/>
    <n v="66276.555560272347"/>
    <n v="48937.798255385511"/>
  </r>
  <r>
    <s v="ORD101116"/>
    <d v="2023-08-01T00:00:00"/>
    <x v="1"/>
    <n v="8"/>
    <x v="2"/>
    <x v="0"/>
    <x v="6"/>
    <n v="38726.221430787678"/>
    <n v="11"/>
    <n v="22767.98522557244"/>
    <n v="15958.23620521524"/>
  </r>
  <r>
    <s v="ORD101117"/>
    <d v="2023-08-01T00:00:00"/>
    <x v="1"/>
    <n v="8"/>
    <x v="2"/>
    <x v="1"/>
    <x v="6"/>
    <n v="81953.895359312417"/>
    <n v="23"/>
    <n v="49275.447757995782"/>
    <n v="32678.447601316631"/>
  </r>
  <r>
    <s v="ORD101118"/>
    <d v="2023-08-01T00:00:00"/>
    <x v="1"/>
    <n v="8"/>
    <x v="3"/>
    <x v="0"/>
    <x v="6"/>
    <n v="26156.528722990111"/>
    <n v="7"/>
    <n v="15418.039787170581"/>
    <n v="10738.48893581952"/>
  </r>
  <r>
    <s v="ORD101119"/>
    <d v="2023-08-01T00:00:00"/>
    <x v="1"/>
    <n v="8"/>
    <x v="3"/>
    <x v="1"/>
    <x v="6"/>
    <n v="58120.615774767197"/>
    <n v="17"/>
    <n v="34601.691278909479"/>
    <n v="23518.924495857729"/>
  </r>
  <r>
    <s v="ORD101120"/>
    <d v="2023-09-01T00:00:00"/>
    <x v="1"/>
    <n v="9"/>
    <x v="0"/>
    <x v="0"/>
    <x v="0"/>
    <n v="68914.832640156674"/>
    <n v="13"/>
    <n v="42482.050244214508"/>
    <n v="26432.782395942169"/>
  </r>
  <r>
    <s v="ORD101121"/>
    <d v="2023-09-01T00:00:00"/>
    <x v="1"/>
    <n v="9"/>
    <x v="0"/>
    <x v="1"/>
    <x v="0"/>
    <n v="140329.80299423309"/>
    <n v="27"/>
    <n v="85391.709497315154"/>
    <n v="54938.093496917943"/>
  </r>
  <r>
    <s v="ORD101122"/>
    <d v="2023-09-01T00:00:00"/>
    <x v="1"/>
    <n v="9"/>
    <x v="1"/>
    <x v="0"/>
    <x v="0"/>
    <n v="47192.31497140463"/>
    <n v="9"/>
    <n v="29194.274128440131"/>
    <n v="17998.040842964499"/>
  </r>
  <r>
    <s v="ORD101123"/>
    <d v="2023-09-01T00:00:00"/>
    <x v="1"/>
    <n v="9"/>
    <x v="1"/>
    <x v="1"/>
    <x v="0"/>
    <n v="112764.5508554274"/>
    <n v="22"/>
    <n v="70302.943022914624"/>
    <n v="42461.607832512818"/>
  </r>
  <r>
    <s v="ORD101124"/>
    <d v="2023-09-01T00:00:00"/>
    <x v="1"/>
    <n v="9"/>
    <x v="2"/>
    <x v="0"/>
    <x v="0"/>
    <n v="34244.635274215638"/>
    <n v="7"/>
    <n v="20981.089609250481"/>
    <n v="13263.54566496515"/>
  </r>
  <r>
    <s v="ORD101125"/>
    <d v="2023-09-01T00:00:00"/>
    <x v="1"/>
    <n v="9"/>
    <x v="2"/>
    <x v="1"/>
    <x v="0"/>
    <n v="71900.827137751417"/>
    <n v="14"/>
    <n v="44389.375003871042"/>
    <n v="27511.452133880379"/>
  </r>
  <r>
    <s v="ORD101126"/>
    <d v="2023-09-01T00:00:00"/>
    <x v="1"/>
    <n v="9"/>
    <x v="3"/>
    <x v="0"/>
    <x v="0"/>
    <n v="23122.932517257359"/>
    <n v="4"/>
    <n v="14093.787860860321"/>
    <n v="9029.1446563970421"/>
  </r>
  <r>
    <s v="ORD101127"/>
    <d v="2023-09-01T00:00:00"/>
    <x v="1"/>
    <n v="9"/>
    <x v="3"/>
    <x v="1"/>
    <x v="0"/>
    <n v="58668.327945601653"/>
    <n v="11"/>
    <n v="37107.176109359119"/>
    <n v="21561.15183624253"/>
  </r>
  <r>
    <s v="ORD101128"/>
    <d v="2023-09-01T00:00:00"/>
    <x v="1"/>
    <n v="9"/>
    <x v="0"/>
    <x v="0"/>
    <x v="1"/>
    <n v="74795.716850293247"/>
    <n v="12"/>
    <n v="49103.527651095967"/>
    <n v="25692.189199197281"/>
  </r>
  <r>
    <s v="ORD101129"/>
    <d v="2023-09-01T00:00:00"/>
    <x v="1"/>
    <n v="9"/>
    <x v="0"/>
    <x v="1"/>
    <x v="1"/>
    <n v="162719.66687527081"/>
    <n v="27"/>
    <n v="110203.3158901258"/>
    <n v="52516.350985144927"/>
  </r>
  <r>
    <s v="ORD101130"/>
    <d v="2023-09-01T00:00:00"/>
    <x v="1"/>
    <n v="9"/>
    <x v="1"/>
    <x v="0"/>
    <x v="1"/>
    <n v="57281.88022021205"/>
    <n v="9"/>
    <n v="38846.367214327649"/>
    <n v="18435.513005884401"/>
  </r>
  <r>
    <s v="ORD101131"/>
    <d v="2023-09-01T00:00:00"/>
    <x v="1"/>
    <n v="9"/>
    <x v="1"/>
    <x v="1"/>
    <x v="1"/>
    <n v="123859.51646472439"/>
    <n v="20"/>
    <n v="81628.025696376062"/>
    <n v="42231.490768348289"/>
  </r>
  <r>
    <s v="ORD101132"/>
    <d v="2023-09-01T00:00:00"/>
    <x v="1"/>
    <n v="9"/>
    <x v="2"/>
    <x v="0"/>
    <x v="1"/>
    <n v="39764.50518903906"/>
    <n v="7"/>
    <n v="25768.17990224966"/>
    <n v="13996.325286789401"/>
  </r>
  <r>
    <s v="ORD101133"/>
    <d v="2023-09-01T00:00:00"/>
    <x v="1"/>
    <n v="9"/>
    <x v="2"/>
    <x v="1"/>
    <x v="1"/>
    <n v="81178.866428835463"/>
    <n v="13"/>
    <n v="51566.401639647011"/>
    <n v="29612.464789188449"/>
  </r>
  <r>
    <s v="ORD101134"/>
    <d v="2023-09-01T00:00:00"/>
    <x v="1"/>
    <n v="9"/>
    <x v="3"/>
    <x v="0"/>
    <x v="1"/>
    <n v="28742.184199591149"/>
    <n v="5"/>
    <n v="18467.20399059559"/>
    <n v="10274.980208995559"/>
  </r>
  <r>
    <s v="ORD101135"/>
    <d v="2023-09-01T00:00:00"/>
    <x v="1"/>
    <n v="9"/>
    <x v="3"/>
    <x v="1"/>
    <x v="1"/>
    <n v="61355.63244896094"/>
    <n v="10"/>
    <n v="39493.322462116877"/>
    <n v="21862.309986844051"/>
  </r>
  <r>
    <s v="ORD101136"/>
    <d v="2023-09-01T00:00:00"/>
    <x v="1"/>
    <n v="9"/>
    <x v="0"/>
    <x v="0"/>
    <x v="2"/>
    <n v="48074.121614430704"/>
    <n v="11"/>
    <n v="31530.85344745831"/>
    <n v="16543.268166972401"/>
  </r>
  <r>
    <s v="ORD101137"/>
    <d v="2023-09-01T00:00:00"/>
    <x v="1"/>
    <n v="9"/>
    <x v="0"/>
    <x v="1"/>
    <x v="2"/>
    <n v="97657.747669169039"/>
    <n v="23"/>
    <n v="62631.263167237339"/>
    <n v="35026.4845019317"/>
  </r>
  <r>
    <s v="ORD101138"/>
    <d v="2023-09-01T00:00:00"/>
    <x v="1"/>
    <n v="9"/>
    <x v="1"/>
    <x v="0"/>
    <x v="2"/>
    <n v="36278.662166196023"/>
    <n v="8"/>
    <n v="23381.171278425099"/>
    <n v="12897.490887770929"/>
  </r>
  <r>
    <s v="ORD101139"/>
    <d v="2023-09-01T00:00:00"/>
    <x v="1"/>
    <n v="9"/>
    <x v="1"/>
    <x v="1"/>
    <x v="2"/>
    <n v="83191.157632111339"/>
    <n v="19"/>
    <n v="51114.373463782278"/>
    <n v="32076.784168329061"/>
  </r>
  <r>
    <s v="ORD101140"/>
    <d v="2023-09-01T00:00:00"/>
    <x v="1"/>
    <n v="9"/>
    <x v="2"/>
    <x v="0"/>
    <x v="2"/>
    <n v="25465.824000180892"/>
    <n v="6"/>
    <n v="15946.6843902583"/>
    <n v="9519.1396099225894"/>
  </r>
  <r>
    <s v="ORD101141"/>
    <d v="2023-09-01T00:00:00"/>
    <x v="1"/>
    <n v="9"/>
    <x v="2"/>
    <x v="1"/>
    <x v="2"/>
    <n v="58991.499873152679"/>
    <n v="14"/>
    <n v="38357.40343712474"/>
    <n v="20634.096436027939"/>
  </r>
  <r>
    <s v="ORD101142"/>
    <d v="2023-09-01T00:00:00"/>
    <x v="1"/>
    <n v="9"/>
    <x v="3"/>
    <x v="0"/>
    <x v="2"/>
    <n v="19596.078234903209"/>
    <n v="5"/>
    <n v="12606.22841462983"/>
    <n v="6989.8498202733826"/>
  </r>
  <r>
    <s v="ORD101143"/>
    <d v="2023-09-01T00:00:00"/>
    <x v="1"/>
    <n v="9"/>
    <x v="3"/>
    <x v="1"/>
    <x v="2"/>
    <n v="42640.719517957179"/>
    <n v="10"/>
    <n v="27217.750154212648"/>
    <n v="15422.969363744531"/>
  </r>
  <r>
    <s v="ORD101144"/>
    <d v="2023-09-01T00:00:00"/>
    <x v="1"/>
    <n v="9"/>
    <x v="0"/>
    <x v="0"/>
    <x v="3"/>
    <n v="44892.223296294353"/>
    <n v="53"/>
    <n v="21767.351915282408"/>
    <n v="23124.87138101193"/>
  </r>
  <r>
    <s v="ORD101145"/>
    <d v="2023-09-01T00:00:00"/>
    <x v="1"/>
    <n v="9"/>
    <x v="0"/>
    <x v="1"/>
    <x v="3"/>
    <n v="97792.817610941696"/>
    <n v="115"/>
    <n v="48322.687002245002"/>
    <n v="49470.130608696687"/>
  </r>
  <r>
    <s v="ORD101146"/>
    <d v="2023-09-01T00:00:00"/>
    <x v="1"/>
    <n v="9"/>
    <x v="1"/>
    <x v="0"/>
    <x v="3"/>
    <n v="39059.149207740942"/>
    <n v="46"/>
    <n v="18673.796187638021"/>
    <n v="20385.353020102921"/>
  </r>
  <r>
    <s v="ORD101147"/>
    <d v="2023-09-01T00:00:00"/>
    <x v="1"/>
    <n v="9"/>
    <x v="1"/>
    <x v="1"/>
    <x v="3"/>
    <n v="77239.159989055537"/>
    <n v="91"/>
    <n v="37121.090478816972"/>
    <n v="40118.069510238573"/>
  </r>
  <r>
    <s v="ORD101148"/>
    <d v="2023-09-01T00:00:00"/>
    <x v="1"/>
    <n v="9"/>
    <x v="2"/>
    <x v="0"/>
    <x v="3"/>
    <n v="25053.675460549399"/>
    <n v="29"/>
    <n v="12067.454473482299"/>
    <n v="12986.220987067099"/>
  </r>
  <r>
    <s v="ORD101149"/>
    <d v="2023-09-01T00:00:00"/>
    <x v="1"/>
    <n v="9"/>
    <x v="2"/>
    <x v="1"/>
    <x v="3"/>
    <n v="54442.611961386487"/>
    <n v="64"/>
    <n v="27257.66424045512"/>
    <n v="27184.94772093137"/>
  </r>
  <r>
    <s v="ORD101150"/>
    <d v="2023-09-01T00:00:00"/>
    <x v="1"/>
    <n v="9"/>
    <x v="3"/>
    <x v="0"/>
    <x v="3"/>
    <n v="16684.12185016958"/>
    <n v="20"/>
    <n v="7705.7545762391364"/>
    <n v="8978.367273930442"/>
  </r>
  <r>
    <s v="ORD101151"/>
    <d v="2023-09-01T00:00:00"/>
    <x v="1"/>
    <n v="9"/>
    <x v="3"/>
    <x v="1"/>
    <x v="3"/>
    <n v="39111.269766941419"/>
    <n v="46"/>
    <n v="19004.28514584211"/>
    <n v="20106.984621099309"/>
  </r>
  <r>
    <s v="ORD101152"/>
    <d v="2023-09-01T00:00:00"/>
    <x v="1"/>
    <n v="9"/>
    <x v="0"/>
    <x v="0"/>
    <x v="4"/>
    <n v="34525.743005899632"/>
    <n v="48"/>
    <n v="18949.91868716697"/>
    <n v="15575.82431873267"/>
  </r>
  <r>
    <s v="ORD101153"/>
    <d v="2023-09-01T00:00:00"/>
    <x v="1"/>
    <n v="9"/>
    <x v="0"/>
    <x v="1"/>
    <x v="4"/>
    <n v="76064.418277233053"/>
    <n v="106"/>
    <n v="42262.23055279519"/>
    <n v="33802.187724437863"/>
  </r>
  <r>
    <s v="ORD101154"/>
    <d v="2023-09-01T00:00:00"/>
    <x v="1"/>
    <n v="9"/>
    <x v="1"/>
    <x v="0"/>
    <x v="4"/>
    <n v="29455.496437796501"/>
    <n v="41"/>
    <n v="16008.82701505536"/>
    <n v="13446.669422741141"/>
  </r>
  <r>
    <s v="ORD101155"/>
    <d v="2023-09-01T00:00:00"/>
    <x v="1"/>
    <n v="9"/>
    <x v="1"/>
    <x v="1"/>
    <x v="4"/>
    <n v="61753.411414471571"/>
    <n v="86"/>
    <n v="33934.441076773677"/>
    <n v="27818.97033769789"/>
  </r>
  <r>
    <s v="ORD101156"/>
    <d v="2023-09-01T00:00:00"/>
    <x v="1"/>
    <n v="9"/>
    <x v="2"/>
    <x v="0"/>
    <x v="4"/>
    <n v="20183.34074441015"/>
    <n v="28"/>
    <n v="11242.98796655743"/>
    <n v="8940.352777852715"/>
  </r>
  <r>
    <s v="ORD101157"/>
    <d v="2023-09-01T00:00:00"/>
    <x v="1"/>
    <n v="9"/>
    <x v="2"/>
    <x v="1"/>
    <x v="4"/>
    <n v="42439.978394839607"/>
    <n v="59"/>
    <n v="24649.895349767809"/>
    <n v="17790.083045071799"/>
  </r>
  <r>
    <s v="ORD101158"/>
    <d v="2023-09-01T00:00:00"/>
    <x v="1"/>
    <n v="9"/>
    <x v="3"/>
    <x v="0"/>
    <x v="4"/>
    <n v="13466.491877814071"/>
    <n v="19"/>
    <n v="7514.2965193352102"/>
    <n v="5952.1953584788571"/>
  </r>
  <r>
    <s v="ORD101159"/>
    <d v="2023-09-01T00:00:00"/>
    <x v="1"/>
    <n v="9"/>
    <x v="3"/>
    <x v="1"/>
    <x v="4"/>
    <n v="33723.423623600873"/>
    <n v="47"/>
    <n v="18264.74620629293"/>
    <n v="15458.67741730795"/>
  </r>
  <r>
    <s v="ORD101160"/>
    <d v="2023-09-01T00:00:00"/>
    <x v="1"/>
    <n v="9"/>
    <x v="0"/>
    <x v="0"/>
    <x v="5"/>
    <n v="29558.224303745021"/>
    <n v="5"/>
    <n v="20239.60701963125"/>
    <n v="9318.6172841137704"/>
  </r>
  <r>
    <s v="ORD101161"/>
    <d v="2023-09-01T00:00:00"/>
    <x v="1"/>
    <n v="9"/>
    <x v="0"/>
    <x v="1"/>
    <x v="5"/>
    <n v="70013.169937559753"/>
    <n v="13"/>
    <n v="47914.81486585844"/>
    <n v="22098.355071701309"/>
  </r>
  <r>
    <s v="ORD101162"/>
    <d v="2023-09-01T00:00:00"/>
    <x v="1"/>
    <n v="9"/>
    <x v="1"/>
    <x v="0"/>
    <x v="5"/>
    <n v="27817.455796856069"/>
    <n v="5"/>
    <n v="18573.662710527689"/>
    <n v="9243.79308632838"/>
  </r>
  <r>
    <s v="ORD101163"/>
    <d v="2023-09-01T00:00:00"/>
    <x v="1"/>
    <n v="9"/>
    <x v="1"/>
    <x v="1"/>
    <x v="5"/>
    <n v="54492.142623696367"/>
    <n v="10"/>
    <n v="37376.17587353391"/>
    <n v="17115.966750162461"/>
  </r>
  <r>
    <s v="ORD101164"/>
    <d v="2023-09-01T00:00:00"/>
    <x v="1"/>
    <n v="9"/>
    <x v="2"/>
    <x v="0"/>
    <x v="5"/>
    <n v="18074.776901796231"/>
    <n v="3"/>
    <n v="12636.107931479961"/>
    <n v="5438.6689703162647"/>
  </r>
  <r>
    <s v="ORD101165"/>
    <d v="2023-09-01T00:00:00"/>
    <x v="1"/>
    <n v="9"/>
    <x v="2"/>
    <x v="1"/>
    <x v="5"/>
    <n v="39894.665526996127"/>
    <n v="7"/>
    <n v="26895.94771633382"/>
    <n v="12998.717810662311"/>
  </r>
  <r>
    <s v="ORD101166"/>
    <d v="2023-09-01T00:00:00"/>
    <x v="1"/>
    <n v="9"/>
    <x v="3"/>
    <x v="0"/>
    <x v="5"/>
    <n v="13918.14895841935"/>
    <n v="3"/>
    <n v="9784.7670677624465"/>
    <n v="4133.3818906569031"/>
  </r>
  <r>
    <s v="ORD101167"/>
    <d v="2023-09-01T00:00:00"/>
    <x v="1"/>
    <n v="9"/>
    <x v="3"/>
    <x v="1"/>
    <x v="5"/>
    <n v="29955.849207454259"/>
    <n v="6"/>
    <n v="20851.01337876937"/>
    <n v="9104.8358286848888"/>
  </r>
  <r>
    <s v="ORD101168"/>
    <d v="2023-09-01T00:00:00"/>
    <x v="1"/>
    <n v="9"/>
    <x v="0"/>
    <x v="0"/>
    <x v="6"/>
    <n v="65173.451321577028"/>
    <n v="19"/>
    <n v="37944.142520854613"/>
    <n v="27229.308800722429"/>
  </r>
  <r>
    <s v="ORD101169"/>
    <d v="2023-09-01T00:00:00"/>
    <x v="1"/>
    <n v="9"/>
    <x v="0"/>
    <x v="1"/>
    <x v="6"/>
    <n v="144749.98828490311"/>
    <n v="41"/>
    <n v="85184.927378351727"/>
    <n v="59565.060906551364"/>
  </r>
  <r>
    <s v="ORD101170"/>
    <d v="2023-09-01T00:00:00"/>
    <x v="1"/>
    <n v="9"/>
    <x v="1"/>
    <x v="0"/>
    <x v="6"/>
    <n v="54132.948595954927"/>
    <n v="15"/>
    <n v="32857.301954938419"/>
    <n v="21275.646641016509"/>
  </r>
  <r>
    <s v="ORD101171"/>
    <d v="2023-09-01T00:00:00"/>
    <x v="1"/>
    <n v="9"/>
    <x v="1"/>
    <x v="1"/>
    <x v="6"/>
    <n v="116334.32997913699"/>
    <n v="33"/>
    <n v="69543.531433512457"/>
    <n v="46790.798545624551"/>
  </r>
  <r>
    <s v="ORD101172"/>
    <d v="2023-09-01T00:00:00"/>
    <x v="1"/>
    <n v="9"/>
    <x v="2"/>
    <x v="0"/>
    <x v="6"/>
    <n v="37759.076590343291"/>
    <n v="11"/>
    <n v="22281.377446155759"/>
    <n v="15477.69914418754"/>
  </r>
  <r>
    <s v="ORD101173"/>
    <d v="2023-09-01T00:00:00"/>
    <x v="1"/>
    <n v="9"/>
    <x v="2"/>
    <x v="1"/>
    <x v="6"/>
    <n v="82093.623359659716"/>
    <n v="23"/>
    <n v="48228.017318669627"/>
    <n v="33865.606040990082"/>
  </r>
  <r>
    <s v="ORD101174"/>
    <d v="2023-09-01T00:00:00"/>
    <x v="1"/>
    <n v="9"/>
    <x v="3"/>
    <x v="0"/>
    <x v="6"/>
    <n v="30208.396719243181"/>
    <n v="9"/>
    <n v="17847.531263337791"/>
    <n v="12360.86545590539"/>
  </r>
  <r>
    <s v="ORD101175"/>
    <d v="2023-09-01T00:00:00"/>
    <x v="1"/>
    <n v="9"/>
    <x v="3"/>
    <x v="1"/>
    <x v="6"/>
    <n v="60545.747602567579"/>
    <n v="17"/>
    <n v="35392.929246930173"/>
    <n v="25152.81835563741"/>
  </r>
  <r>
    <s v="ORD101176"/>
    <d v="2023-10-01T00:00:00"/>
    <x v="1"/>
    <n v="10"/>
    <x v="0"/>
    <x v="0"/>
    <x v="0"/>
    <n v="64387.000452711203"/>
    <n v="12"/>
    <n v="38407.553738347218"/>
    <n v="25979.446714363981"/>
  </r>
  <r>
    <s v="ORD101177"/>
    <d v="2023-10-01T00:00:00"/>
    <x v="1"/>
    <n v="10"/>
    <x v="0"/>
    <x v="1"/>
    <x v="0"/>
    <n v="131309.36552615499"/>
    <n v="25"/>
    <n v="84404.439702894175"/>
    <n v="46904.925823260812"/>
  </r>
  <r>
    <s v="ORD101178"/>
    <d v="2023-10-01T00:00:00"/>
    <x v="1"/>
    <n v="10"/>
    <x v="1"/>
    <x v="0"/>
    <x v="0"/>
    <n v="51367.840797747951"/>
    <n v="10"/>
    <n v="31937.103696315291"/>
    <n v="19430.73710143266"/>
  </r>
  <r>
    <s v="ORD101179"/>
    <d v="2023-10-01T00:00:00"/>
    <x v="1"/>
    <n v="10"/>
    <x v="1"/>
    <x v="1"/>
    <x v="0"/>
    <n v="113468.9365526193"/>
    <n v="22"/>
    <n v="70854.919852519015"/>
    <n v="42614.016700100306"/>
  </r>
  <r>
    <s v="ORD101180"/>
    <d v="2023-10-01T00:00:00"/>
    <x v="1"/>
    <n v="10"/>
    <x v="2"/>
    <x v="0"/>
    <x v="0"/>
    <n v="32973.395472539407"/>
    <n v="6"/>
    <n v="20422.196120038639"/>
    <n v="12551.199352500769"/>
  </r>
  <r>
    <s v="ORD101181"/>
    <d v="2023-10-01T00:00:00"/>
    <x v="1"/>
    <n v="10"/>
    <x v="2"/>
    <x v="1"/>
    <x v="0"/>
    <n v="81529.371736791742"/>
    <n v="16"/>
    <n v="49879.351378985681"/>
    <n v="31650.020357806061"/>
  </r>
  <r>
    <s v="ORD101182"/>
    <d v="2023-10-01T00:00:00"/>
    <x v="1"/>
    <n v="10"/>
    <x v="3"/>
    <x v="0"/>
    <x v="0"/>
    <n v="29779.983918363669"/>
    <n v="6"/>
    <n v="18401.79902831752"/>
    <n v="11378.184890046159"/>
  </r>
  <r>
    <s v="ORD101183"/>
    <d v="2023-10-01T00:00:00"/>
    <x v="1"/>
    <n v="10"/>
    <x v="3"/>
    <x v="1"/>
    <x v="0"/>
    <n v="61461.254383309017"/>
    <n v="12"/>
    <n v="37008.940696593301"/>
    <n v="24452.313686715719"/>
  </r>
  <r>
    <s v="ORD101184"/>
    <d v="2023-10-01T00:00:00"/>
    <x v="1"/>
    <n v="10"/>
    <x v="0"/>
    <x v="0"/>
    <x v="1"/>
    <n v="64778.681563448226"/>
    <n v="11"/>
    <n v="44506.30896633571"/>
    <n v="20272.37259711252"/>
  </r>
  <r>
    <s v="ORD101185"/>
    <d v="2023-10-01T00:00:00"/>
    <x v="1"/>
    <n v="10"/>
    <x v="0"/>
    <x v="1"/>
    <x v="1"/>
    <n v="146359.98976615901"/>
    <n v="24"/>
    <n v="94451.077263815925"/>
    <n v="51908.912502343053"/>
  </r>
  <r>
    <s v="ORD101186"/>
    <d v="2023-10-01T00:00:00"/>
    <x v="1"/>
    <n v="10"/>
    <x v="1"/>
    <x v="0"/>
    <x v="1"/>
    <n v="55521.34739411356"/>
    <n v="9"/>
    <n v="35963.410916606394"/>
    <n v="19557.93647750717"/>
  </r>
  <r>
    <s v="ORD101187"/>
    <d v="2023-10-01T00:00:00"/>
    <x v="1"/>
    <n v="10"/>
    <x v="1"/>
    <x v="1"/>
    <x v="1"/>
    <n v="134090.1680010416"/>
    <n v="22"/>
    <n v="87798.181844206949"/>
    <n v="46291.986156834682"/>
  </r>
  <r>
    <s v="ORD101188"/>
    <d v="2023-10-01T00:00:00"/>
    <x v="1"/>
    <n v="10"/>
    <x v="2"/>
    <x v="0"/>
    <x v="1"/>
    <n v="40865.204140962967"/>
    <n v="7"/>
    <n v="27596.367965083478"/>
    <n v="13268.836175879491"/>
  </r>
  <r>
    <s v="ORD101189"/>
    <d v="2023-10-01T00:00:00"/>
    <x v="1"/>
    <n v="10"/>
    <x v="2"/>
    <x v="1"/>
    <x v="1"/>
    <n v="88960.250662023376"/>
    <n v="15"/>
    <n v="58729.099240565207"/>
    <n v="30231.151421458169"/>
  </r>
  <r>
    <s v="ORD101190"/>
    <d v="2023-10-01T00:00:00"/>
    <x v="1"/>
    <n v="10"/>
    <x v="3"/>
    <x v="0"/>
    <x v="1"/>
    <n v="31270.639978690098"/>
    <n v="5"/>
    <n v="20179.403867519279"/>
    <n v="11091.23611117082"/>
  </r>
  <r>
    <s v="ORD101191"/>
    <d v="2023-10-01T00:00:00"/>
    <x v="1"/>
    <n v="10"/>
    <x v="3"/>
    <x v="1"/>
    <x v="1"/>
    <n v="67439.149493761041"/>
    <n v="11"/>
    <n v="45514.785831137531"/>
    <n v="21924.363662623509"/>
  </r>
  <r>
    <s v="ORD101192"/>
    <d v="2023-10-01T00:00:00"/>
    <x v="1"/>
    <n v="10"/>
    <x v="0"/>
    <x v="0"/>
    <x v="2"/>
    <n v="51226.011537376777"/>
    <n v="12"/>
    <n v="33216.028144079712"/>
    <n v="18009.983393297069"/>
  </r>
  <r>
    <s v="ORD101193"/>
    <d v="2023-10-01T00:00:00"/>
    <x v="1"/>
    <n v="10"/>
    <x v="0"/>
    <x v="1"/>
    <x v="2"/>
    <n v="112633.2251604974"/>
    <n v="26"/>
    <n v="72783.90217239382"/>
    <n v="39849.322988103551"/>
  </r>
  <r>
    <s v="ORD101194"/>
    <d v="2023-10-01T00:00:00"/>
    <x v="1"/>
    <n v="10"/>
    <x v="1"/>
    <x v="0"/>
    <x v="2"/>
    <n v="38097.931517033241"/>
    <n v="9"/>
    <n v="24696.803462985368"/>
    <n v="13401.128054047869"/>
  </r>
  <r>
    <s v="ORD101195"/>
    <d v="2023-10-01T00:00:00"/>
    <x v="1"/>
    <n v="10"/>
    <x v="1"/>
    <x v="1"/>
    <x v="2"/>
    <n v="88472.857187146947"/>
    <n v="21"/>
    <n v="59062.979763116367"/>
    <n v="29409.877424030568"/>
  </r>
  <r>
    <s v="ORD101196"/>
    <d v="2023-10-01T00:00:00"/>
    <x v="1"/>
    <n v="10"/>
    <x v="2"/>
    <x v="0"/>
    <x v="2"/>
    <n v="25954.067650142159"/>
    <n v="6"/>
    <n v="17263.926696474638"/>
    <n v="8690.1409536675201"/>
  </r>
  <r>
    <s v="ORD101197"/>
    <d v="2023-10-01T00:00:00"/>
    <x v="1"/>
    <n v="10"/>
    <x v="2"/>
    <x v="1"/>
    <x v="2"/>
    <n v="60064.038564640578"/>
    <n v="14"/>
    <n v="37965.820429714637"/>
    <n v="22098.21813492593"/>
  </r>
  <r>
    <s v="ORD101198"/>
    <d v="2023-10-01T00:00:00"/>
    <x v="1"/>
    <n v="10"/>
    <x v="3"/>
    <x v="0"/>
    <x v="2"/>
    <n v="22189.434060190371"/>
    <n v="5"/>
    <n v="14616.33898344835"/>
    <n v="7573.0950767420136"/>
  </r>
  <r>
    <s v="ORD101199"/>
    <d v="2023-10-01T00:00:00"/>
    <x v="1"/>
    <n v="10"/>
    <x v="3"/>
    <x v="1"/>
    <x v="2"/>
    <n v="42944.177764128872"/>
    <n v="10"/>
    <n v="27673.83355872707"/>
    <n v="15270.3442054018"/>
  </r>
  <r>
    <s v="ORD101200"/>
    <d v="2023-10-01T00:00:00"/>
    <x v="1"/>
    <n v="10"/>
    <x v="0"/>
    <x v="0"/>
    <x v="3"/>
    <n v="45698.355925891767"/>
    <n v="54"/>
    <n v="22132.270739682011"/>
    <n v="23566.085186209759"/>
  </r>
  <r>
    <s v="ORD101201"/>
    <d v="2023-10-01T00:00:00"/>
    <x v="1"/>
    <n v="10"/>
    <x v="0"/>
    <x v="1"/>
    <x v="3"/>
    <n v="89877.896548979857"/>
    <n v="106"/>
    <n v="41827.265846242823"/>
    <n v="48050.630702737042"/>
  </r>
  <r>
    <s v="ORD101202"/>
    <d v="2023-10-01T00:00:00"/>
    <x v="1"/>
    <n v="10"/>
    <x v="1"/>
    <x v="0"/>
    <x v="3"/>
    <n v="35041.323237147793"/>
    <n v="41"/>
    <n v="16768.249665075939"/>
    <n v="18273.073572071851"/>
  </r>
  <r>
    <s v="ORD101203"/>
    <d v="2023-10-01T00:00:00"/>
    <x v="1"/>
    <n v="10"/>
    <x v="1"/>
    <x v="1"/>
    <x v="3"/>
    <n v="79861.85780231221"/>
    <n v="94"/>
    <n v="37772.838223917781"/>
    <n v="42089.019578394429"/>
  </r>
  <r>
    <s v="ORD101204"/>
    <d v="2023-10-01T00:00:00"/>
    <x v="1"/>
    <n v="10"/>
    <x v="2"/>
    <x v="0"/>
    <x v="3"/>
    <n v="25309.607730020551"/>
    <n v="30"/>
    <n v="12329.687480689239"/>
    <n v="12979.92024933131"/>
  </r>
  <r>
    <s v="ORD101205"/>
    <d v="2023-10-01T00:00:00"/>
    <x v="1"/>
    <n v="10"/>
    <x v="2"/>
    <x v="1"/>
    <x v="3"/>
    <n v="57424.302934895837"/>
    <n v="68"/>
    <n v="28095.077690450911"/>
    <n v="29329.22524444493"/>
  </r>
  <r>
    <s v="ORD101206"/>
    <d v="2023-10-01T00:00:00"/>
    <x v="1"/>
    <n v="10"/>
    <x v="3"/>
    <x v="0"/>
    <x v="3"/>
    <n v="20712.51451063656"/>
    <n v="24"/>
    <n v="9570.76492559078"/>
    <n v="11141.74958504578"/>
  </r>
  <r>
    <s v="ORD101207"/>
    <d v="2023-10-01T00:00:00"/>
    <x v="1"/>
    <n v="10"/>
    <x v="3"/>
    <x v="1"/>
    <x v="3"/>
    <n v="42985.198494957163"/>
    <n v="51"/>
    <n v="20624.711702833229"/>
    <n v="22360.486792123931"/>
  </r>
  <r>
    <s v="ORD101208"/>
    <d v="2023-10-01T00:00:00"/>
    <x v="1"/>
    <n v="10"/>
    <x v="0"/>
    <x v="0"/>
    <x v="4"/>
    <n v="40298.414062772259"/>
    <n v="56"/>
    <n v="22611.699204993449"/>
    <n v="17686.71485777881"/>
  </r>
  <r>
    <s v="ORD101209"/>
    <d v="2023-10-01T00:00:00"/>
    <x v="1"/>
    <n v="10"/>
    <x v="0"/>
    <x v="1"/>
    <x v="4"/>
    <n v="91432.65311488547"/>
    <n v="127"/>
    <n v="50118.980540416997"/>
    <n v="41313.672574468474"/>
  </r>
  <r>
    <s v="ORD101210"/>
    <d v="2023-10-01T00:00:00"/>
    <x v="1"/>
    <n v="10"/>
    <x v="1"/>
    <x v="0"/>
    <x v="4"/>
    <n v="32341.746507951131"/>
    <n v="45"/>
    <n v="18021.394576161929"/>
    <n v="14320.351931789201"/>
  </r>
  <r>
    <s v="ORD101211"/>
    <d v="2023-10-01T00:00:00"/>
    <x v="1"/>
    <n v="10"/>
    <x v="1"/>
    <x v="1"/>
    <x v="4"/>
    <n v="68887.739200266675"/>
    <n v="96"/>
    <n v="38127.747412132019"/>
    <n v="30759.991788134659"/>
  </r>
  <r>
    <s v="ORD101212"/>
    <d v="2023-10-01T00:00:00"/>
    <x v="1"/>
    <n v="10"/>
    <x v="2"/>
    <x v="0"/>
    <x v="4"/>
    <n v="24077.519921220079"/>
    <n v="33"/>
    <n v="13324.076633978209"/>
    <n v="10753.443287241869"/>
  </r>
  <r>
    <s v="ORD101213"/>
    <d v="2023-10-01T00:00:00"/>
    <x v="1"/>
    <n v="10"/>
    <x v="2"/>
    <x v="1"/>
    <x v="4"/>
    <n v="47068.777893302067"/>
    <n v="65"/>
    <n v="25761.400243342101"/>
    <n v="21307.377649959981"/>
  </r>
  <r>
    <s v="ORD101214"/>
    <d v="2023-10-01T00:00:00"/>
    <x v="1"/>
    <n v="10"/>
    <x v="3"/>
    <x v="0"/>
    <x v="4"/>
    <n v="15516.48678583229"/>
    <n v="22"/>
    <n v="8347.1848384921977"/>
    <n v="7169.3019473400927"/>
  </r>
  <r>
    <s v="ORD101215"/>
    <d v="2023-10-01T00:00:00"/>
    <x v="1"/>
    <n v="10"/>
    <x v="3"/>
    <x v="1"/>
    <x v="4"/>
    <n v="35575.22073124809"/>
    <n v="49"/>
    <n v="19171.374444927649"/>
    <n v="16403.84628632044"/>
  </r>
  <r>
    <s v="ORD101216"/>
    <d v="2023-10-01T00:00:00"/>
    <x v="1"/>
    <n v="10"/>
    <x v="0"/>
    <x v="0"/>
    <x v="5"/>
    <n v="38041.684589391683"/>
    <n v="7"/>
    <n v="26583.915627230861"/>
    <n v="11457.768962160821"/>
  </r>
  <r>
    <s v="ORD101217"/>
    <d v="2023-10-01T00:00:00"/>
    <x v="1"/>
    <n v="10"/>
    <x v="0"/>
    <x v="1"/>
    <x v="5"/>
    <n v="72159.924529753305"/>
    <n v="13"/>
    <n v="49807.78692515134"/>
    <n v="22352.137604601961"/>
  </r>
  <r>
    <s v="ORD101218"/>
    <d v="2023-10-01T00:00:00"/>
    <x v="1"/>
    <n v="10"/>
    <x v="1"/>
    <x v="0"/>
    <x v="5"/>
    <n v="28279.287163954308"/>
    <n v="5"/>
    <n v="19464.058661069601"/>
    <n v="8815.2285028847036"/>
  </r>
  <r>
    <s v="ORD101219"/>
    <d v="2023-10-01T00:00:00"/>
    <x v="1"/>
    <n v="10"/>
    <x v="1"/>
    <x v="1"/>
    <x v="5"/>
    <n v="63085.635997722937"/>
    <n v="12"/>
    <n v="43196.960986849277"/>
    <n v="19888.675010873671"/>
  </r>
  <r>
    <s v="ORD101220"/>
    <d v="2023-10-01T00:00:00"/>
    <x v="1"/>
    <n v="10"/>
    <x v="2"/>
    <x v="0"/>
    <x v="5"/>
    <n v="18606.151005401131"/>
    <n v="3"/>
    <n v="12767.718593104069"/>
    <n v="5838.4324122970538"/>
  </r>
  <r>
    <s v="ORD101221"/>
    <d v="2023-10-01T00:00:00"/>
    <x v="1"/>
    <n v="10"/>
    <x v="2"/>
    <x v="1"/>
    <x v="5"/>
    <n v="44509.812863328058"/>
    <n v="8"/>
    <n v="31290.516148565272"/>
    <n v="13219.29671476279"/>
  </r>
  <r>
    <s v="ORD101222"/>
    <d v="2023-10-01T00:00:00"/>
    <x v="1"/>
    <n v="10"/>
    <x v="3"/>
    <x v="0"/>
    <x v="5"/>
    <n v="15129.649159152719"/>
    <n v="3"/>
    <n v="10376.46212307586"/>
    <n v="4753.1870360768526"/>
  </r>
  <r>
    <s v="ORD101223"/>
    <d v="2023-10-01T00:00:00"/>
    <x v="1"/>
    <n v="10"/>
    <x v="3"/>
    <x v="1"/>
    <x v="5"/>
    <n v="30303.885614534742"/>
    <n v="6"/>
    <n v="20404.93883584311"/>
    <n v="9898.9467786916284"/>
  </r>
  <r>
    <s v="ORD101224"/>
    <d v="2023-10-01T00:00:00"/>
    <x v="1"/>
    <n v="10"/>
    <x v="0"/>
    <x v="0"/>
    <x v="6"/>
    <n v="72114.888684039746"/>
    <n v="21"/>
    <n v="43117.317560019052"/>
    <n v="28997.571124020691"/>
  </r>
  <r>
    <s v="ORD101225"/>
    <d v="2023-10-01T00:00:00"/>
    <x v="1"/>
    <n v="10"/>
    <x v="0"/>
    <x v="1"/>
    <x v="6"/>
    <n v="151116.60884003481"/>
    <n v="43"/>
    <n v="88830.001183545915"/>
    <n v="62286.607656488923"/>
  </r>
  <r>
    <s v="ORD101226"/>
    <d v="2023-10-01T00:00:00"/>
    <x v="1"/>
    <n v="10"/>
    <x v="1"/>
    <x v="0"/>
    <x v="6"/>
    <n v="63336.270486624911"/>
    <n v="18"/>
    <n v="37389.517425583719"/>
    <n v="25946.753061041189"/>
  </r>
  <r>
    <s v="ORD101227"/>
    <d v="2023-10-01T00:00:00"/>
    <x v="1"/>
    <n v="10"/>
    <x v="1"/>
    <x v="1"/>
    <x v="6"/>
    <n v="131075.4017539635"/>
    <n v="37"/>
    <n v="79572.269421325822"/>
    <n v="51503.132332637702"/>
  </r>
  <r>
    <s v="ORD101228"/>
    <d v="2023-10-01T00:00:00"/>
    <x v="1"/>
    <n v="10"/>
    <x v="2"/>
    <x v="0"/>
    <x v="6"/>
    <n v="40452.748893136282"/>
    <n v="12"/>
    <n v="23858.288863054939"/>
    <n v="16594.460030081329"/>
  </r>
  <r>
    <s v="ORD101229"/>
    <d v="2023-10-01T00:00:00"/>
    <x v="1"/>
    <n v="10"/>
    <x v="2"/>
    <x v="1"/>
    <x v="6"/>
    <n v="92769.72936603897"/>
    <n v="27"/>
    <n v="55019.048281363241"/>
    <n v="37750.681084675729"/>
  </r>
  <r>
    <s v="ORD101230"/>
    <d v="2023-10-01T00:00:00"/>
    <x v="1"/>
    <n v="10"/>
    <x v="3"/>
    <x v="0"/>
    <x v="6"/>
    <n v="30966.188656713952"/>
    <n v="9"/>
    <n v="17882.34943933658"/>
    <n v="13083.83921737737"/>
  </r>
  <r>
    <s v="ORD101231"/>
    <d v="2023-10-01T00:00:00"/>
    <x v="1"/>
    <n v="10"/>
    <x v="3"/>
    <x v="1"/>
    <x v="6"/>
    <n v="60780.04332428929"/>
    <n v="17"/>
    <n v="35718.432431346373"/>
    <n v="25061.610892942921"/>
  </r>
  <r>
    <s v="ORD101232"/>
    <d v="2023-11-01T00:00:00"/>
    <x v="1"/>
    <n v="11"/>
    <x v="0"/>
    <x v="0"/>
    <x v="0"/>
    <n v="85113.499720539025"/>
    <n v="16"/>
    <n v="53349.338293578519"/>
    <n v="31764.161426960509"/>
  </r>
  <r>
    <s v="ORD101233"/>
    <d v="2023-11-01T00:00:00"/>
    <x v="1"/>
    <n v="11"/>
    <x v="0"/>
    <x v="1"/>
    <x v="0"/>
    <n v="178115.89207144271"/>
    <n v="34"/>
    <n v="107340.1226182934"/>
    <n v="70775.769453149333"/>
  </r>
  <r>
    <s v="ORD101234"/>
    <d v="2023-11-01T00:00:00"/>
    <x v="1"/>
    <n v="11"/>
    <x v="1"/>
    <x v="0"/>
    <x v="0"/>
    <n v="71531.060316198505"/>
    <n v="14"/>
    <n v="44509.58934920685"/>
    <n v="27021.470966991659"/>
  </r>
  <r>
    <s v="ORD101235"/>
    <d v="2023-11-01T00:00:00"/>
    <x v="1"/>
    <n v="11"/>
    <x v="1"/>
    <x v="1"/>
    <x v="0"/>
    <n v="134328.50677609211"/>
    <n v="26"/>
    <n v="83434.77071659475"/>
    <n v="50893.7360594973"/>
  </r>
  <r>
    <s v="ORD101236"/>
    <d v="2023-11-01T00:00:00"/>
    <x v="1"/>
    <n v="11"/>
    <x v="2"/>
    <x v="0"/>
    <x v="0"/>
    <n v="44928.479770072961"/>
    <n v="9"/>
    <n v="27876.359063407632"/>
    <n v="17052.12070666533"/>
  </r>
  <r>
    <s v="ORD101237"/>
    <d v="2023-11-01T00:00:00"/>
    <x v="1"/>
    <n v="11"/>
    <x v="2"/>
    <x v="1"/>
    <x v="0"/>
    <n v="91666.459228765118"/>
    <n v="18"/>
    <n v="57894.215874131667"/>
    <n v="33772.243354633451"/>
  </r>
  <r>
    <s v="ORD101238"/>
    <d v="2023-11-01T00:00:00"/>
    <x v="1"/>
    <n v="11"/>
    <x v="3"/>
    <x v="0"/>
    <x v="0"/>
    <n v="33503.11163297989"/>
    <n v="6"/>
    <n v="20896.97400926183"/>
    <n v="12606.137623718059"/>
  </r>
  <r>
    <s v="ORD101239"/>
    <d v="2023-11-01T00:00:00"/>
    <x v="1"/>
    <n v="11"/>
    <x v="3"/>
    <x v="1"/>
    <x v="0"/>
    <n v="71512.807909174619"/>
    <n v="14"/>
    <n v="45517.56486434141"/>
    <n v="25995.243044833209"/>
  </r>
  <r>
    <s v="ORD101240"/>
    <d v="2023-11-01T00:00:00"/>
    <x v="1"/>
    <n v="11"/>
    <x v="0"/>
    <x v="0"/>
    <x v="1"/>
    <n v="91212.354783014962"/>
    <n v="15"/>
    <n v="59123.497800657911"/>
    <n v="32088.856982357051"/>
  </r>
  <r>
    <s v="ORD101241"/>
    <d v="2023-11-01T00:00:00"/>
    <x v="1"/>
    <n v="11"/>
    <x v="0"/>
    <x v="1"/>
    <x v="1"/>
    <n v="191113.7693394885"/>
    <n v="31"/>
    <n v="126443.6951939392"/>
    <n v="64670.074145549268"/>
  </r>
  <r>
    <s v="ORD101242"/>
    <d v="2023-11-01T00:00:00"/>
    <x v="1"/>
    <n v="11"/>
    <x v="1"/>
    <x v="0"/>
    <x v="1"/>
    <n v="71762.199412158909"/>
    <n v="12"/>
    <n v="47435.062497764069"/>
    <n v="24327.13691439484"/>
  </r>
  <r>
    <s v="ORD101243"/>
    <d v="2023-11-01T00:00:00"/>
    <x v="1"/>
    <n v="11"/>
    <x v="1"/>
    <x v="1"/>
    <x v="1"/>
    <n v="160083.48355492839"/>
    <n v="26"/>
    <n v="103621.5997343479"/>
    <n v="56461.883820580508"/>
  </r>
  <r>
    <s v="ORD101244"/>
    <d v="2023-11-01T00:00:00"/>
    <x v="1"/>
    <n v="11"/>
    <x v="2"/>
    <x v="0"/>
    <x v="1"/>
    <n v="44774.104566414288"/>
    <n v="7"/>
    <n v="30059.577972582749"/>
    <n v="14714.526593831541"/>
  </r>
  <r>
    <s v="ORD101245"/>
    <d v="2023-11-01T00:00:00"/>
    <x v="1"/>
    <n v="11"/>
    <x v="2"/>
    <x v="1"/>
    <x v="1"/>
    <n v="104808.0434295484"/>
    <n v="17"/>
    <n v="72067.804857797993"/>
    <n v="32740.23857175036"/>
  </r>
  <r>
    <s v="ORD101246"/>
    <d v="2023-11-01T00:00:00"/>
    <x v="1"/>
    <n v="11"/>
    <x v="3"/>
    <x v="0"/>
    <x v="1"/>
    <n v="37222.022861937701"/>
    <n v="6"/>
    <n v="24559.015043019321"/>
    <n v="12663.007818918381"/>
  </r>
  <r>
    <s v="ORD101247"/>
    <d v="2023-11-01T00:00:00"/>
    <x v="1"/>
    <n v="11"/>
    <x v="3"/>
    <x v="1"/>
    <x v="1"/>
    <n v="70404.881112804185"/>
    <n v="12"/>
    <n v="46889.626216641722"/>
    <n v="23515.25489616246"/>
  </r>
  <r>
    <s v="ORD101248"/>
    <d v="2023-11-01T00:00:00"/>
    <x v="1"/>
    <n v="11"/>
    <x v="0"/>
    <x v="0"/>
    <x v="2"/>
    <n v="54831.333747589073"/>
    <n v="13"/>
    <n v="35145.440282357697"/>
    <n v="19685.89346523138"/>
  </r>
  <r>
    <s v="ORD101249"/>
    <d v="2023-11-01T00:00:00"/>
    <x v="1"/>
    <n v="11"/>
    <x v="0"/>
    <x v="1"/>
    <x v="2"/>
    <n v="121561.530088342"/>
    <n v="28"/>
    <n v="76800.083257955164"/>
    <n v="44761.446830386791"/>
  </r>
  <r>
    <s v="ORD101250"/>
    <d v="2023-11-01T00:00:00"/>
    <x v="1"/>
    <n v="11"/>
    <x v="1"/>
    <x v="0"/>
    <x v="2"/>
    <n v="47365.441657840973"/>
    <n v="11"/>
    <n v="29320.385019545822"/>
    <n v="18045.056638295151"/>
  </r>
  <r>
    <s v="ORD101251"/>
    <d v="2023-11-01T00:00:00"/>
    <x v="1"/>
    <n v="11"/>
    <x v="1"/>
    <x v="1"/>
    <x v="2"/>
    <n v="97378.514494497693"/>
    <n v="23"/>
    <n v="61530.512239446973"/>
    <n v="35848.00225505072"/>
  </r>
  <r>
    <s v="ORD101252"/>
    <d v="2023-11-01T00:00:00"/>
    <x v="1"/>
    <n v="11"/>
    <x v="2"/>
    <x v="0"/>
    <x v="2"/>
    <n v="31156.78469660426"/>
    <n v="7"/>
    <n v="19440.731929682701"/>
    <n v="11716.052766921561"/>
  </r>
  <r>
    <s v="ORD101253"/>
    <d v="2023-11-01T00:00:00"/>
    <x v="1"/>
    <n v="11"/>
    <x v="2"/>
    <x v="1"/>
    <x v="2"/>
    <n v="70578.380019033852"/>
    <n v="16"/>
    <n v="46555.705454112343"/>
    <n v="24022.674564921519"/>
  </r>
  <r>
    <s v="ORD101254"/>
    <d v="2023-11-01T00:00:00"/>
    <x v="1"/>
    <n v="11"/>
    <x v="3"/>
    <x v="0"/>
    <x v="2"/>
    <n v="23507.895675413802"/>
    <n v="5"/>
    <n v="15013.88026575758"/>
    <n v="8494.0154096562146"/>
  </r>
  <r>
    <s v="ORD101255"/>
    <d v="2023-11-01T00:00:00"/>
    <x v="1"/>
    <n v="11"/>
    <x v="3"/>
    <x v="1"/>
    <x v="2"/>
    <n v="50129.466367792287"/>
    <n v="12"/>
    <n v="31883.09301958809"/>
    <n v="18246.373348204201"/>
  </r>
  <r>
    <s v="ORD101256"/>
    <d v="2023-11-01T00:00:00"/>
    <x v="1"/>
    <n v="11"/>
    <x v="0"/>
    <x v="0"/>
    <x v="3"/>
    <n v="57101.798391206918"/>
    <n v="67"/>
    <n v="27847.535748076501"/>
    <n v="29254.26264313042"/>
  </r>
  <r>
    <s v="ORD101257"/>
    <d v="2023-11-01T00:00:00"/>
    <x v="1"/>
    <n v="11"/>
    <x v="0"/>
    <x v="1"/>
    <x v="3"/>
    <n v="120032.397148098"/>
    <n v="141"/>
    <n v="56452.205096769743"/>
    <n v="63580.192051328231"/>
  </r>
  <r>
    <s v="ORD101258"/>
    <d v="2023-11-01T00:00:00"/>
    <x v="1"/>
    <n v="11"/>
    <x v="1"/>
    <x v="0"/>
    <x v="3"/>
    <n v="45026.156369880438"/>
    <n v="53"/>
    <n v="21314.225015168198"/>
    <n v="23711.93135471224"/>
  </r>
  <r>
    <s v="ORD101259"/>
    <d v="2023-11-01T00:00:00"/>
    <x v="1"/>
    <n v="11"/>
    <x v="1"/>
    <x v="1"/>
    <x v="3"/>
    <n v="93540.07222934415"/>
    <n v="110"/>
    <n v="44954.249740332532"/>
    <n v="48585.822489011618"/>
  </r>
  <r>
    <s v="ORD101260"/>
    <d v="2023-11-01T00:00:00"/>
    <x v="1"/>
    <n v="11"/>
    <x v="2"/>
    <x v="0"/>
    <x v="3"/>
    <n v="30816.195403535148"/>
    <n v="36"/>
    <n v="15065.685521424781"/>
    <n v="15750.50988211038"/>
  </r>
  <r>
    <s v="ORD101261"/>
    <d v="2023-11-01T00:00:00"/>
    <x v="1"/>
    <n v="11"/>
    <x v="2"/>
    <x v="1"/>
    <x v="3"/>
    <n v="66176.908598011156"/>
    <n v="78"/>
    <n v="32051.76382792099"/>
    <n v="34125.14477009017"/>
  </r>
  <r>
    <s v="ORD101262"/>
    <d v="2023-11-01T00:00:00"/>
    <x v="1"/>
    <n v="11"/>
    <x v="3"/>
    <x v="0"/>
    <x v="3"/>
    <n v="21411.476109587849"/>
    <n v="25"/>
    <n v="10323.447480481371"/>
    <n v="11088.02862910648"/>
  </r>
  <r>
    <s v="ORD101263"/>
    <d v="2023-11-01T00:00:00"/>
    <x v="1"/>
    <n v="11"/>
    <x v="3"/>
    <x v="1"/>
    <x v="3"/>
    <n v="45291.914325705038"/>
    <n v="53"/>
    <n v="21770.688075645281"/>
    <n v="23521.226250059761"/>
  </r>
  <r>
    <s v="ORD101264"/>
    <d v="2023-11-01T00:00:00"/>
    <x v="1"/>
    <n v="11"/>
    <x v="0"/>
    <x v="0"/>
    <x v="4"/>
    <n v="43963.292521548108"/>
    <n v="61"/>
    <n v="24354.00817819341"/>
    <n v="19609.284343354699"/>
  </r>
  <r>
    <s v="ORD101265"/>
    <d v="2023-11-01T00:00:00"/>
    <x v="1"/>
    <n v="11"/>
    <x v="0"/>
    <x v="1"/>
    <x v="4"/>
    <n v="91811.595994032192"/>
    <n v="128"/>
    <n v="50679.667139779529"/>
    <n v="41131.928854252663"/>
  </r>
  <r>
    <s v="ORD101266"/>
    <d v="2023-11-01T00:00:00"/>
    <x v="1"/>
    <n v="11"/>
    <x v="1"/>
    <x v="0"/>
    <x v="4"/>
    <n v="36660.755471632459"/>
    <n v="51"/>
    <n v="19789.59584848709"/>
    <n v="16871.15962314537"/>
  </r>
  <r>
    <s v="ORD101267"/>
    <d v="2023-11-01T00:00:00"/>
    <x v="1"/>
    <n v="11"/>
    <x v="1"/>
    <x v="1"/>
    <x v="4"/>
    <n v="79604.826077691716"/>
    <n v="111"/>
    <n v="43818.968814127082"/>
    <n v="35785.857263564627"/>
  </r>
  <r>
    <s v="ORD101268"/>
    <d v="2023-11-01T00:00:00"/>
    <x v="1"/>
    <n v="11"/>
    <x v="2"/>
    <x v="0"/>
    <x v="4"/>
    <n v="26453.67440379375"/>
    <n v="37"/>
    <n v="14268.331121165411"/>
    <n v="12185.343282628341"/>
  </r>
  <r>
    <s v="ORD101269"/>
    <d v="2023-11-01T00:00:00"/>
    <x v="1"/>
    <n v="11"/>
    <x v="2"/>
    <x v="1"/>
    <x v="4"/>
    <n v="51229.419421507249"/>
    <n v="71"/>
    <n v="28217.303416649469"/>
    <n v="23012.11600485778"/>
  </r>
  <r>
    <s v="ORD101270"/>
    <d v="2023-11-01T00:00:00"/>
    <x v="1"/>
    <n v="11"/>
    <x v="3"/>
    <x v="0"/>
    <x v="4"/>
    <n v="20577.709609141231"/>
    <n v="29"/>
    <n v="11219.823010762329"/>
    <n v="9357.8865983789019"/>
  </r>
  <r>
    <s v="ORD101271"/>
    <d v="2023-11-01T00:00:00"/>
    <x v="1"/>
    <n v="11"/>
    <x v="3"/>
    <x v="1"/>
    <x v="4"/>
    <n v="37547.268200252664"/>
    <n v="52"/>
    <n v="21594.93125438783"/>
    <n v="15952.33694586483"/>
  </r>
  <r>
    <s v="ORD101272"/>
    <d v="2023-11-01T00:00:00"/>
    <x v="1"/>
    <n v="11"/>
    <x v="0"/>
    <x v="0"/>
    <x v="5"/>
    <n v="39299.988196894483"/>
    <n v="7"/>
    <n v="27097.519173629978"/>
    <n v="12202.469023264501"/>
  </r>
  <r>
    <s v="ORD101273"/>
    <d v="2023-11-01T00:00:00"/>
    <x v="1"/>
    <n v="11"/>
    <x v="0"/>
    <x v="1"/>
    <x v="5"/>
    <n v="81141.241420188482"/>
    <n v="15"/>
    <n v="54572.300148540016"/>
    <n v="26568.941271648469"/>
  </r>
  <r>
    <s v="ORD101274"/>
    <d v="2023-11-01T00:00:00"/>
    <x v="1"/>
    <n v="11"/>
    <x v="1"/>
    <x v="0"/>
    <x v="5"/>
    <n v="35030.550590059633"/>
    <n v="6"/>
    <n v="24112.70085644503"/>
    <n v="10917.84973361461"/>
  </r>
  <r>
    <s v="ORD101275"/>
    <d v="2023-11-01T00:00:00"/>
    <x v="1"/>
    <n v="11"/>
    <x v="1"/>
    <x v="1"/>
    <x v="5"/>
    <n v="69742.708454258216"/>
    <n v="13"/>
    <n v="48572.339684344151"/>
    <n v="21170.368769914061"/>
  </r>
  <r>
    <s v="ORD101276"/>
    <d v="2023-11-01T00:00:00"/>
    <x v="1"/>
    <n v="11"/>
    <x v="2"/>
    <x v="0"/>
    <x v="5"/>
    <n v="22839.08057970661"/>
    <n v="4"/>
    <n v="16233.63432754405"/>
    <n v="6605.446252162561"/>
  </r>
  <r>
    <s v="ORD101277"/>
    <d v="2023-11-01T00:00:00"/>
    <x v="1"/>
    <n v="11"/>
    <x v="2"/>
    <x v="1"/>
    <x v="5"/>
    <n v="50147.14569441176"/>
    <n v="9"/>
    <n v="34234.403335328883"/>
    <n v="15912.74235908288"/>
  </r>
  <r>
    <s v="ORD101278"/>
    <d v="2023-11-01T00:00:00"/>
    <x v="1"/>
    <n v="11"/>
    <x v="3"/>
    <x v="0"/>
    <x v="5"/>
    <n v="15963.72551481168"/>
    <n v="3"/>
    <n v="10701.22344808259"/>
    <n v="5262.5020667290919"/>
  </r>
  <r>
    <s v="ORD101279"/>
    <d v="2023-11-01T00:00:00"/>
    <x v="1"/>
    <n v="11"/>
    <x v="3"/>
    <x v="1"/>
    <x v="5"/>
    <n v="35224.267277641848"/>
    <n v="7"/>
    <n v="24662.098687917281"/>
    <n v="10562.16858972457"/>
  </r>
  <r>
    <s v="ORD101280"/>
    <d v="2023-11-01T00:00:00"/>
    <x v="1"/>
    <n v="11"/>
    <x v="0"/>
    <x v="0"/>
    <x v="6"/>
    <n v="82962.145638265196"/>
    <n v="24"/>
    <n v="47731.27841034576"/>
    <n v="35230.867227919443"/>
  </r>
  <r>
    <s v="ORD101281"/>
    <d v="2023-11-01T00:00:00"/>
    <x v="1"/>
    <n v="11"/>
    <x v="0"/>
    <x v="1"/>
    <x v="6"/>
    <n v="173229.32772364709"/>
    <n v="49"/>
    <n v="101402.91017117081"/>
    <n v="71826.417552476356"/>
  </r>
  <r>
    <s v="ORD101282"/>
    <d v="2023-11-01T00:00:00"/>
    <x v="1"/>
    <n v="11"/>
    <x v="1"/>
    <x v="0"/>
    <x v="6"/>
    <n v="71555.173658119966"/>
    <n v="20"/>
    <n v="42021.782543785746"/>
    <n v="29533.391114334208"/>
  </r>
  <r>
    <s v="ORD101283"/>
    <d v="2023-11-01T00:00:00"/>
    <x v="1"/>
    <n v="11"/>
    <x v="1"/>
    <x v="1"/>
    <x v="6"/>
    <n v="151413.6578049729"/>
    <n v="43"/>
    <n v="89222.086603597141"/>
    <n v="62191.571201375729"/>
  </r>
  <r>
    <s v="ORD101284"/>
    <d v="2023-11-01T00:00:00"/>
    <x v="1"/>
    <n v="11"/>
    <x v="2"/>
    <x v="0"/>
    <x v="6"/>
    <n v="44776.203646496338"/>
    <n v="13"/>
    <n v="26745.67389639877"/>
    <n v="18030.529750097568"/>
  </r>
  <r>
    <s v="ORD101285"/>
    <d v="2023-11-01T00:00:00"/>
    <x v="1"/>
    <n v="11"/>
    <x v="2"/>
    <x v="1"/>
    <x v="6"/>
    <n v="94423.402393465367"/>
    <n v="27"/>
    <n v="55024.274996427317"/>
    <n v="39399.12739703805"/>
  </r>
  <r>
    <s v="ORD101286"/>
    <d v="2023-11-01T00:00:00"/>
    <x v="1"/>
    <n v="11"/>
    <x v="3"/>
    <x v="0"/>
    <x v="6"/>
    <n v="34721.631970439987"/>
    <n v="10"/>
    <n v="20384.82691668778"/>
    <n v="14336.80505375221"/>
  </r>
  <r>
    <s v="ORD101287"/>
    <d v="2023-11-01T00:00:00"/>
    <x v="1"/>
    <n v="11"/>
    <x v="3"/>
    <x v="1"/>
    <x v="6"/>
    <n v="78802.194374025537"/>
    <n v="23"/>
    <n v="46481.352117627357"/>
    <n v="32320.842256398169"/>
  </r>
  <r>
    <s v="ORD101288"/>
    <d v="2023-12-01T00:00:00"/>
    <x v="1"/>
    <n v="12"/>
    <x v="0"/>
    <x v="0"/>
    <x v="0"/>
    <n v="84903.1308001172"/>
    <n v="16"/>
    <n v="52781.687994166539"/>
    <n v="32121.442805950661"/>
  </r>
  <r>
    <s v="ORD101289"/>
    <d v="2023-12-01T00:00:00"/>
    <x v="1"/>
    <n v="12"/>
    <x v="0"/>
    <x v="1"/>
    <x v="0"/>
    <n v="176559.14733810021"/>
    <n v="34"/>
    <n v="109659.4300229128"/>
    <n v="66899.717315187401"/>
  </r>
  <r>
    <s v="ORD101290"/>
    <d v="2023-12-01T00:00:00"/>
    <x v="1"/>
    <n v="12"/>
    <x v="1"/>
    <x v="0"/>
    <x v="0"/>
    <n v="69288.485532220351"/>
    <n v="13"/>
    <n v="43296.006637085593"/>
    <n v="25992.478895134769"/>
  </r>
  <r>
    <s v="ORD101291"/>
    <d v="2023-12-01T00:00:00"/>
    <x v="1"/>
    <n v="12"/>
    <x v="1"/>
    <x v="1"/>
    <x v="0"/>
    <n v="146366.65917793749"/>
    <n v="28"/>
    <n v="92125.699954501324"/>
    <n v="54240.959223436133"/>
  </r>
  <r>
    <s v="ORD101292"/>
    <d v="2023-12-01T00:00:00"/>
    <x v="1"/>
    <n v="12"/>
    <x v="2"/>
    <x v="0"/>
    <x v="0"/>
    <n v="44637.320254143342"/>
    <n v="9"/>
    <n v="27870.730221524122"/>
    <n v="16766.59003261922"/>
  </r>
  <r>
    <s v="ORD101293"/>
    <d v="2023-12-01T00:00:00"/>
    <x v="1"/>
    <n v="12"/>
    <x v="2"/>
    <x v="1"/>
    <x v="0"/>
    <n v="100083.1814104454"/>
    <n v="19"/>
    <n v="62558.194984213471"/>
    <n v="37524.986426231968"/>
  </r>
  <r>
    <s v="ORD101294"/>
    <d v="2023-12-01T00:00:00"/>
    <x v="1"/>
    <n v="12"/>
    <x v="3"/>
    <x v="0"/>
    <x v="0"/>
    <n v="35536.134082598779"/>
    <n v="7"/>
    <n v="21404.919915451839"/>
    <n v="14131.21416714694"/>
  </r>
  <r>
    <s v="ORD101295"/>
    <d v="2023-12-01T00:00:00"/>
    <x v="1"/>
    <n v="12"/>
    <x v="3"/>
    <x v="1"/>
    <x v="0"/>
    <n v="79316.071408085394"/>
    <n v="15"/>
    <n v="49220.424192727311"/>
    <n v="30095.64721535808"/>
  </r>
  <r>
    <s v="ORD101296"/>
    <d v="2023-12-01T00:00:00"/>
    <x v="1"/>
    <n v="12"/>
    <x v="0"/>
    <x v="0"/>
    <x v="1"/>
    <n v="92896.671222295103"/>
    <n v="15"/>
    <n v="61840.993508534288"/>
    <n v="31055.677713760811"/>
  </r>
  <r>
    <s v="ORD101297"/>
    <d v="2023-12-01T00:00:00"/>
    <x v="1"/>
    <n v="12"/>
    <x v="0"/>
    <x v="1"/>
    <x v="1"/>
    <n v="198891.4752138957"/>
    <n v="33"/>
    <n v="132990.73829281481"/>
    <n v="65900.736921080854"/>
  </r>
  <r>
    <s v="ORD101298"/>
    <d v="2023-12-01T00:00:00"/>
    <x v="1"/>
    <n v="12"/>
    <x v="1"/>
    <x v="0"/>
    <x v="1"/>
    <n v="72305.284960283941"/>
    <n v="12"/>
    <n v="47126.767907908827"/>
    <n v="25178.517052375111"/>
  </r>
  <r>
    <s v="ORD101299"/>
    <d v="2023-12-01T00:00:00"/>
    <x v="1"/>
    <n v="12"/>
    <x v="1"/>
    <x v="1"/>
    <x v="1"/>
    <n v="173861.72362247881"/>
    <n v="29"/>
    <n v="113387.5069441435"/>
    <n v="60474.216678335353"/>
  </r>
  <r>
    <s v="ORD101300"/>
    <d v="2023-12-01T00:00:00"/>
    <x v="1"/>
    <n v="12"/>
    <x v="2"/>
    <x v="0"/>
    <x v="1"/>
    <n v="45065.231204458243"/>
    <n v="7"/>
    <n v="29435.693476506902"/>
    <n v="15629.53772795134"/>
  </r>
  <r>
    <s v="ORD101301"/>
    <d v="2023-12-01T00:00:00"/>
    <x v="1"/>
    <n v="12"/>
    <x v="2"/>
    <x v="1"/>
    <x v="1"/>
    <n v="109206.9124679183"/>
    <n v="18"/>
    <n v="72772.493885872755"/>
    <n v="36434.418582045582"/>
  </r>
  <r>
    <s v="ORD101302"/>
    <d v="2023-12-01T00:00:00"/>
    <x v="1"/>
    <n v="12"/>
    <x v="3"/>
    <x v="0"/>
    <x v="1"/>
    <n v="39491.051957948133"/>
    <n v="6"/>
    <n v="26549.143411690959"/>
    <n v="12941.908546257169"/>
  </r>
  <r>
    <s v="ORD101303"/>
    <d v="2023-12-01T00:00:00"/>
    <x v="1"/>
    <n v="12"/>
    <x v="3"/>
    <x v="1"/>
    <x v="1"/>
    <n v="89260.832491038425"/>
    <n v="15"/>
    <n v="58480.071130886572"/>
    <n v="30780.76136015185"/>
  </r>
  <r>
    <s v="ORD101304"/>
    <d v="2023-12-01T00:00:00"/>
    <x v="1"/>
    <n v="12"/>
    <x v="0"/>
    <x v="0"/>
    <x v="2"/>
    <n v="64326.40819476606"/>
    <n v="15"/>
    <n v="41841.737839474648"/>
    <n v="22484.670355291411"/>
  </r>
  <r>
    <s v="ORD101305"/>
    <d v="2023-12-01T00:00:00"/>
    <x v="1"/>
    <n v="12"/>
    <x v="0"/>
    <x v="1"/>
    <x v="2"/>
    <n v="138105.40882168501"/>
    <n v="32"/>
    <n v="88583.914850016794"/>
    <n v="49521.493971668242"/>
  </r>
  <r>
    <s v="ORD101306"/>
    <d v="2023-12-01T00:00:00"/>
    <x v="1"/>
    <n v="12"/>
    <x v="1"/>
    <x v="0"/>
    <x v="2"/>
    <n v="60506.32719537073"/>
    <n v="14"/>
    <n v="38637.418130683996"/>
    <n v="21868.90906468673"/>
  </r>
  <r>
    <s v="ORD101307"/>
    <d v="2023-12-01T00:00:00"/>
    <x v="1"/>
    <n v="12"/>
    <x v="1"/>
    <x v="1"/>
    <x v="2"/>
    <n v="114827.8838750435"/>
    <n v="27"/>
    <n v="73210.222980314604"/>
    <n v="41617.660894728921"/>
  </r>
  <r>
    <s v="ORD101308"/>
    <d v="2023-12-01T00:00:00"/>
    <x v="1"/>
    <n v="12"/>
    <x v="2"/>
    <x v="0"/>
    <x v="2"/>
    <n v="40976.353635624233"/>
    <n v="10"/>
    <n v="26577.302425025198"/>
    <n v="14399.051210599029"/>
  </r>
  <r>
    <s v="ORD101309"/>
    <d v="2023-12-01T00:00:00"/>
    <x v="1"/>
    <n v="12"/>
    <x v="2"/>
    <x v="1"/>
    <x v="2"/>
    <n v="82029.40377477376"/>
    <n v="19"/>
    <n v="52806.482528162443"/>
    <n v="29222.92124661132"/>
  </r>
  <r>
    <s v="ORD101310"/>
    <d v="2023-12-01T00:00:00"/>
    <x v="1"/>
    <n v="12"/>
    <x v="3"/>
    <x v="0"/>
    <x v="2"/>
    <n v="28868.114169980268"/>
    <n v="7"/>
    <n v="19232.44310973008"/>
    <n v="9635.6710602501917"/>
  </r>
  <r>
    <s v="ORD101311"/>
    <d v="2023-12-01T00:00:00"/>
    <x v="1"/>
    <n v="12"/>
    <x v="3"/>
    <x v="1"/>
    <x v="2"/>
    <n v="60261.840336643567"/>
    <n v="14"/>
    <n v="37975.949491221079"/>
    <n v="22285.890845422491"/>
  </r>
  <r>
    <s v="ORD101312"/>
    <d v="2023-12-01T00:00:00"/>
    <x v="1"/>
    <n v="12"/>
    <x v="0"/>
    <x v="0"/>
    <x v="3"/>
    <n v="54227.161086821208"/>
    <n v="64"/>
    <n v="26271.77971536828"/>
    <n v="27955.381371452931"/>
  </r>
  <r>
    <s v="ORD101313"/>
    <d v="2023-12-01T00:00:00"/>
    <x v="1"/>
    <n v="12"/>
    <x v="0"/>
    <x v="1"/>
    <x v="3"/>
    <n v="124901.7507269615"/>
    <n v="147"/>
    <n v="59381.752483174409"/>
    <n v="65519.998243787093"/>
  </r>
  <r>
    <s v="ORD101314"/>
    <d v="2023-12-01T00:00:00"/>
    <x v="1"/>
    <n v="12"/>
    <x v="1"/>
    <x v="0"/>
    <x v="3"/>
    <n v="45967.049582216081"/>
    <n v="54"/>
    <n v="21718.94185806653"/>
    <n v="24248.107724149551"/>
  </r>
  <r>
    <s v="ORD101315"/>
    <d v="2023-12-01T00:00:00"/>
    <x v="1"/>
    <n v="12"/>
    <x v="1"/>
    <x v="1"/>
    <x v="3"/>
    <n v="101152.3519397768"/>
    <n v="119"/>
    <n v="48543.631527992613"/>
    <n v="52608.720411784227"/>
  </r>
  <r>
    <s v="ORD101316"/>
    <d v="2023-12-01T00:00:00"/>
    <x v="1"/>
    <n v="12"/>
    <x v="2"/>
    <x v="0"/>
    <x v="3"/>
    <n v="32500.309592152538"/>
    <n v="38"/>
    <n v="15638.717547851589"/>
    <n v="16861.592044300949"/>
  </r>
  <r>
    <s v="ORD101317"/>
    <d v="2023-12-01T00:00:00"/>
    <x v="1"/>
    <n v="12"/>
    <x v="2"/>
    <x v="1"/>
    <x v="3"/>
    <n v="67363.656765872875"/>
    <n v="79"/>
    <n v="34032.996440307143"/>
    <n v="33330.660325565739"/>
  </r>
  <r>
    <s v="ORD101318"/>
    <d v="2023-12-01T00:00:00"/>
    <x v="1"/>
    <n v="12"/>
    <x v="3"/>
    <x v="0"/>
    <x v="3"/>
    <n v="24879.004043724341"/>
    <n v="29"/>
    <n v="11902.338951768021"/>
    <n v="12976.665091956331"/>
  </r>
  <r>
    <s v="ORD101319"/>
    <d v="2023-12-01T00:00:00"/>
    <x v="1"/>
    <n v="12"/>
    <x v="3"/>
    <x v="1"/>
    <x v="3"/>
    <n v="53770.856921343002"/>
    <n v="63"/>
    <n v="25284.952657769769"/>
    <n v="28485.90426357324"/>
  </r>
  <r>
    <s v="ORD101320"/>
    <d v="2023-12-01T00:00:00"/>
    <x v="1"/>
    <n v="12"/>
    <x v="0"/>
    <x v="0"/>
    <x v="4"/>
    <n v="46387.85706715678"/>
    <n v="64"/>
    <n v="25638.69877013145"/>
    <n v="20749.158297025329"/>
  </r>
  <r>
    <s v="ORD101321"/>
    <d v="2023-12-01T00:00:00"/>
    <x v="1"/>
    <n v="12"/>
    <x v="0"/>
    <x v="1"/>
    <x v="4"/>
    <n v="102245.8634289925"/>
    <n v="142"/>
    <n v="54135.203602707363"/>
    <n v="48110.659826285148"/>
  </r>
  <r>
    <s v="ORD101322"/>
    <d v="2023-12-01T00:00:00"/>
    <x v="1"/>
    <n v="12"/>
    <x v="1"/>
    <x v="0"/>
    <x v="4"/>
    <n v="34895.79009686975"/>
    <n v="48"/>
    <n v="19160.91639789932"/>
    <n v="15734.87369897043"/>
  </r>
  <r>
    <s v="ORD101323"/>
    <d v="2023-12-01T00:00:00"/>
    <x v="1"/>
    <n v="12"/>
    <x v="1"/>
    <x v="1"/>
    <x v="4"/>
    <n v="86691.502276650557"/>
    <n v="120"/>
    <n v="47694.079884543899"/>
    <n v="38997.422392106659"/>
  </r>
  <r>
    <s v="ORD101324"/>
    <d v="2023-12-01T00:00:00"/>
    <x v="1"/>
    <n v="12"/>
    <x v="2"/>
    <x v="0"/>
    <x v="4"/>
    <n v="26858.510716673562"/>
    <n v="37"/>
    <n v="14983.464544888449"/>
    <n v="11875.04617178511"/>
  </r>
  <r>
    <s v="ORD101325"/>
    <d v="2023-12-01T00:00:00"/>
    <x v="1"/>
    <n v="12"/>
    <x v="2"/>
    <x v="1"/>
    <x v="4"/>
    <n v="58903.809756773167"/>
    <n v="82"/>
    <n v="32964.860957802317"/>
    <n v="25938.94879897085"/>
  </r>
  <r>
    <s v="ORD101326"/>
    <d v="2023-12-01T00:00:00"/>
    <x v="1"/>
    <n v="12"/>
    <x v="3"/>
    <x v="0"/>
    <x v="4"/>
    <n v="22039.24736651254"/>
    <n v="31"/>
    <n v="12011.712927147961"/>
    <n v="10027.534439364579"/>
  </r>
  <r>
    <s v="ORD101327"/>
    <d v="2023-12-01T00:00:00"/>
    <x v="1"/>
    <n v="12"/>
    <x v="3"/>
    <x v="1"/>
    <x v="4"/>
    <n v="45886.227608456917"/>
    <n v="64"/>
    <n v="25169.00520598362"/>
    <n v="20717.2224024733"/>
  </r>
  <r>
    <s v="ORD101328"/>
    <d v="2023-12-01T00:00:00"/>
    <x v="1"/>
    <n v="12"/>
    <x v="0"/>
    <x v="0"/>
    <x v="5"/>
    <n v="46474.424066078667"/>
    <n v="9"/>
    <n v="31625.138202947979"/>
    <n v="14849.28586313069"/>
  </r>
  <r>
    <s v="ORD101329"/>
    <d v="2023-12-01T00:00:00"/>
    <x v="1"/>
    <n v="12"/>
    <x v="0"/>
    <x v="1"/>
    <x v="5"/>
    <n v="92956.305403652557"/>
    <n v="17"/>
    <n v="62837.482978719883"/>
    <n v="30118.82242493267"/>
  </r>
  <r>
    <s v="ORD101330"/>
    <d v="2023-12-01T00:00:00"/>
    <x v="1"/>
    <n v="12"/>
    <x v="1"/>
    <x v="0"/>
    <x v="5"/>
    <n v="33535.773615836028"/>
    <n v="6"/>
    <n v="23268.75940460906"/>
    <n v="10267.01421122698"/>
  </r>
  <r>
    <s v="ORD101331"/>
    <d v="2023-12-01T00:00:00"/>
    <x v="1"/>
    <n v="12"/>
    <x v="1"/>
    <x v="1"/>
    <x v="5"/>
    <n v="74087.714468429476"/>
    <n v="14"/>
    <n v="49948.608515670086"/>
    <n v="24139.10595275939"/>
  </r>
  <r>
    <s v="ORD101332"/>
    <d v="2023-12-01T00:00:00"/>
    <x v="1"/>
    <n v="12"/>
    <x v="2"/>
    <x v="0"/>
    <x v="5"/>
    <n v="21751.524163346159"/>
    <n v="4"/>
    <n v="14896.538585990549"/>
    <n v="6854.9855773556119"/>
  </r>
  <r>
    <s v="ORD101333"/>
    <d v="2023-12-01T00:00:00"/>
    <x v="1"/>
    <n v="12"/>
    <x v="2"/>
    <x v="1"/>
    <x v="5"/>
    <n v="48546.912278588701"/>
    <n v="9"/>
    <n v="32897.326695396303"/>
    <n v="15649.5855831924"/>
  </r>
  <r>
    <s v="ORD101334"/>
    <d v="2023-12-01T00:00:00"/>
    <x v="1"/>
    <n v="12"/>
    <x v="3"/>
    <x v="0"/>
    <x v="5"/>
    <n v="19440.941716299691"/>
    <n v="4"/>
    <n v="13546.974360382559"/>
    <n v="5893.967355917137"/>
  </r>
  <r>
    <s v="ORD101335"/>
    <d v="2023-12-01T00:00:00"/>
    <x v="1"/>
    <n v="12"/>
    <x v="3"/>
    <x v="1"/>
    <x v="5"/>
    <n v="37193.806395818952"/>
    <n v="7"/>
    <n v="26495.89177907374"/>
    <n v="10697.914616745211"/>
  </r>
  <r>
    <s v="ORD101336"/>
    <d v="2023-12-01T00:00:00"/>
    <x v="1"/>
    <n v="12"/>
    <x v="0"/>
    <x v="0"/>
    <x v="6"/>
    <n v="86355.453653783814"/>
    <n v="25"/>
    <n v="49756.03793162982"/>
    <n v="36599.415722153994"/>
  </r>
  <r>
    <s v="ORD101337"/>
    <d v="2023-12-01T00:00:00"/>
    <x v="1"/>
    <n v="12"/>
    <x v="0"/>
    <x v="1"/>
    <x v="6"/>
    <n v="203228.02011827199"/>
    <n v="58"/>
    <n v="115905.19622249861"/>
    <n v="87322.823895773399"/>
  </r>
  <r>
    <s v="ORD101338"/>
    <d v="2023-12-01T00:00:00"/>
    <x v="1"/>
    <n v="12"/>
    <x v="1"/>
    <x v="0"/>
    <x v="6"/>
    <n v="68802.825530742251"/>
    <n v="20"/>
    <n v="40502.41396353778"/>
    <n v="28300.411567204472"/>
  </r>
  <r>
    <s v="ORD101339"/>
    <d v="2023-12-01T00:00:00"/>
    <x v="1"/>
    <n v="12"/>
    <x v="1"/>
    <x v="1"/>
    <x v="6"/>
    <n v="169703.82104734809"/>
    <n v="48"/>
    <n v="100153.5458425886"/>
    <n v="69550.275204759411"/>
  </r>
  <r>
    <s v="ORD101340"/>
    <d v="2023-12-01T00:00:00"/>
    <x v="1"/>
    <n v="12"/>
    <x v="2"/>
    <x v="0"/>
    <x v="6"/>
    <n v="51775.959996168604"/>
    <n v="15"/>
    <n v="30668.0485561561"/>
    <n v="21107.9114400125"/>
  </r>
  <r>
    <s v="ORD101341"/>
    <d v="2023-12-01T00:00:00"/>
    <x v="1"/>
    <n v="12"/>
    <x v="2"/>
    <x v="1"/>
    <x v="6"/>
    <n v="113755.6380225434"/>
    <n v="33"/>
    <n v="66576.633369087023"/>
    <n v="47179.004653456417"/>
  </r>
  <r>
    <s v="ORD101342"/>
    <d v="2023-12-01T00:00:00"/>
    <x v="1"/>
    <n v="12"/>
    <x v="3"/>
    <x v="0"/>
    <x v="6"/>
    <n v="35150.114159978708"/>
    <n v="10"/>
    <n v="20663.669865360131"/>
    <n v="14486.444294618581"/>
  </r>
  <r>
    <s v="ORD101343"/>
    <d v="2023-12-01T00:00:00"/>
    <x v="1"/>
    <n v="12"/>
    <x v="3"/>
    <x v="1"/>
    <x v="6"/>
    <n v="85607.684709142981"/>
    <n v="24"/>
    <n v="50842.657395442031"/>
    <n v="34765.02731370095"/>
  </r>
  <r>
    <s v="ORD101344"/>
    <d v="2024-01-01T00:00:00"/>
    <x v="2"/>
    <n v="1"/>
    <x v="0"/>
    <x v="0"/>
    <x v="0"/>
    <n v="57107.653620886464"/>
    <n v="11"/>
    <n v="36069.834133044933"/>
    <n v="21037.819487841531"/>
  </r>
  <r>
    <s v="ORD101345"/>
    <d v="2024-01-01T00:00:00"/>
    <x v="2"/>
    <n v="1"/>
    <x v="0"/>
    <x v="1"/>
    <x v="0"/>
    <n v="128961.63306118239"/>
    <n v="25"/>
    <n v="77142.483189312057"/>
    <n v="51819.149871870351"/>
  </r>
  <r>
    <s v="ORD101346"/>
    <d v="2024-01-01T00:00:00"/>
    <x v="2"/>
    <n v="1"/>
    <x v="1"/>
    <x v="0"/>
    <x v="0"/>
    <n v="58799.114937328042"/>
    <n v="11"/>
    <n v="36213.353893860738"/>
    <n v="22585.761043467301"/>
  </r>
  <r>
    <s v="ORD101347"/>
    <d v="2024-01-01T00:00:00"/>
    <x v="2"/>
    <n v="1"/>
    <x v="1"/>
    <x v="1"/>
    <x v="0"/>
    <n v="97339.091232775652"/>
    <n v="19"/>
    <n v="60582.49796761066"/>
    <n v="36756.593265164993"/>
  </r>
  <r>
    <s v="ORD101348"/>
    <d v="2024-01-01T00:00:00"/>
    <x v="2"/>
    <n v="1"/>
    <x v="2"/>
    <x v="0"/>
    <x v="0"/>
    <n v="39136.345650927928"/>
    <n v="8"/>
    <n v="23863.5975753319"/>
    <n v="15272.74807559603"/>
  </r>
  <r>
    <s v="ORD101349"/>
    <d v="2024-01-01T00:00:00"/>
    <x v="2"/>
    <n v="1"/>
    <x v="2"/>
    <x v="1"/>
    <x v="0"/>
    <n v="74916.052971654761"/>
    <n v="14"/>
    <n v="47895.319979960157"/>
    <n v="27020.7329916946"/>
  </r>
  <r>
    <s v="ORD101350"/>
    <d v="2024-01-01T00:00:00"/>
    <x v="2"/>
    <n v="1"/>
    <x v="3"/>
    <x v="0"/>
    <x v="0"/>
    <n v="28253.73720950797"/>
    <n v="5"/>
    <n v="17316.964895751349"/>
    <n v="10936.772313756621"/>
  </r>
  <r>
    <s v="ORD101351"/>
    <d v="2024-01-01T00:00:00"/>
    <x v="2"/>
    <n v="1"/>
    <x v="3"/>
    <x v="1"/>
    <x v="0"/>
    <n v="50881.376080713242"/>
    <n v="10"/>
    <n v="31523.005689337278"/>
    <n v="19358.37039137596"/>
  </r>
  <r>
    <s v="ORD101352"/>
    <d v="2024-01-01T00:00:00"/>
    <x v="2"/>
    <n v="1"/>
    <x v="0"/>
    <x v="0"/>
    <x v="1"/>
    <n v="73929.778511646873"/>
    <n v="12"/>
    <n v="49282.000112436457"/>
    <n v="24647.778399210409"/>
  </r>
  <r>
    <s v="ORD101353"/>
    <d v="2024-01-01T00:00:00"/>
    <x v="2"/>
    <n v="1"/>
    <x v="0"/>
    <x v="1"/>
    <x v="1"/>
    <n v="130583.5752232326"/>
    <n v="21"/>
    <n v="85267.880116774759"/>
    <n v="45315.695106457861"/>
  </r>
  <r>
    <s v="ORD101354"/>
    <d v="2024-01-01T00:00:00"/>
    <x v="2"/>
    <n v="1"/>
    <x v="1"/>
    <x v="0"/>
    <x v="1"/>
    <n v="59253.53047184107"/>
    <n v="10"/>
    <n v="37807.468359819177"/>
    <n v="21446.062112021889"/>
  </r>
  <r>
    <s v="ORD101355"/>
    <d v="2024-01-01T00:00:00"/>
    <x v="2"/>
    <n v="1"/>
    <x v="1"/>
    <x v="1"/>
    <x v="1"/>
    <n v="110772.0747678789"/>
    <n v="18"/>
    <n v="72545.47188529445"/>
    <n v="38226.602882584477"/>
  </r>
  <r>
    <s v="ORD101356"/>
    <d v="2024-01-01T00:00:00"/>
    <x v="2"/>
    <n v="1"/>
    <x v="2"/>
    <x v="0"/>
    <x v="1"/>
    <n v="37600.187032817114"/>
    <n v="6"/>
    <n v="25275.96447207054"/>
    <n v="12324.22256074657"/>
  </r>
  <r>
    <s v="ORD101357"/>
    <d v="2024-01-01T00:00:00"/>
    <x v="2"/>
    <n v="1"/>
    <x v="2"/>
    <x v="1"/>
    <x v="1"/>
    <n v="74029.293344071397"/>
    <n v="12"/>
    <n v="48563.045122063573"/>
    <n v="25466.24822200782"/>
  </r>
  <r>
    <s v="ORD101358"/>
    <d v="2024-01-01T00:00:00"/>
    <x v="2"/>
    <n v="1"/>
    <x v="3"/>
    <x v="0"/>
    <x v="1"/>
    <n v="28380.820489477661"/>
    <n v="5"/>
    <n v="18445.954223461031"/>
    <n v="9934.8662660166301"/>
  </r>
  <r>
    <s v="ORD101359"/>
    <d v="2024-01-01T00:00:00"/>
    <x v="2"/>
    <n v="1"/>
    <x v="3"/>
    <x v="1"/>
    <x v="1"/>
    <n v="53502.012333754094"/>
    <n v="9"/>
    <n v="35899.689012799237"/>
    <n v="17602.323320954842"/>
  </r>
  <r>
    <s v="ORD101360"/>
    <d v="2024-01-01T00:00:00"/>
    <x v="2"/>
    <n v="1"/>
    <x v="0"/>
    <x v="0"/>
    <x v="2"/>
    <n v="49982.821607055717"/>
    <n v="12"/>
    <n v="31798.544947133119"/>
    <n v="18184.276659922609"/>
  </r>
  <r>
    <s v="ORD101361"/>
    <d v="2024-01-01T00:00:00"/>
    <x v="2"/>
    <n v="1"/>
    <x v="0"/>
    <x v="1"/>
    <x v="2"/>
    <n v="97916.21408275982"/>
    <n v="23"/>
    <n v="62090.918275028263"/>
    <n v="35825.295807731563"/>
  </r>
  <r>
    <s v="ORD101362"/>
    <d v="2024-01-01T00:00:00"/>
    <x v="2"/>
    <n v="1"/>
    <x v="1"/>
    <x v="0"/>
    <x v="2"/>
    <n v="42024.266737254082"/>
    <n v="10"/>
    <n v="26967.88532713562"/>
    <n v="15056.38141011846"/>
  </r>
  <r>
    <s v="ORD101363"/>
    <d v="2024-01-01T00:00:00"/>
    <x v="2"/>
    <n v="1"/>
    <x v="1"/>
    <x v="1"/>
    <x v="2"/>
    <n v="79456.624079591391"/>
    <n v="18"/>
    <n v="51557.738146278673"/>
    <n v="27898.885933312718"/>
  </r>
  <r>
    <s v="ORD101364"/>
    <d v="2024-01-01T00:00:00"/>
    <x v="2"/>
    <n v="1"/>
    <x v="2"/>
    <x v="0"/>
    <x v="2"/>
    <n v="26954.512250888169"/>
    <n v="6"/>
    <n v="17990.447954645511"/>
    <n v="8964.0642962426573"/>
  </r>
  <r>
    <s v="ORD101365"/>
    <d v="2024-01-01T00:00:00"/>
    <x v="2"/>
    <n v="1"/>
    <x v="2"/>
    <x v="1"/>
    <x v="2"/>
    <n v="52606.18041276541"/>
    <n v="12"/>
    <n v="34169.279735927201"/>
    <n v="18436.90067683821"/>
  </r>
  <r>
    <s v="ORD101366"/>
    <d v="2024-01-01T00:00:00"/>
    <x v="2"/>
    <n v="1"/>
    <x v="3"/>
    <x v="0"/>
    <x v="2"/>
    <n v="19851.62951727186"/>
    <n v="5"/>
    <n v="12970.287588409001"/>
    <n v="6881.3419288628666"/>
  </r>
  <r>
    <s v="ORD101367"/>
    <d v="2024-01-01T00:00:00"/>
    <x v="2"/>
    <n v="1"/>
    <x v="3"/>
    <x v="1"/>
    <x v="2"/>
    <n v="34796.810455935163"/>
    <n v="8"/>
    <n v="22067.1374574822"/>
    <n v="12729.67299845297"/>
  </r>
  <r>
    <s v="ORD101368"/>
    <d v="2024-01-01T00:00:00"/>
    <x v="2"/>
    <n v="1"/>
    <x v="0"/>
    <x v="0"/>
    <x v="3"/>
    <n v="46398.77453456002"/>
    <n v="55"/>
    <n v="21860.15621829153"/>
    <n v="24538.61831626849"/>
  </r>
  <r>
    <s v="ORD101369"/>
    <d v="2024-01-01T00:00:00"/>
    <x v="2"/>
    <n v="1"/>
    <x v="0"/>
    <x v="1"/>
    <x v="3"/>
    <n v="85789.635717970057"/>
    <n v="101"/>
    <n v="41225.226540464377"/>
    <n v="44564.40917750568"/>
  </r>
  <r>
    <s v="ORD101370"/>
    <d v="2024-01-01T00:00:00"/>
    <x v="2"/>
    <n v="1"/>
    <x v="1"/>
    <x v="0"/>
    <x v="3"/>
    <n v="35753.96397597302"/>
    <n v="42"/>
    <n v="17195.00902232833"/>
    <n v="18558.95495364469"/>
  </r>
  <r>
    <s v="ORD101371"/>
    <d v="2024-01-01T00:00:00"/>
    <x v="2"/>
    <n v="1"/>
    <x v="1"/>
    <x v="1"/>
    <x v="3"/>
    <n v="73732.089340975173"/>
    <n v="87"/>
    <n v="34704.341462661607"/>
    <n v="39027.747878313559"/>
  </r>
  <r>
    <s v="ORD101372"/>
    <d v="2024-01-01T00:00:00"/>
    <x v="2"/>
    <n v="1"/>
    <x v="2"/>
    <x v="0"/>
    <x v="3"/>
    <n v="26345.505165989729"/>
    <n v="31"/>
    <n v="12605.941033446201"/>
    <n v="13739.56413254353"/>
  </r>
  <r>
    <s v="ORD101373"/>
    <d v="2024-01-01T00:00:00"/>
    <x v="2"/>
    <n v="1"/>
    <x v="2"/>
    <x v="1"/>
    <x v="3"/>
    <n v="46449.433232889081"/>
    <n v="55"/>
    <n v="22455.98333084397"/>
    <n v="23993.449902045111"/>
  </r>
  <r>
    <s v="ORD101374"/>
    <d v="2024-01-01T00:00:00"/>
    <x v="2"/>
    <n v="1"/>
    <x v="3"/>
    <x v="0"/>
    <x v="3"/>
    <n v="18848.669364273421"/>
    <n v="22"/>
    <n v="9106.0522614053607"/>
    <n v="9742.6171028680601"/>
  </r>
  <r>
    <s v="ORD101375"/>
    <d v="2024-01-01T00:00:00"/>
    <x v="2"/>
    <n v="1"/>
    <x v="3"/>
    <x v="1"/>
    <x v="3"/>
    <n v="34335.558027211038"/>
    <n v="40"/>
    <n v="16630.669494985112"/>
    <n v="17704.88853222593"/>
  </r>
  <r>
    <s v="ORD101376"/>
    <d v="2024-01-01T00:00:00"/>
    <x v="2"/>
    <n v="1"/>
    <x v="0"/>
    <x v="0"/>
    <x v="4"/>
    <n v="37483.016375263767"/>
    <n v="52"/>
    <n v="20723.6307402643"/>
    <n v="16759.385634999471"/>
  </r>
  <r>
    <s v="ORD101377"/>
    <d v="2024-01-01T00:00:00"/>
    <x v="2"/>
    <n v="1"/>
    <x v="0"/>
    <x v="1"/>
    <x v="4"/>
    <n v="69775.152130377886"/>
    <n v="97"/>
    <n v="38026.105269021173"/>
    <n v="31749.046861356721"/>
  </r>
  <r>
    <s v="ORD101378"/>
    <d v="2024-01-01T00:00:00"/>
    <x v="2"/>
    <n v="1"/>
    <x v="1"/>
    <x v="0"/>
    <x v="4"/>
    <n v="29474.381147605109"/>
    <n v="41"/>
    <n v="16060.955292058579"/>
    <n v="13413.42585554652"/>
  </r>
  <r>
    <s v="ORD101379"/>
    <d v="2024-01-01T00:00:00"/>
    <x v="2"/>
    <n v="1"/>
    <x v="1"/>
    <x v="1"/>
    <x v="4"/>
    <n v="50734.326215443143"/>
    <n v="70"/>
    <n v="27301.682304205129"/>
    <n v="23432.64391123801"/>
  </r>
  <r>
    <s v="ORD101380"/>
    <d v="2024-01-01T00:00:00"/>
    <x v="2"/>
    <n v="1"/>
    <x v="2"/>
    <x v="0"/>
    <x v="4"/>
    <n v="19298.885453412469"/>
    <n v="27"/>
    <n v="10955.384272886149"/>
    <n v="8343.5011805263148"/>
  </r>
  <r>
    <s v="ORD101381"/>
    <d v="2024-01-01T00:00:00"/>
    <x v="2"/>
    <n v="1"/>
    <x v="2"/>
    <x v="1"/>
    <x v="4"/>
    <n v="37824.399299833902"/>
    <n v="53"/>
    <n v="20808.456259333321"/>
    <n v="17015.943040500581"/>
  </r>
  <r>
    <s v="ORD101382"/>
    <d v="2024-01-01T00:00:00"/>
    <x v="2"/>
    <n v="1"/>
    <x v="3"/>
    <x v="0"/>
    <x v="4"/>
    <n v="16261.55978931255"/>
    <n v="23"/>
    <n v="8907.6589161567863"/>
    <n v="7353.9008731557587"/>
  </r>
  <r>
    <s v="ORD101383"/>
    <d v="2024-01-01T00:00:00"/>
    <x v="2"/>
    <n v="1"/>
    <x v="3"/>
    <x v="1"/>
    <x v="4"/>
    <n v="28020.16899804752"/>
    <n v="39"/>
    <n v="15153.446329171309"/>
    <n v="12866.722668876209"/>
  </r>
  <r>
    <s v="ORD101384"/>
    <d v="2024-01-01T00:00:00"/>
    <x v="2"/>
    <n v="1"/>
    <x v="0"/>
    <x v="0"/>
    <x v="5"/>
    <n v="34226.826724213621"/>
    <n v="6"/>
    <n v="24864.4503586666"/>
    <n v="9362.3763655470248"/>
  </r>
  <r>
    <s v="ORD101385"/>
    <d v="2024-01-01T00:00:00"/>
    <x v="2"/>
    <n v="1"/>
    <x v="0"/>
    <x v="1"/>
    <x v="5"/>
    <n v="61799.35206236619"/>
    <n v="11"/>
    <n v="41817.722189416141"/>
    <n v="19981.629872950049"/>
  </r>
  <r>
    <s v="ORD101386"/>
    <d v="2024-01-01T00:00:00"/>
    <x v="2"/>
    <n v="1"/>
    <x v="1"/>
    <x v="0"/>
    <x v="5"/>
    <n v="27880.335258837069"/>
    <n v="5"/>
    <n v="19088.932543250929"/>
    <n v="8791.4027155861404"/>
  </r>
  <r>
    <s v="ORD101387"/>
    <d v="2024-01-01T00:00:00"/>
    <x v="2"/>
    <n v="1"/>
    <x v="1"/>
    <x v="1"/>
    <x v="5"/>
    <n v="51179.929080667796"/>
    <n v="9"/>
    <n v="35578.479713055684"/>
    <n v="15601.44936761212"/>
  </r>
  <r>
    <s v="ORD101388"/>
    <d v="2024-01-01T00:00:00"/>
    <x v="2"/>
    <n v="1"/>
    <x v="2"/>
    <x v="0"/>
    <x v="5"/>
    <n v="17739.857923299049"/>
    <n v="3"/>
    <n v="12372.746310857779"/>
    <n v="5367.1116124412711"/>
  </r>
  <r>
    <s v="ORD101389"/>
    <d v="2024-01-01T00:00:00"/>
    <x v="2"/>
    <n v="1"/>
    <x v="2"/>
    <x v="1"/>
    <x v="5"/>
    <n v="34809.270935282737"/>
    <n v="6"/>
    <n v="24432.54080762422"/>
    <n v="10376.73012765852"/>
  </r>
  <r>
    <s v="ORD101390"/>
    <d v="2024-01-01T00:00:00"/>
    <x v="2"/>
    <n v="1"/>
    <x v="3"/>
    <x v="0"/>
    <x v="5"/>
    <n v="13371.773958399661"/>
    <n v="2"/>
    <n v="9526.7270113457053"/>
    <n v="3845.046947053956"/>
  </r>
  <r>
    <s v="ORD101391"/>
    <d v="2024-01-01T00:00:00"/>
    <x v="2"/>
    <n v="1"/>
    <x v="3"/>
    <x v="1"/>
    <x v="5"/>
    <n v="26673.319056747881"/>
    <n v="5"/>
    <n v="18572.27138474906"/>
    <n v="8101.0476719988264"/>
  </r>
  <r>
    <s v="ORD101392"/>
    <d v="2024-01-01T00:00:00"/>
    <x v="2"/>
    <n v="1"/>
    <x v="0"/>
    <x v="0"/>
    <x v="6"/>
    <n v="71016.670175258012"/>
    <n v="20"/>
    <n v="41103.380102810763"/>
    <n v="29913.29007244726"/>
  </r>
  <r>
    <s v="ORD101393"/>
    <d v="2024-01-01T00:00:00"/>
    <x v="2"/>
    <n v="1"/>
    <x v="0"/>
    <x v="1"/>
    <x v="6"/>
    <n v="124320.71868721111"/>
    <n v="36"/>
    <n v="73009.982965648029"/>
    <n v="51310.735721563033"/>
  </r>
  <r>
    <s v="ORD101394"/>
    <d v="2024-01-01T00:00:00"/>
    <x v="2"/>
    <n v="1"/>
    <x v="1"/>
    <x v="0"/>
    <x v="6"/>
    <n v="47605.913843662973"/>
    <n v="14"/>
    <n v="28243.121459473608"/>
    <n v="19362.79238418935"/>
  </r>
  <r>
    <s v="ORD101395"/>
    <d v="2024-01-01T00:00:00"/>
    <x v="2"/>
    <n v="1"/>
    <x v="1"/>
    <x v="1"/>
    <x v="6"/>
    <n v="94563.235212420244"/>
    <n v="27"/>
    <n v="57869.348681975564"/>
    <n v="36693.886530444688"/>
  </r>
  <r>
    <s v="ORD101396"/>
    <d v="2024-01-01T00:00:00"/>
    <x v="2"/>
    <n v="1"/>
    <x v="2"/>
    <x v="0"/>
    <x v="6"/>
    <n v="41591.651262497457"/>
    <n v="12"/>
    <n v="23921.658901404498"/>
    <n v="17669.992361092962"/>
  </r>
  <r>
    <s v="ORD101397"/>
    <d v="2024-01-01T00:00:00"/>
    <x v="2"/>
    <n v="1"/>
    <x v="2"/>
    <x v="1"/>
    <x v="6"/>
    <n v="67612.218069276176"/>
    <n v="19"/>
    <n v="40754.708806283801"/>
    <n v="26857.509262992371"/>
  </r>
  <r>
    <s v="ORD101398"/>
    <d v="2024-01-01T00:00:00"/>
    <x v="2"/>
    <n v="1"/>
    <x v="3"/>
    <x v="0"/>
    <x v="6"/>
    <n v="27202.358071703518"/>
    <n v="8"/>
    <n v="16101.366552295191"/>
    <n v="11100.991519408341"/>
  </r>
  <r>
    <s v="ORD101399"/>
    <d v="2024-01-01T00:00:00"/>
    <x v="2"/>
    <n v="1"/>
    <x v="3"/>
    <x v="1"/>
    <x v="6"/>
    <n v="53021.664610442313"/>
    <n v="15"/>
    <n v="31754.556181730601"/>
    <n v="21267.108428711708"/>
  </r>
  <r>
    <s v="ORD101400"/>
    <d v="2024-02-01T00:00:00"/>
    <x v="2"/>
    <n v="2"/>
    <x v="0"/>
    <x v="0"/>
    <x v="0"/>
    <n v="62385.884861959254"/>
    <n v="12"/>
    <n v="38608.237192376611"/>
    <n v="23777.647669582631"/>
  </r>
  <r>
    <s v="ORD101401"/>
    <d v="2024-02-01T00:00:00"/>
    <x v="2"/>
    <n v="2"/>
    <x v="0"/>
    <x v="1"/>
    <x v="0"/>
    <n v="122181.12084295601"/>
    <n v="23"/>
    <n v="74603.603231736735"/>
    <n v="47577.5176112193"/>
  </r>
  <r>
    <s v="ORD101402"/>
    <d v="2024-02-01T00:00:00"/>
    <x v="2"/>
    <n v="2"/>
    <x v="1"/>
    <x v="0"/>
    <x v="0"/>
    <n v="50203.26944304465"/>
    <n v="10"/>
    <n v="31546.717410720619"/>
    <n v="18656.552032324031"/>
  </r>
  <r>
    <s v="ORD101403"/>
    <d v="2024-02-01T00:00:00"/>
    <x v="2"/>
    <n v="2"/>
    <x v="1"/>
    <x v="1"/>
    <x v="0"/>
    <n v="99344.716388542351"/>
    <n v="19"/>
    <n v="62319.28335588202"/>
    <n v="37025.43303266033"/>
  </r>
  <r>
    <s v="ORD101404"/>
    <d v="2024-02-01T00:00:00"/>
    <x v="2"/>
    <n v="2"/>
    <x v="2"/>
    <x v="0"/>
    <x v="0"/>
    <n v="39443.458932411013"/>
    <n v="8"/>
    <n v="24882.833323425439"/>
    <n v="14560.62560898558"/>
  </r>
  <r>
    <s v="ORD101405"/>
    <d v="2024-02-01T00:00:00"/>
    <x v="2"/>
    <n v="2"/>
    <x v="2"/>
    <x v="1"/>
    <x v="0"/>
    <n v="65916.052504755775"/>
    <n v="13"/>
    <n v="40858.165355215591"/>
    <n v="25057.88714954018"/>
  </r>
  <r>
    <s v="ORD101406"/>
    <d v="2024-02-01T00:00:00"/>
    <x v="2"/>
    <n v="2"/>
    <x v="3"/>
    <x v="0"/>
    <x v="0"/>
    <n v="27548.83405288983"/>
    <n v="5"/>
    <n v="16895.86483801185"/>
    <n v="10652.96921487799"/>
  </r>
  <r>
    <s v="ORD101407"/>
    <d v="2024-02-01T00:00:00"/>
    <x v="2"/>
    <n v="2"/>
    <x v="3"/>
    <x v="1"/>
    <x v="0"/>
    <n v="52022.698450948221"/>
    <n v="10"/>
    <n v="31349.082906956039"/>
    <n v="20673.615543992179"/>
  </r>
  <r>
    <s v="ORD101408"/>
    <d v="2024-02-01T00:00:00"/>
    <x v="2"/>
    <n v="2"/>
    <x v="0"/>
    <x v="0"/>
    <x v="1"/>
    <n v="65686.479782302195"/>
    <n v="11"/>
    <n v="43992.478994187608"/>
    <n v="21694.00078811459"/>
  </r>
  <r>
    <s v="ORD101409"/>
    <d v="2024-02-01T00:00:00"/>
    <x v="2"/>
    <n v="2"/>
    <x v="0"/>
    <x v="1"/>
    <x v="1"/>
    <n v="115145.1407895181"/>
    <n v="19"/>
    <n v="76575.641633008185"/>
    <n v="38569.49915650989"/>
  </r>
  <r>
    <s v="ORD101410"/>
    <d v="2024-02-01T00:00:00"/>
    <x v="2"/>
    <n v="2"/>
    <x v="1"/>
    <x v="0"/>
    <x v="1"/>
    <n v="53372.383315257262"/>
    <n v="9"/>
    <n v="34613.405072010239"/>
    <n v="18758.97824324702"/>
  </r>
  <r>
    <s v="ORD101411"/>
    <d v="2024-02-01T00:00:00"/>
    <x v="2"/>
    <n v="2"/>
    <x v="1"/>
    <x v="1"/>
    <x v="1"/>
    <n v="100308.8421983865"/>
    <n v="16"/>
    <n v="65562.034275844897"/>
    <n v="34746.807922541593"/>
  </r>
  <r>
    <s v="ORD101412"/>
    <d v="2024-02-01T00:00:00"/>
    <x v="2"/>
    <n v="2"/>
    <x v="2"/>
    <x v="0"/>
    <x v="1"/>
    <n v="41883.354785142888"/>
    <n v="7"/>
    <n v="27410.76699014406"/>
    <n v="14472.587794998821"/>
  </r>
  <r>
    <s v="ORD101413"/>
    <d v="2024-02-01T00:00:00"/>
    <x v="2"/>
    <n v="2"/>
    <x v="2"/>
    <x v="1"/>
    <x v="1"/>
    <n v="76270.566277313133"/>
    <n v="13"/>
    <n v="48994.84996162272"/>
    <n v="27275.71631569041"/>
  </r>
  <r>
    <s v="ORD101414"/>
    <d v="2024-02-01T00:00:00"/>
    <x v="2"/>
    <n v="2"/>
    <x v="3"/>
    <x v="0"/>
    <x v="1"/>
    <n v="26667.196823271239"/>
    <n v="4"/>
    <n v="17341.3029701378"/>
    <n v="9325.8938531334388"/>
  </r>
  <r>
    <s v="ORD101415"/>
    <d v="2024-02-01T00:00:00"/>
    <x v="2"/>
    <n v="2"/>
    <x v="3"/>
    <x v="1"/>
    <x v="1"/>
    <n v="50942.922554902427"/>
    <n v="8"/>
    <n v="32936.132577396267"/>
    <n v="18006.789977506171"/>
  </r>
  <r>
    <s v="ORD101416"/>
    <d v="2024-02-01T00:00:00"/>
    <x v="2"/>
    <n v="2"/>
    <x v="0"/>
    <x v="0"/>
    <x v="2"/>
    <n v="44722.784841114357"/>
    <n v="10"/>
    <n v="28410.070437959581"/>
    <n v="16312.71440315478"/>
  </r>
  <r>
    <s v="ORD101417"/>
    <d v="2024-02-01T00:00:00"/>
    <x v="2"/>
    <n v="2"/>
    <x v="0"/>
    <x v="1"/>
    <x v="2"/>
    <n v="91450.380335404989"/>
    <n v="21"/>
    <n v="57750.019408802611"/>
    <n v="33700.360926602378"/>
  </r>
  <r>
    <s v="ORD101418"/>
    <d v="2024-02-01T00:00:00"/>
    <x v="2"/>
    <n v="2"/>
    <x v="1"/>
    <x v="0"/>
    <x v="2"/>
    <n v="38341.738134787149"/>
    <n v="9"/>
    <n v="23820.069501202721"/>
    <n v="14521.668633584421"/>
  </r>
  <r>
    <s v="ORD101419"/>
    <d v="2024-02-01T00:00:00"/>
    <x v="2"/>
    <n v="2"/>
    <x v="1"/>
    <x v="1"/>
    <x v="2"/>
    <n v="74435.430752131564"/>
    <n v="17"/>
    <n v="49373.039041911317"/>
    <n v="25062.39171022025"/>
  </r>
  <r>
    <s v="ORD101420"/>
    <d v="2024-02-01T00:00:00"/>
    <x v="2"/>
    <n v="2"/>
    <x v="2"/>
    <x v="0"/>
    <x v="2"/>
    <n v="29403.565746199929"/>
    <n v="7"/>
    <n v="19242.554043790678"/>
    <n v="10161.011702409251"/>
  </r>
  <r>
    <s v="ORD101421"/>
    <d v="2024-02-01T00:00:00"/>
    <x v="2"/>
    <n v="2"/>
    <x v="2"/>
    <x v="1"/>
    <x v="2"/>
    <n v="50890.011139866721"/>
    <n v="12"/>
    <n v="32112.904712421681"/>
    <n v="18777.10642744504"/>
  </r>
  <r>
    <s v="ORD101422"/>
    <d v="2024-02-01T00:00:00"/>
    <x v="2"/>
    <n v="2"/>
    <x v="3"/>
    <x v="0"/>
    <x v="2"/>
    <n v="20539.428514162999"/>
    <n v="5"/>
    <n v="13209.693024386759"/>
    <n v="7329.735489776238"/>
  </r>
  <r>
    <s v="ORD101423"/>
    <d v="2024-02-01T00:00:00"/>
    <x v="2"/>
    <n v="2"/>
    <x v="3"/>
    <x v="1"/>
    <x v="2"/>
    <n v="35090.529264159908"/>
    <n v="8"/>
    <n v="22626.696026419471"/>
    <n v="12463.83323774044"/>
  </r>
  <r>
    <s v="ORD101424"/>
    <d v="2024-02-01T00:00:00"/>
    <x v="2"/>
    <n v="2"/>
    <x v="0"/>
    <x v="0"/>
    <x v="3"/>
    <n v="44856.382458421511"/>
    <n v="53"/>
    <n v="21992.679794873831"/>
    <n v="22863.70266354768"/>
  </r>
  <r>
    <s v="ORD101425"/>
    <d v="2024-02-01T00:00:00"/>
    <x v="2"/>
    <n v="2"/>
    <x v="0"/>
    <x v="1"/>
    <x v="3"/>
    <n v="80696.44279264436"/>
    <n v="95"/>
    <n v="38163.546982069791"/>
    <n v="42532.89581057457"/>
  </r>
  <r>
    <s v="ORD101426"/>
    <d v="2024-02-01T00:00:00"/>
    <x v="2"/>
    <n v="2"/>
    <x v="1"/>
    <x v="0"/>
    <x v="3"/>
    <n v="32434.826741302841"/>
    <n v="38"/>
    <n v="15874.76545876288"/>
    <n v="16560.061282539958"/>
  </r>
  <r>
    <s v="ORD101427"/>
    <d v="2024-02-01T00:00:00"/>
    <x v="2"/>
    <n v="2"/>
    <x v="1"/>
    <x v="1"/>
    <x v="3"/>
    <n v="62864.530463084338"/>
    <n v="74"/>
    <n v="29877.380106583059"/>
    <n v="32987.150356501283"/>
  </r>
  <r>
    <s v="ORD101428"/>
    <d v="2024-02-01T00:00:00"/>
    <x v="2"/>
    <n v="2"/>
    <x v="2"/>
    <x v="0"/>
    <x v="3"/>
    <n v="24207.68444029965"/>
    <n v="28"/>
    <n v="11340.28704031475"/>
    <n v="12867.3973999849"/>
  </r>
  <r>
    <s v="ORD101429"/>
    <d v="2024-02-01T00:00:00"/>
    <x v="2"/>
    <n v="2"/>
    <x v="2"/>
    <x v="1"/>
    <x v="3"/>
    <n v="45963.916286459993"/>
    <n v="54"/>
    <n v="22350.254892442241"/>
    <n v="23613.661394017749"/>
  </r>
  <r>
    <s v="ORD101430"/>
    <d v="2024-02-01T00:00:00"/>
    <x v="2"/>
    <n v="2"/>
    <x v="3"/>
    <x v="0"/>
    <x v="3"/>
    <n v="16810.467508780581"/>
    <n v="20"/>
    <n v="8256.4973062500922"/>
    <n v="8553.9702025304923"/>
  </r>
  <r>
    <s v="ORD101431"/>
    <d v="2024-02-01T00:00:00"/>
    <x v="2"/>
    <n v="2"/>
    <x v="3"/>
    <x v="1"/>
    <x v="3"/>
    <n v="33269.400191061701"/>
    <n v="39"/>
    <n v="16713.20036084807"/>
    <n v="16556.199830213631"/>
  </r>
  <r>
    <s v="ORD101432"/>
    <d v="2024-02-01T00:00:00"/>
    <x v="2"/>
    <n v="2"/>
    <x v="0"/>
    <x v="0"/>
    <x v="4"/>
    <n v="36703.885822787881"/>
    <n v="51"/>
    <n v="19751.19486896235"/>
    <n v="16952.690953825531"/>
  </r>
  <r>
    <s v="ORD101433"/>
    <d v="2024-02-01T00:00:00"/>
    <x v="2"/>
    <n v="2"/>
    <x v="0"/>
    <x v="1"/>
    <x v="4"/>
    <n v="73192.263224810551"/>
    <n v="102"/>
    <n v="40762.184357923798"/>
    <n v="32430.07886688675"/>
  </r>
  <r>
    <s v="ORD101434"/>
    <d v="2024-02-01T00:00:00"/>
    <x v="2"/>
    <n v="2"/>
    <x v="1"/>
    <x v="0"/>
    <x v="4"/>
    <n v="30673.497873957102"/>
    <n v="43"/>
    <n v="16745.98045863197"/>
    <n v="13927.51741532513"/>
  </r>
  <r>
    <s v="ORD101435"/>
    <d v="2024-02-01T00:00:00"/>
    <x v="2"/>
    <n v="2"/>
    <x v="1"/>
    <x v="1"/>
    <x v="4"/>
    <n v="51963.56361423112"/>
    <n v="72"/>
    <n v="28982.95047867918"/>
    <n v="22980.613135551939"/>
  </r>
  <r>
    <s v="ORD101436"/>
    <d v="2024-02-01T00:00:00"/>
    <x v="2"/>
    <n v="2"/>
    <x v="2"/>
    <x v="0"/>
    <x v="4"/>
    <n v="20259.741599865891"/>
    <n v="28"/>
    <n v="10847.919670427091"/>
    <n v="9411.8219294388036"/>
  </r>
  <r>
    <s v="ORD101437"/>
    <d v="2024-02-01T00:00:00"/>
    <x v="2"/>
    <n v="2"/>
    <x v="2"/>
    <x v="1"/>
    <x v="4"/>
    <n v="36524.340798902776"/>
    <n v="51"/>
    <n v="19631.78128637866"/>
    <n v="16892.55951252412"/>
  </r>
  <r>
    <s v="ORD101438"/>
    <d v="2024-02-01T00:00:00"/>
    <x v="2"/>
    <n v="2"/>
    <x v="3"/>
    <x v="0"/>
    <x v="4"/>
    <n v="14655.85701153228"/>
    <n v="20"/>
    <n v="7948.147362717712"/>
    <n v="6707.7096488145644"/>
  </r>
  <r>
    <s v="ORD101439"/>
    <d v="2024-02-01T00:00:00"/>
    <x v="2"/>
    <n v="2"/>
    <x v="3"/>
    <x v="1"/>
    <x v="4"/>
    <n v="26463.237310185272"/>
    <n v="37"/>
    <n v="14575.467998968819"/>
    <n v="11887.769311216451"/>
  </r>
  <r>
    <s v="ORD101440"/>
    <d v="2024-02-01T00:00:00"/>
    <x v="2"/>
    <n v="2"/>
    <x v="0"/>
    <x v="0"/>
    <x v="5"/>
    <n v="34569.845236606088"/>
    <n v="6"/>
    <n v="23577.940177567689"/>
    <n v="10991.905059038399"/>
  </r>
  <r>
    <s v="ORD101441"/>
    <d v="2024-02-01T00:00:00"/>
    <x v="2"/>
    <n v="2"/>
    <x v="0"/>
    <x v="1"/>
    <x v="5"/>
    <n v="59418.276112169377"/>
    <n v="11"/>
    <n v="41484.976139803162"/>
    <n v="17933.299972366229"/>
  </r>
  <r>
    <s v="ORD101442"/>
    <d v="2024-02-01T00:00:00"/>
    <x v="2"/>
    <n v="2"/>
    <x v="1"/>
    <x v="0"/>
    <x v="5"/>
    <n v="28631.346772415989"/>
    <n v="5"/>
    <n v="20120.794361819779"/>
    <n v="8510.5524105962068"/>
  </r>
  <r>
    <s v="ORD101443"/>
    <d v="2024-02-01T00:00:00"/>
    <x v="2"/>
    <n v="2"/>
    <x v="1"/>
    <x v="1"/>
    <x v="5"/>
    <n v="51189.634491946112"/>
    <n v="9"/>
    <n v="35702.04436685206"/>
    <n v="15487.59012509405"/>
  </r>
  <r>
    <s v="ORD101444"/>
    <d v="2024-02-01T00:00:00"/>
    <x v="2"/>
    <n v="2"/>
    <x v="2"/>
    <x v="0"/>
    <x v="5"/>
    <n v="18016.274016840871"/>
    <n v="3"/>
    <n v="12793.452431024971"/>
    <n v="5222.8215858159019"/>
  </r>
  <r>
    <s v="ORD101445"/>
    <d v="2024-02-01T00:00:00"/>
    <x v="2"/>
    <n v="2"/>
    <x v="2"/>
    <x v="1"/>
    <x v="5"/>
    <n v="33033.511308441848"/>
    <n v="6"/>
    <n v="22963.72657656236"/>
    <n v="10069.784731879479"/>
  </r>
  <r>
    <s v="ORD101446"/>
    <d v="2024-02-01T00:00:00"/>
    <x v="2"/>
    <n v="2"/>
    <x v="3"/>
    <x v="0"/>
    <x v="5"/>
    <n v="13275.53917301376"/>
    <n v="2"/>
    <n v="8959.4774268299007"/>
    <n v="4316.0617461838629"/>
  </r>
  <r>
    <s v="ORD101447"/>
    <d v="2024-02-01T00:00:00"/>
    <x v="2"/>
    <n v="2"/>
    <x v="3"/>
    <x v="1"/>
    <x v="5"/>
    <n v="24112.209230820899"/>
    <n v="4"/>
    <n v="17045.71969462133"/>
    <n v="7066.4895361995696"/>
  </r>
  <r>
    <s v="ORD101448"/>
    <d v="2024-02-01T00:00:00"/>
    <x v="2"/>
    <n v="2"/>
    <x v="0"/>
    <x v="0"/>
    <x v="6"/>
    <n v="71145.680223456075"/>
    <n v="20"/>
    <n v="41518.715175347883"/>
    <n v="29626.965048108199"/>
  </r>
  <r>
    <s v="ORD101449"/>
    <d v="2024-02-01T00:00:00"/>
    <x v="2"/>
    <n v="2"/>
    <x v="0"/>
    <x v="1"/>
    <x v="6"/>
    <n v="121262.6865618469"/>
    <n v="35"/>
    <n v="72717.430874928308"/>
    <n v="48545.255686918637"/>
  </r>
  <r>
    <s v="ORD101450"/>
    <d v="2024-02-01T00:00:00"/>
    <x v="2"/>
    <n v="2"/>
    <x v="1"/>
    <x v="0"/>
    <x v="6"/>
    <n v="54572.366344924529"/>
    <n v="16"/>
    <n v="33109.767233580496"/>
    <n v="21462.599111344029"/>
  </r>
  <r>
    <s v="ORD101451"/>
    <d v="2024-02-01T00:00:00"/>
    <x v="2"/>
    <n v="2"/>
    <x v="1"/>
    <x v="1"/>
    <x v="6"/>
    <n v="94086.410934387866"/>
    <n v="27"/>
    <n v="55967.304053977503"/>
    <n v="38119.106880410371"/>
  </r>
  <r>
    <s v="ORD101452"/>
    <d v="2024-02-01T00:00:00"/>
    <x v="2"/>
    <n v="2"/>
    <x v="2"/>
    <x v="0"/>
    <x v="6"/>
    <n v="38711.144207669597"/>
    <n v="11"/>
    <n v="22224.485714649261"/>
    <n v="16486.658493020332"/>
  </r>
  <r>
    <s v="ORD101453"/>
    <d v="2024-02-01T00:00:00"/>
    <x v="2"/>
    <n v="2"/>
    <x v="2"/>
    <x v="1"/>
    <x v="6"/>
    <n v="72454.63265105187"/>
    <n v="21"/>
    <n v="42041.698202282147"/>
    <n v="30412.93444876972"/>
  </r>
  <r>
    <s v="ORD101454"/>
    <d v="2024-02-01T00:00:00"/>
    <x v="2"/>
    <n v="2"/>
    <x v="3"/>
    <x v="0"/>
    <x v="6"/>
    <n v="25150.765971350491"/>
    <n v="7"/>
    <n v="15192.258471008499"/>
    <n v="9958.5075003419861"/>
  </r>
  <r>
    <s v="ORD101455"/>
    <d v="2024-02-01T00:00:00"/>
    <x v="2"/>
    <n v="2"/>
    <x v="3"/>
    <x v="1"/>
    <x v="6"/>
    <n v="48630.532318373793"/>
    <n v="14"/>
    <n v="28604.66959927875"/>
    <n v="20025.862719095028"/>
  </r>
  <r>
    <s v="ORD101456"/>
    <d v="2024-03-01T00:00:00"/>
    <x v="2"/>
    <n v="3"/>
    <x v="0"/>
    <x v="0"/>
    <x v="0"/>
    <n v="71569.176441128555"/>
    <n v="14"/>
    <n v="44436.445731463202"/>
    <n v="27132.730709665349"/>
  </r>
  <r>
    <s v="ORD101457"/>
    <d v="2024-03-01T00:00:00"/>
    <x v="2"/>
    <n v="3"/>
    <x v="0"/>
    <x v="1"/>
    <x v="0"/>
    <n v="137435.629875443"/>
    <n v="26"/>
    <n v="86373.961472234121"/>
    <n v="51061.668403208882"/>
  </r>
  <r>
    <s v="ORD101458"/>
    <d v="2024-03-01T00:00:00"/>
    <x v="2"/>
    <n v="3"/>
    <x v="1"/>
    <x v="0"/>
    <x v="0"/>
    <n v="64332.967369006103"/>
    <n v="12"/>
    <n v="40386.368886947683"/>
    <n v="23946.598482058431"/>
  </r>
  <r>
    <s v="ORD101459"/>
    <d v="2024-03-01T00:00:00"/>
    <x v="2"/>
    <n v="3"/>
    <x v="1"/>
    <x v="1"/>
    <x v="0"/>
    <n v="115267.220057246"/>
    <n v="22"/>
    <n v="71824.31954477237"/>
    <n v="43442.9005124736"/>
  </r>
  <r>
    <s v="ORD101460"/>
    <d v="2024-03-01T00:00:00"/>
    <x v="2"/>
    <n v="3"/>
    <x v="2"/>
    <x v="0"/>
    <x v="0"/>
    <n v="41104.048096486818"/>
    <n v="8"/>
    <n v="25388.789219023649"/>
    <n v="15715.258877463169"/>
  </r>
  <r>
    <s v="ORD101461"/>
    <d v="2024-03-01T00:00:00"/>
    <x v="2"/>
    <n v="3"/>
    <x v="2"/>
    <x v="1"/>
    <x v="0"/>
    <n v="78211.860231731247"/>
    <n v="15"/>
    <n v="48218.442454207718"/>
    <n v="29993.417777523518"/>
  </r>
  <r>
    <s v="ORD101462"/>
    <d v="2024-03-01T00:00:00"/>
    <x v="2"/>
    <n v="3"/>
    <x v="3"/>
    <x v="0"/>
    <x v="0"/>
    <n v="29920.006715782871"/>
    <n v="6"/>
    <n v="18836.86282271962"/>
    <n v="11083.14389306325"/>
  </r>
  <r>
    <s v="ORD101463"/>
    <d v="2024-03-01T00:00:00"/>
    <x v="2"/>
    <n v="3"/>
    <x v="3"/>
    <x v="1"/>
    <x v="0"/>
    <n v="59084.230242177036"/>
    <n v="11"/>
    <n v="36997.235432805654"/>
    <n v="22086.99480937139"/>
  </r>
  <r>
    <s v="ORD101464"/>
    <d v="2024-03-01T00:00:00"/>
    <x v="2"/>
    <n v="3"/>
    <x v="0"/>
    <x v="0"/>
    <x v="1"/>
    <n v="86649.386575849217"/>
    <n v="14"/>
    <n v="56923.731879892854"/>
    <n v="29725.65469595636"/>
  </r>
  <r>
    <s v="ORD101465"/>
    <d v="2024-03-01T00:00:00"/>
    <x v="2"/>
    <n v="3"/>
    <x v="0"/>
    <x v="1"/>
    <x v="1"/>
    <n v="148646.33808983499"/>
    <n v="24"/>
    <n v="100017.5052881039"/>
    <n v="48628.8328017311"/>
  </r>
  <r>
    <s v="ORD101466"/>
    <d v="2024-03-01T00:00:00"/>
    <x v="2"/>
    <n v="3"/>
    <x v="1"/>
    <x v="0"/>
    <x v="1"/>
    <n v="73693.521319827152"/>
    <n v="12"/>
    <n v="48524.757408712008"/>
    <n v="25168.76391111514"/>
  </r>
  <r>
    <s v="ORD101467"/>
    <d v="2024-03-01T00:00:00"/>
    <x v="2"/>
    <n v="3"/>
    <x v="1"/>
    <x v="1"/>
    <x v="1"/>
    <n v="128220.55298532369"/>
    <n v="21"/>
    <n v="83328.261902309547"/>
    <n v="44892.291083014148"/>
  </r>
  <r>
    <s v="ORD101468"/>
    <d v="2024-03-01T00:00:00"/>
    <x v="2"/>
    <n v="3"/>
    <x v="2"/>
    <x v="0"/>
    <x v="1"/>
    <n v="46363.49572511686"/>
    <n v="8"/>
    <n v="30181.86738569849"/>
    <n v="16181.62833941837"/>
  </r>
  <r>
    <s v="ORD101469"/>
    <d v="2024-03-01T00:00:00"/>
    <x v="2"/>
    <n v="3"/>
    <x v="2"/>
    <x v="1"/>
    <x v="1"/>
    <n v="83850.577508795919"/>
    <n v="14"/>
    <n v="54366.413501655843"/>
    <n v="29484.16400714008"/>
  </r>
  <r>
    <s v="ORD101470"/>
    <d v="2024-03-01T00:00:00"/>
    <x v="2"/>
    <n v="3"/>
    <x v="3"/>
    <x v="0"/>
    <x v="1"/>
    <n v="33333.081953772853"/>
    <n v="5"/>
    <n v="21891.960536437338"/>
    <n v="11441.1214173355"/>
  </r>
  <r>
    <s v="ORD101471"/>
    <d v="2024-03-01T00:00:00"/>
    <x v="2"/>
    <n v="3"/>
    <x v="3"/>
    <x v="1"/>
    <x v="1"/>
    <n v="65741.459966328752"/>
    <n v="11"/>
    <n v="44352.91278059125"/>
    <n v="21388.547185737501"/>
  </r>
  <r>
    <s v="ORD101472"/>
    <d v="2024-03-01T00:00:00"/>
    <x v="2"/>
    <n v="3"/>
    <x v="0"/>
    <x v="0"/>
    <x v="2"/>
    <n v="55638.097533606458"/>
    <n v="13"/>
    <n v="35092.355953854872"/>
    <n v="20545.74157975159"/>
  </r>
  <r>
    <s v="ORD101473"/>
    <d v="2024-03-01T00:00:00"/>
    <x v="2"/>
    <n v="3"/>
    <x v="0"/>
    <x v="1"/>
    <x v="2"/>
    <n v="95628.350729502738"/>
    <n v="22"/>
    <n v="61409.776640459793"/>
    <n v="34218.574089042937"/>
  </r>
  <r>
    <s v="ORD101474"/>
    <d v="2024-03-01T00:00:00"/>
    <x v="2"/>
    <n v="3"/>
    <x v="1"/>
    <x v="0"/>
    <x v="2"/>
    <n v="44138.328557833593"/>
    <n v="10"/>
    <n v="27914.62111748763"/>
    <n v="16223.707440345959"/>
  </r>
  <r>
    <s v="ORD101475"/>
    <d v="2024-03-01T00:00:00"/>
    <x v="2"/>
    <n v="3"/>
    <x v="1"/>
    <x v="1"/>
    <x v="2"/>
    <n v="80893.268194154007"/>
    <n v="19"/>
    <n v="51529.112134754047"/>
    <n v="29364.15605939996"/>
  </r>
  <r>
    <s v="ORD101476"/>
    <d v="2024-03-01T00:00:00"/>
    <x v="2"/>
    <n v="3"/>
    <x v="2"/>
    <x v="0"/>
    <x v="2"/>
    <n v="30639.326761219399"/>
    <n v="7"/>
    <n v="19076.177363913452"/>
    <n v="11563.14939730595"/>
  </r>
  <r>
    <s v="ORD101477"/>
    <d v="2024-03-01T00:00:00"/>
    <x v="2"/>
    <n v="3"/>
    <x v="2"/>
    <x v="1"/>
    <x v="2"/>
    <n v="57883.853629027653"/>
    <n v="13"/>
    <n v="36898.606580901003"/>
    <n v="20985.24704812665"/>
  </r>
  <r>
    <s v="ORD101478"/>
    <d v="2024-03-01T00:00:00"/>
    <x v="2"/>
    <n v="3"/>
    <x v="3"/>
    <x v="0"/>
    <x v="2"/>
    <n v="23003.751447944709"/>
    <n v="5"/>
    <n v="14671.06837794802"/>
    <n v="8332.683069996694"/>
  </r>
  <r>
    <s v="ORD101479"/>
    <d v="2024-03-01T00:00:00"/>
    <x v="2"/>
    <n v="3"/>
    <x v="3"/>
    <x v="1"/>
    <x v="2"/>
    <n v="44086.746523815083"/>
    <n v="10"/>
    <n v="28489.918848838039"/>
    <n v="15596.827674977039"/>
  </r>
  <r>
    <s v="ORD101480"/>
    <d v="2024-03-01T00:00:00"/>
    <x v="2"/>
    <n v="3"/>
    <x v="0"/>
    <x v="0"/>
    <x v="3"/>
    <n v="49498.329822760919"/>
    <n v="58"/>
    <n v="23854.687873888739"/>
    <n v="25643.64194887218"/>
  </r>
  <r>
    <s v="ORD101481"/>
    <d v="2024-03-01T00:00:00"/>
    <x v="2"/>
    <n v="3"/>
    <x v="0"/>
    <x v="1"/>
    <x v="3"/>
    <n v="91163.606966714346"/>
    <n v="107"/>
    <n v="42814.613515504287"/>
    <n v="48348.993451210059"/>
  </r>
  <r>
    <s v="ORD101482"/>
    <d v="2024-03-01T00:00:00"/>
    <x v="2"/>
    <n v="3"/>
    <x v="1"/>
    <x v="0"/>
    <x v="3"/>
    <n v="42538.551992965688"/>
    <n v="50"/>
    <n v="20816.983686582909"/>
    <n v="21721.568306382778"/>
  </r>
  <r>
    <s v="ORD101483"/>
    <d v="2024-03-01T00:00:00"/>
    <x v="2"/>
    <n v="3"/>
    <x v="1"/>
    <x v="1"/>
    <x v="3"/>
    <n v="84444.08406686355"/>
    <n v="99"/>
    <n v="40686.596795427817"/>
    <n v="43757.487271435733"/>
  </r>
  <r>
    <s v="ORD101484"/>
    <d v="2024-03-01T00:00:00"/>
    <x v="2"/>
    <n v="3"/>
    <x v="2"/>
    <x v="0"/>
    <x v="3"/>
    <n v="28639.426182324569"/>
    <n v="34"/>
    <n v="13796.01598039161"/>
    <n v="14843.41020193296"/>
  </r>
  <r>
    <s v="ORD101485"/>
    <d v="2024-03-01T00:00:00"/>
    <x v="2"/>
    <n v="3"/>
    <x v="2"/>
    <x v="1"/>
    <x v="3"/>
    <n v="51424.13606249135"/>
    <n v="60"/>
    <n v="24679.505548739529"/>
    <n v="26744.630513751821"/>
  </r>
  <r>
    <s v="ORD101486"/>
    <d v="2024-03-01T00:00:00"/>
    <x v="2"/>
    <n v="3"/>
    <x v="3"/>
    <x v="0"/>
    <x v="3"/>
    <n v="21988.168385186891"/>
    <n v="26"/>
    <n v="10455.95841715544"/>
    <n v="11532.20996803145"/>
  </r>
  <r>
    <s v="ORD101487"/>
    <d v="2024-03-01T00:00:00"/>
    <x v="2"/>
    <n v="3"/>
    <x v="3"/>
    <x v="1"/>
    <x v="3"/>
    <n v="39905.099458980003"/>
    <n v="47"/>
    <n v="19229.54164393021"/>
    <n v="20675.557815049779"/>
  </r>
  <r>
    <s v="ORD101488"/>
    <d v="2024-03-01T00:00:00"/>
    <x v="2"/>
    <n v="3"/>
    <x v="0"/>
    <x v="0"/>
    <x v="4"/>
    <n v="45673.216868501673"/>
    <n v="63"/>
    <n v="25335.313650041659"/>
    <n v="20337.90321846"/>
  </r>
  <r>
    <s v="ORD101489"/>
    <d v="2024-03-01T00:00:00"/>
    <x v="2"/>
    <n v="3"/>
    <x v="0"/>
    <x v="1"/>
    <x v="4"/>
    <n v="78897.293785019428"/>
    <n v="110"/>
    <n v="42029.040690299124"/>
    <n v="36868.253094720298"/>
  </r>
  <r>
    <s v="ORD101490"/>
    <d v="2024-03-01T00:00:00"/>
    <x v="2"/>
    <n v="3"/>
    <x v="1"/>
    <x v="0"/>
    <x v="4"/>
    <n v="34491.154606596261"/>
    <n v="48"/>
    <n v="18786.168448592802"/>
    <n v="15704.986158003459"/>
  </r>
  <r>
    <s v="ORD101491"/>
    <d v="2024-03-01T00:00:00"/>
    <x v="2"/>
    <n v="3"/>
    <x v="1"/>
    <x v="1"/>
    <x v="4"/>
    <n v="65084.576007603457"/>
    <n v="90"/>
    <n v="35632.244960997807"/>
    <n v="29452.33104660565"/>
  </r>
  <r>
    <s v="ORD101492"/>
    <d v="2024-03-01T00:00:00"/>
    <x v="2"/>
    <n v="3"/>
    <x v="2"/>
    <x v="0"/>
    <x v="4"/>
    <n v="26228.23634432019"/>
    <n v="36"/>
    <n v="14492.047130963219"/>
    <n v="11736.18921335698"/>
  </r>
  <r>
    <s v="ORD101493"/>
    <d v="2024-03-01T00:00:00"/>
    <x v="2"/>
    <n v="3"/>
    <x v="2"/>
    <x v="1"/>
    <x v="4"/>
    <n v="43067.296192231574"/>
    <n v="60"/>
    <n v="24195.800423290329"/>
    <n v="18871.495768941251"/>
  </r>
  <r>
    <s v="ORD101494"/>
    <d v="2024-03-01T00:00:00"/>
    <x v="2"/>
    <n v="3"/>
    <x v="3"/>
    <x v="0"/>
    <x v="4"/>
    <n v="16950.429518509391"/>
    <n v="24"/>
    <n v="9193.2309861648064"/>
    <n v="7757.1985323445842"/>
  </r>
  <r>
    <s v="ORD101495"/>
    <d v="2024-03-01T00:00:00"/>
    <x v="2"/>
    <n v="3"/>
    <x v="3"/>
    <x v="1"/>
    <x v="4"/>
    <n v="33590.226999552193"/>
    <n v="47"/>
    <n v="18309.031000183601"/>
    <n v="15281.19599936858"/>
  </r>
  <r>
    <s v="ORD101496"/>
    <d v="2024-03-01T00:00:00"/>
    <x v="2"/>
    <n v="3"/>
    <x v="0"/>
    <x v="0"/>
    <x v="5"/>
    <n v="35194.9072417836"/>
    <n v="7"/>
    <n v="24060.446703038589"/>
    <n v="11134.46053874501"/>
  </r>
  <r>
    <s v="ORD101497"/>
    <d v="2024-03-01T00:00:00"/>
    <x v="2"/>
    <n v="3"/>
    <x v="0"/>
    <x v="1"/>
    <x v="5"/>
    <n v="75686.640380474622"/>
    <n v="14"/>
    <n v="51470.323426123978"/>
    <n v="24216.316954350641"/>
  </r>
  <r>
    <s v="ORD101498"/>
    <d v="2024-03-01T00:00:00"/>
    <x v="2"/>
    <n v="3"/>
    <x v="1"/>
    <x v="0"/>
    <x v="5"/>
    <n v="31584.231832247151"/>
    <n v="6"/>
    <n v="21656.926979367439"/>
    <n v="9927.3048528797081"/>
  </r>
  <r>
    <s v="ORD101499"/>
    <d v="2024-03-01T00:00:00"/>
    <x v="2"/>
    <n v="3"/>
    <x v="1"/>
    <x v="1"/>
    <x v="5"/>
    <n v="60775.40410393387"/>
    <n v="11"/>
    <n v="42516.853871451771"/>
    <n v="18258.550232482099"/>
  </r>
  <r>
    <s v="ORD101500"/>
    <d v="2024-03-01T00:00:00"/>
    <x v="2"/>
    <n v="3"/>
    <x v="2"/>
    <x v="0"/>
    <x v="5"/>
    <n v="21889.99567470856"/>
    <n v="4"/>
    <n v="14817.58681146149"/>
    <n v="7072.4088632470721"/>
  </r>
  <r>
    <s v="ORD101501"/>
    <d v="2024-03-01T00:00:00"/>
    <x v="2"/>
    <n v="3"/>
    <x v="2"/>
    <x v="1"/>
    <x v="5"/>
    <n v="39775.489334541489"/>
    <n v="7"/>
    <n v="27656.432905075289"/>
    <n v="12119.0564294662"/>
  </r>
  <r>
    <s v="ORD101502"/>
    <d v="2024-03-01T00:00:00"/>
    <x v="2"/>
    <n v="3"/>
    <x v="3"/>
    <x v="0"/>
    <x v="5"/>
    <n v="16843.944861477939"/>
    <n v="3"/>
    <n v="11266.28095267985"/>
    <n v="5577.6639087980857"/>
  </r>
  <r>
    <s v="ORD101503"/>
    <d v="2024-03-01T00:00:00"/>
    <x v="2"/>
    <n v="3"/>
    <x v="3"/>
    <x v="1"/>
    <x v="5"/>
    <n v="29861.52833574023"/>
    <n v="6"/>
    <n v="20396.265413416109"/>
    <n v="9465.2629223241238"/>
  </r>
  <r>
    <s v="ORD101504"/>
    <d v="2024-03-01T00:00:00"/>
    <x v="2"/>
    <n v="3"/>
    <x v="0"/>
    <x v="0"/>
    <x v="6"/>
    <n v="79713.807637472826"/>
    <n v="23"/>
    <n v="46752.213834195521"/>
    <n v="32961.593803277297"/>
  </r>
  <r>
    <s v="ORD101505"/>
    <d v="2024-03-01T00:00:00"/>
    <x v="2"/>
    <n v="3"/>
    <x v="0"/>
    <x v="1"/>
    <x v="6"/>
    <n v="150601.82810036599"/>
    <n v="43"/>
    <n v="91533.834760442842"/>
    <n v="59067.993339923123"/>
  </r>
  <r>
    <s v="ORD101506"/>
    <d v="2024-03-01T00:00:00"/>
    <x v="2"/>
    <n v="3"/>
    <x v="1"/>
    <x v="0"/>
    <x v="6"/>
    <n v="67165.984114422405"/>
    <n v="19"/>
    <n v="39431.913387466877"/>
    <n v="27734.070726955531"/>
  </r>
  <r>
    <s v="ORD101507"/>
    <d v="2024-03-01T00:00:00"/>
    <x v="2"/>
    <n v="3"/>
    <x v="1"/>
    <x v="1"/>
    <x v="6"/>
    <n v="119805.83988746841"/>
    <n v="34"/>
    <n v="67884.719771927586"/>
    <n v="51921.12011554082"/>
  </r>
  <r>
    <s v="ORD101508"/>
    <d v="2024-03-01T00:00:00"/>
    <x v="2"/>
    <n v="3"/>
    <x v="2"/>
    <x v="0"/>
    <x v="6"/>
    <n v="44533.678657400364"/>
    <n v="13"/>
    <n v="25329.500562091202"/>
    <n v="19204.178095309151"/>
  </r>
  <r>
    <s v="ORD101509"/>
    <d v="2024-03-01T00:00:00"/>
    <x v="2"/>
    <n v="3"/>
    <x v="2"/>
    <x v="1"/>
    <x v="6"/>
    <n v="77046.793843237654"/>
    <n v="22"/>
    <n v="45485.452632473229"/>
    <n v="31561.341210764429"/>
  </r>
  <r>
    <s v="ORD101510"/>
    <d v="2024-03-01T00:00:00"/>
    <x v="2"/>
    <n v="3"/>
    <x v="3"/>
    <x v="0"/>
    <x v="6"/>
    <n v="33497.421853806409"/>
    <n v="10"/>
    <n v="19981.823346117781"/>
    <n v="13515.598507688621"/>
  </r>
  <r>
    <s v="ORD101511"/>
    <d v="2024-03-01T00:00:00"/>
    <x v="2"/>
    <n v="3"/>
    <x v="3"/>
    <x v="1"/>
    <x v="6"/>
    <n v="59006.006997730627"/>
    <n v="17"/>
    <n v="35048.821211882751"/>
    <n v="23957.18578584788"/>
  </r>
  <r>
    <s v="ORD101512"/>
    <d v="2024-04-01T00:00:00"/>
    <x v="2"/>
    <n v="4"/>
    <x v="0"/>
    <x v="0"/>
    <x v="0"/>
    <n v="77680.483302372362"/>
    <n v="15"/>
    <n v="48307.168550621922"/>
    <n v="29373.31475175044"/>
  </r>
  <r>
    <s v="ORD101513"/>
    <d v="2024-04-01T00:00:00"/>
    <x v="2"/>
    <n v="4"/>
    <x v="0"/>
    <x v="1"/>
    <x v="0"/>
    <n v="147636.9183989189"/>
    <n v="28"/>
    <n v="93449.860874294885"/>
    <n v="54187.05752462399"/>
  </r>
  <r>
    <s v="ORD101514"/>
    <d v="2024-04-01T00:00:00"/>
    <x v="2"/>
    <n v="4"/>
    <x v="1"/>
    <x v="0"/>
    <x v="0"/>
    <n v="63152.877646481669"/>
    <n v="12"/>
    <n v="38774.487740918259"/>
    <n v="24378.38990556341"/>
  </r>
  <r>
    <s v="ORD101515"/>
    <d v="2024-04-01T00:00:00"/>
    <x v="2"/>
    <n v="4"/>
    <x v="1"/>
    <x v="1"/>
    <x v="0"/>
    <n v="119659.2705168789"/>
    <n v="23"/>
    <n v="75383.809002987095"/>
    <n v="44275.461513891787"/>
  </r>
  <r>
    <s v="ORD101516"/>
    <d v="2024-04-01T00:00:00"/>
    <x v="2"/>
    <n v="4"/>
    <x v="2"/>
    <x v="0"/>
    <x v="0"/>
    <n v="42248.970861813526"/>
    <n v="8"/>
    <n v="25424.869339873821"/>
    <n v="16824.101521939701"/>
  </r>
  <r>
    <s v="ORD101517"/>
    <d v="2024-04-01T00:00:00"/>
    <x v="2"/>
    <n v="4"/>
    <x v="2"/>
    <x v="1"/>
    <x v="0"/>
    <n v="87446.434126884182"/>
    <n v="17"/>
    <n v="53333.648573224251"/>
    <n v="34112.785553659931"/>
  </r>
  <r>
    <s v="ORD101518"/>
    <d v="2024-04-01T00:00:00"/>
    <x v="2"/>
    <n v="4"/>
    <x v="3"/>
    <x v="0"/>
    <x v="0"/>
    <n v="30436.787082377181"/>
    <n v="6"/>
    <n v="18257.002029551601"/>
    <n v="12179.78505282558"/>
  </r>
  <r>
    <s v="ORD101519"/>
    <d v="2024-04-01T00:00:00"/>
    <x v="2"/>
    <n v="4"/>
    <x v="3"/>
    <x v="1"/>
    <x v="0"/>
    <n v="60695.968405628533"/>
    <n v="12"/>
    <n v="37445.329272675168"/>
    <n v="23250.639132953362"/>
  </r>
  <r>
    <s v="ORD101520"/>
    <d v="2024-04-01T00:00:00"/>
    <x v="2"/>
    <n v="4"/>
    <x v="0"/>
    <x v="0"/>
    <x v="1"/>
    <n v="86644.916681342904"/>
    <n v="14"/>
    <n v="57138.026413816748"/>
    <n v="29506.89026752616"/>
  </r>
  <r>
    <s v="ORD101521"/>
    <d v="2024-04-01T00:00:00"/>
    <x v="2"/>
    <n v="4"/>
    <x v="0"/>
    <x v="1"/>
    <x v="1"/>
    <n v="162025.13351176589"/>
    <n v="27"/>
    <n v="107156.2173547667"/>
    <n v="54868.916156999112"/>
  </r>
  <r>
    <s v="ORD101522"/>
    <d v="2024-04-01T00:00:00"/>
    <x v="2"/>
    <n v="4"/>
    <x v="1"/>
    <x v="0"/>
    <x v="1"/>
    <n v="65957.163451030196"/>
    <n v="11"/>
    <n v="43580.217884684673"/>
    <n v="22376.94556634553"/>
  </r>
  <r>
    <s v="ORD101523"/>
    <d v="2024-04-01T00:00:00"/>
    <x v="2"/>
    <n v="4"/>
    <x v="1"/>
    <x v="1"/>
    <x v="1"/>
    <n v="121927.8000614636"/>
    <n v="20"/>
    <n v="79128.784940227139"/>
    <n v="42799.015121236458"/>
  </r>
  <r>
    <s v="ORD101524"/>
    <d v="2024-04-01T00:00:00"/>
    <x v="2"/>
    <n v="4"/>
    <x v="2"/>
    <x v="0"/>
    <x v="1"/>
    <n v="45589.438190978573"/>
    <n v="7"/>
    <n v="29985.994284218679"/>
    <n v="15603.443906759891"/>
  </r>
  <r>
    <s v="ORD101525"/>
    <d v="2024-04-01T00:00:00"/>
    <x v="2"/>
    <n v="4"/>
    <x v="2"/>
    <x v="1"/>
    <x v="1"/>
    <n v="90057.19955419148"/>
    <n v="15"/>
    <n v="57835.664166704497"/>
    <n v="32221.53538748698"/>
  </r>
  <r>
    <s v="ORD101526"/>
    <d v="2024-04-01T00:00:00"/>
    <x v="2"/>
    <n v="4"/>
    <x v="3"/>
    <x v="0"/>
    <x v="1"/>
    <n v="35943.24334136564"/>
    <n v="6"/>
    <n v="24304.647190205491"/>
    <n v="11638.596151160151"/>
  </r>
  <r>
    <s v="ORD101527"/>
    <d v="2024-04-01T00:00:00"/>
    <x v="2"/>
    <n v="4"/>
    <x v="3"/>
    <x v="1"/>
    <x v="1"/>
    <n v="62631.871148011647"/>
    <n v="10"/>
    <n v="41111.11692907758"/>
    <n v="21520.754218934071"/>
  </r>
  <r>
    <s v="ORD101528"/>
    <d v="2024-04-01T00:00:00"/>
    <x v="2"/>
    <n v="4"/>
    <x v="0"/>
    <x v="0"/>
    <x v="2"/>
    <n v="58338.241639338528"/>
    <n v="14"/>
    <n v="37007.915533756488"/>
    <n v="21330.32610558204"/>
  </r>
  <r>
    <s v="ORD101529"/>
    <d v="2024-04-01T00:00:00"/>
    <x v="2"/>
    <n v="4"/>
    <x v="0"/>
    <x v="1"/>
    <x v="2"/>
    <n v="101485.6865250148"/>
    <n v="24"/>
    <n v="66808.493520924501"/>
    <n v="34677.193004090303"/>
  </r>
  <r>
    <s v="ORD101530"/>
    <d v="2024-04-01T00:00:00"/>
    <x v="2"/>
    <n v="4"/>
    <x v="1"/>
    <x v="0"/>
    <x v="2"/>
    <n v="41706.581110778723"/>
    <n v="10"/>
    <n v="26095.362371955031"/>
    <n v="15611.218738823691"/>
  </r>
  <r>
    <s v="ORD101531"/>
    <d v="2024-04-01T00:00:00"/>
    <x v="2"/>
    <n v="4"/>
    <x v="1"/>
    <x v="1"/>
    <x v="2"/>
    <n v="74090.952487635499"/>
    <n v="17"/>
    <n v="46457.489729714958"/>
    <n v="27633.462757920541"/>
  </r>
  <r>
    <s v="ORD101532"/>
    <d v="2024-04-01T00:00:00"/>
    <x v="2"/>
    <n v="4"/>
    <x v="2"/>
    <x v="0"/>
    <x v="2"/>
    <n v="27798.64705145104"/>
    <n v="6"/>
    <n v="17440.080062221681"/>
    <n v="10358.566989229361"/>
  </r>
  <r>
    <s v="ORD101533"/>
    <d v="2024-04-01T00:00:00"/>
    <x v="2"/>
    <n v="4"/>
    <x v="2"/>
    <x v="1"/>
    <x v="2"/>
    <n v="58387.882972451793"/>
    <n v="14"/>
    <n v="37322.592882687059"/>
    <n v="21065.290089764731"/>
  </r>
  <r>
    <s v="ORD101534"/>
    <d v="2024-04-01T00:00:00"/>
    <x v="2"/>
    <n v="4"/>
    <x v="3"/>
    <x v="0"/>
    <x v="2"/>
    <n v="24955.785839282689"/>
    <n v="6"/>
    <n v="16095.79299614414"/>
    <n v="8859.9928431385415"/>
  </r>
  <r>
    <s v="ORD101535"/>
    <d v="2024-04-01T00:00:00"/>
    <x v="2"/>
    <n v="4"/>
    <x v="3"/>
    <x v="1"/>
    <x v="2"/>
    <n v="42382.199461962948"/>
    <n v="10"/>
    <n v="27485.748979230069"/>
    <n v="14896.45048273288"/>
  </r>
  <r>
    <s v="ORD101536"/>
    <d v="2024-04-01T00:00:00"/>
    <x v="2"/>
    <n v="4"/>
    <x v="0"/>
    <x v="0"/>
    <x v="3"/>
    <n v="55774.921267581864"/>
    <n v="66"/>
    <n v="28011.394714363942"/>
    <n v="27763.526553217918"/>
  </r>
  <r>
    <s v="ORD101537"/>
    <d v="2024-04-01T00:00:00"/>
    <x v="2"/>
    <n v="4"/>
    <x v="0"/>
    <x v="1"/>
    <x v="3"/>
    <n v="93282.481911058989"/>
    <n v="110"/>
    <n v="42962.637288535007"/>
    <n v="50319.844622523968"/>
  </r>
  <r>
    <s v="ORD101538"/>
    <d v="2024-04-01T00:00:00"/>
    <x v="2"/>
    <n v="4"/>
    <x v="1"/>
    <x v="0"/>
    <x v="3"/>
    <n v="45531.224007724522"/>
    <n v="54"/>
    <n v="22094.457880407681"/>
    <n v="23436.766127316831"/>
  </r>
  <r>
    <s v="ORD101539"/>
    <d v="2024-04-01T00:00:00"/>
    <x v="2"/>
    <n v="4"/>
    <x v="1"/>
    <x v="1"/>
    <x v="3"/>
    <n v="76015.195313265853"/>
    <n v="89"/>
    <n v="36121.386386910053"/>
    <n v="39893.808926355807"/>
  </r>
  <r>
    <s v="ORD101540"/>
    <d v="2024-04-01T00:00:00"/>
    <x v="2"/>
    <n v="4"/>
    <x v="2"/>
    <x v="0"/>
    <x v="3"/>
    <n v="28869.528707596859"/>
    <n v="34"/>
    <n v="13711.102649298909"/>
    <n v="15158.42605829794"/>
  </r>
  <r>
    <s v="ORD101541"/>
    <d v="2024-04-01T00:00:00"/>
    <x v="2"/>
    <n v="4"/>
    <x v="2"/>
    <x v="1"/>
    <x v="3"/>
    <n v="53349.037074015148"/>
    <n v="63"/>
    <n v="25321.862707947512"/>
    <n v="28027.17436606764"/>
  </r>
  <r>
    <s v="ORD101542"/>
    <d v="2024-04-01T00:00:00"/>
    <x v="2"/>
    <n v="4"/>
    <x v="3"/>
    <x v="0"/>
    <x v="3"/>
    <n v="19647.11584193489"/>
    <n v="23"/>
    <n v="9276.3509702432984"/>
    <n v="10370.764871691599"/>
  </r>
  <r>
    <s v="ORD101543"/>
    <d v="2024-04-01T00:00:00"/>
    <x v="2"/>
    <n v="4"/>
    <x v="3"/>
    <x v="1"/>
    <x v="3"/>
    <n v="37085.779595456552"/>
    <n v="44"/>
    <n v="18340.93156644563"/>
    <n v="18744.848029010918"/>
  </r>
  <r>
    <s v="ORD101544"/>
    <d v="2024-04-01T00:00:00"/>
    <x v="2"/>
    <n v="4"/>
    <x v="0"/>
    <x v="0"/>
    <x v="4"/>
    <n v="44131.993264714729"/>
    <n v="61"/>
    <n v="24640.601669223492"/>
    <n v="19491.391595491241"/>
  </r>
  <r>
    <s v="ORD101545"/>
    <d v="2024-04-01T00:00:00"/>
    <x v="2"/>
    <n v="4"/>
    <x v="0"/>
    <x v="1"/>
    <x v="4"/>
    <n v="82917.107533586226"/>
    <n v="115"/>
    <n v="45623.450243611478"/>
    <n v="37293.657289974748"/>
  </r>
  <r>
    <s v="ORD101546"/>
    <d v="2024-04-01T00:00:00"/>
    <x v="2"/>
    <n v="4"/>
    <x v="1"/>
    <x v="0"/>
    <x v="4"/>
    <n v="34225.01269777507"/>
    <n v="48"/>
    <n v="19281.518443485529"/>
    <n v="14943.494254289541"/>
  </r>
  <r>
    <s v="ORD101547"/>
    <d v="2024-04-01T00:00:00"/>
    <x v="2"/>
    <n v="4"/>
    <x v="1"/>
    <x v="1"/>
    <x v="4"/>
    <n v="61302.926657676027"/>
    <n v="85"/>
    <n v="32798.657384671278"/>
    <n v="28504.269273004749"/>
  </r>
  <r>
    <s v="ORD101548"/>
    <d v="2024-04-01T00:00:00"/>
    <x v="2"/>
    <n v="4"/>
    <x v="2"/>
    <x v="0"/>
    <x v="4"/>
    <n v="24664.9377214823"/>
    <n v="34"/>
    <n v="13240.780330834919"/>
    <n v="11424.15739064738"/>
  </r>
  <r>
    <s v="ORD101549"/>
    <d v="2024-04-01T00:00:00"/>
    <x v="2"/>
    <n v="4"/>
    <x v="2"/>
    <x v="1"/>
    <x v="4"/>
    <n v="41033.637019754897"/>
    <n v="57"/>
    <n v="21683.737980965401"/>
    <n v="19349.899038789499"/>
  </r>
  <r>
    <s v="ORD101550"/>
    <d v="2024-04-01T00:00:00"/>
    <x v="2"/>
    <n v="4"/>
    <x v="3"/>
    <x v="0"/>
    <x v="4"/>
    <n v="16984.822433855959"/>
    <n v="24"/>
    <n v="9224.0459640814352"/>
    <n v="7760.7764697745279"/>
  </r>
  <r>
    <s v="ORD101551"/>
    <d v="2024-04-01T00:00:00"/>
    <x v="2"/>
    <n v="4"/>
    <x v="3"/>
    <x v="1"/>
    <x v="4"/>
    <n v="31141.849839157308"/>
    <n v="43"/>
    <n v="17177.86976479126"/>
    <n v="13963.980074366051"/>
  </r>
  <r>
    <s v="ORD101552"/>
    <d v="2024-04-01T00:00:00"/>
    <x v="2"/>
    <n v="4"/>
    <x v="0"/>
    <x v="0"/>
    <x v="5"/>
    <n v="34634.700065716861"/>
    <n v="6"/>
    <n v="23942.188997213369"/>
    <n v="10692.511068503491"/>
  </r>
  <r>
    <s v="ORD101553"/>
    <d v="2024-04-01T00:00:00"/>
    <x v="2"/>
    <n v="4"/>
    <x v="0"/>
    <x v="1"/>
    <x v="5"/>
    <n v="66985.944523072438"/>
    <n v="12"/>
    <n v="46344.549028317771"/>
    <n v="20641.39549475467"/>
  </r>
  <r>
    <s v="ORD101554"/>
    <d v="2024-04-01T00:00:00"/>
    <x v="2"/>
    <n v="4"/>
    <x v="1"/>
    <x v="0"/>
    <x v="5"/>
    <n v="29448.306945167449"/>
    <n v="5"/>
    <n v="19803.240617460939"/>
    <n v="9645.0663277065105"/>
  </r>
  <r>
    <s v="ORD101555"/>
    <d v="2024-04-01T00:00:00"/>
    <x v="2"/>
    <n v="4"/>
    <x v="1"/>
    <x v="1"/>
    <x v="5"/>
    <n v="56266.7557738791"/>
    <n v="10"/>
    <n v="39385.332607927667"/>
    <n v="16881.42316595143"/>
  </r>
  <r>
    <s v="ORD101556"/>
    <d v="2024-04-01T00:00:00"/>
    <x v="2"/>
    <n v="4"/>
    <x v="2"/>
    <x v="0"/>
    <x v="5"/>
    <n v="18996.28275662924"/>
    <n v="4"/>
    <n v="13163.97134066597"/>
    <n v="5832.311415963266"/>
  </r>
  <r>
    <s v="ORD101557"/>
    <d v="2024-04-01T00:00:00"/>
    <x v="2"/>
    <n v="4"/>
    <x v="2"/>
    <x v="1"/>
    <x v="5"/>
    <n v="38759.814013209027"/>
    <n v="7"/>
    <n v="27097.161720445441"/>
    <n v="11662.652292763591"/>
  </r>
  <r>
    <s v="ORD101558"/>
    <d v="2024-04-01T00:00:00"/>
    <x v="2"/>
    <n v="4"/>
    <x v="3"/>
    <x v="0"/>
    <x v="5"/>
    <n v="14493.259654857549"/>
    <n v="3"/>
    <n v="9659.6400740392583"/>
    <n v="4833.6195808182911"/>
  </r>
  <r>
    <s v="ORD101559"/>
    <d v="2024-04-01T00:00:00"/>
    <x v="2"/>
    <n v="4"/>
    <x v="3"/>
    <x v="1"/>
    <x v="5"/>
    <n v="29770.538146920779"/>
    <n v="6"/>
    <n v="20656.84509251401"/>
    <n v="9113.6930544067727"/>
  </r>
  <r>
    <s v="ORD101560"/>
    <d v="2024-04-01T00:00:00"/>
    <x v="2"/>
    <n v="4"/>
    <x v="0"/>
    <x v="0"/>
    <x v="6"/>
    <n v="76851.79792021247"/>
    <n v="22"/>
    <n v="44373.147056576643"/>
    <n v="32478.65086363583"/>
  </r>
  <r>
    <s v="ORD101561"/>
    <d v="2024-04-01T00:00:00"/>
    <x v="2"/>
    <n v="4"/>
    <x v="0"/>
    <x v="1"/>
    <x v="6"/>
    <n v="157354.83449137179"/>
    <n v="45"/>
    <n v="92175.382147981698"/>
    <n v="65179.452343390149"/>
  </r>
  <r>
    <s v="ORD101562"/>
    <d v="2024-04-01T00:00:00"/>
    <x v="2"/>
    <n v="4"/>
    <x v="1"/>
    <x v="0"/>
    <x v="6"/>
    <n v="63031.192457619713"/>
    <n v="18"/>
    <n v="37546.102744877593"/>
    <n v="25485.089712742119"/>
  </r>
  <r>
    <s v="ORD101563"/>
    <d v="2024-04-01T00:00:00"/>
    <x v="2"/>
    <n v="4"/>
    <x v="1"/>
    <x v="1"/>
    <x v="6"/>
    <n v="123056.5172583456"/>
    <n v="35"/>
    <n v="72722.391792124297"/>
    <n v="50334.125466221332"/>
  </r>
  <r>
    <s v="ORD101564"/>
    <d v="2024-04-01T00:00:00"/>
    <x v="2"/>
    <n v="4"/>
    <x v="2"/>
    <x v="0"/>
    <x v="6"/>
    <n v="48554.227066719373"/>
    <n v="14"/>
    <n v="28207.900877387041"/>
    <n v="20346.32618933234"/>
  </r>
  <r>
    <s v="ORD101565"/>
    <d v="2024-04-01T00:00:00"/>
    <x v="2"/>
    <n v="4"/>
    <x v="2"/>
    <x v="1"/>
    <x v="6"/>
    <n v="82635.561255201639"/>
    <n v="24"/>
    <n v="48760.486397575311"/>
    <n v="33875.074857626329"/>
  </r>
  <r>
    <s v="ORD101566"/>
    <d v="2024-04-01T00:00:00"/>
    <x v="2"/>
    <n v="4"/>
    <x v="3"/>
    <x v="0"/>
    <x v="6"/>
    <n v="31978.550043285839"/>
    <n v="9"/>
    <n v="18347.216445515489"/>
    <n v="13631.33359777035"/>
  </r>
  <r>
    <s v="ORD101567"/>
    <d v="2024-04-01T00:00:00"/>
    <x v="2"/>
    <n v="4"/>
    <x v="3"/>
    <x v="1"/>
    <x v="6"/>
    <n v="58940.532981529832"/>
    <n v="17"/>
    <n v="35494.922564456851"/>
    <n v="23445.610417072981"/>
  </r>
  <r>
    <s v="ORD101568"/>
    <d v="2024-05-01T00:00:00"/>
    <x v="2"/>
    <n v="5"/>
    <x v="0"/>
    <x v="0"/>
    <x v="0"/>
    <n v="76399.197988616463"/>
    <n v="15"/>
    <n v="47192.474508486979"/>
    <n v="29206.72348012948"/>
  </r>
  <r>
    <s v="ORD101569"/>
    <d v="2024-05-01T00:00:00"/>
    <x v="2"/>
    <n v="5"/>
    <x v="0"/>
    <x v="1"/>
    <x v="0"/>
    <n v="149153.15861606499"/>
    <n v="29"/>
    <n v="94336.839812931765"/>
    <n v="54816.318803133283"/>
  </r>
  <r>
    <s v="ORD101570"/>
    <d v="2024-05-01T00:00:00"/>
    <x v="2"/>
    <n v="5"/>
    <x v="1"/>
    <x v="0"/>
    <x v="0"/>
    <n v="60287.952221070133"/>
    <n v="12"/>
    <n v="37024.272725172581"/>
    <n v="23263.679495897552"/>
  </r>
  <r>
    <s v="ORD101571"/>
    <d v="2024-05-01T00:00:00"/>
    <x v="2"/>
    <n v="5"/>
    <x v="1"/>
    <x v="1"/>
    <x v="0"/>
    <n v="118047.3178161144"/>
    <n v="23"/>
    <n v="72499.573815266747"/>
    <n v="45547.74400084767"/>
  </r>
  <r>
    <s v="ORD101572"/>
    <d v="2024-05-01T00:00:00"/>
    <x v="2"/>
    <n v="5"/>
    <x v="2"/>
    <x v="0"/>
    <x v="0"/>
    <n v="45213.273317124273"/>
    <n v="9"/>
    <n v="27646.635988303598"/>
    <n v="17566.637328820671"/>
  </r>
  <r>
    <s v="ORD101573"/>
    <d v="2024-05-01T00:00:00"/>
    <x v="2"/>
    <n v="5"/>
    <x v="2"/>
    <x v="1"/>
    <x v="0"/>
    <n v="83849.627166444145"/>
    <n v="16"/>
    <n v="52806.658972955876"/>
    <n v="31042.968193488268"/>
  </r>
  <r>
    <s v="ORD101574"/>
    <d v="2024-05-01T00:00:00"/>
    <x v="2"/>
    <n v="5"/>
    <x v="3"/>
    <x v="0"/>
    <x v="0"/>
    <n v="34731.444897014073"/>
    <n v="7"/>
    <n v="21258.518244446121"/>
    <n v="13472.92665256795"/>
  </r>
  <r>
    <s v="ORD101575"/>
    <d v="2024-05-01T00:00:00"/>
    <x v="2"/>
    <n v="5"/>
    <x v="3"/>
    <x v="1"/>
    <x v="0"/>
    <n v="64759.907368566717"/>
    <n v="12"/>
    <n v="40617.0049444178"/>
    <n v="24142.902424148921"/>
  </r>
  <r>
    <s v="ORD101576"/>
    <d v="2024-05-01T00:00:00"/>
    <x v="2"/>
    <n v="5"/>
    <x v="0"/>
    <x v="0"/>
    <x v="1"/>
    <n v="69824.742567426016"/>
    <n v="11"/>
    <n v="45767.078968787922"/>
    <n v="24057.663598638101"/>
  </r>
  <r>
    <s v="ORD101577"/>
    <d v="2024-05-01T00:00:00"/>
    <x v="2"/>
    <n v="5"/>
    <x v="0"/>
    <x v="1"/>
    <x v="1"/>
    <n v="146382.455192647"/>
    <n v="24"/>
    <n v="93176.173679747677"/>
    <n v="53206.281512899353"/>
  </r>
  <r>
    <s v="ORD101578"/>
    <d v="2024-05-01T00:00:00"/>
    <x v="2"/>
    <n v="5"/>
    <x v="1"/>
    <x v="0"/>
    <x v="1"/>
    <n v="61495.818345612352"/>
    <n v="10"/>
    <n v="40170.585575991128"/>
    <n v="21325.23276962122"/>
  </r>
  <r>
    <s v="ORD101579"/>
    <d v="2024-05-01T00:00:00"/>
    <x v="2"/>
    <n v="5"/>
    <x v="1"/>
    <x v="1"/>
    <x v="1"/>
    <n v="112217.7968025814"/>
    <n v="18"/>
    <n v="72491.820808733159"/>
    <n v="39725.975993848268"/>
  </r>
  <r>
    <s v="ORD101580"/>
    <d v="2024-05-01T00:00:00"/>
    <x v="2"/>
    <n v="5"/>
    <x v="2"/>
    <x v="0"/>
    <x v="1"/>
    <n v="42120.792655668512"/>
    <n v="7"/>
    <n v="27816.687906726089"/>
    <n v="14304.104748942431"/>
  </r>
  <r>
    <s v="ORD101581"/>
    <d v="2024-05-01T00:00:00"/>
    <x v="2"/>
    <n v="5"/>
    <x v="2"/>
    <x v="1"/>
    <x v="1"/>
    <n v="86972.368018556896"/>
    <n v="14"/>
    <n v="56171.795845658417"/>
    <n v="30800.572172898472"/>
  </r>
  <r>
    <s v="ORD101582"/>
    <d v="2024-05-01T00:00:00"/>
    <x v="2"/>
    <n v="5"/>
    <x v="3"/>
    <x v="0"/>
    <x v="1"/>
    <n v="33626.255283324361"/>
    <n v="6"/>
    <n v="22563.236939450941"/>
    <n v="11063.01834387342"/>
  </r>
  <r>
    <s v="ORD101583"/>
    <d v="2024-05-01T00:00:00"/>
    <x v="2"/>
    <n v="5"/>
    <x v="3"/>
    <x v="1"/>
    <x v="1"/>
    <n v="64479.812101346601"/>
    <n v="11"/>
    <n v="42486.910041061878"/>
    <n v="21992.902060284719"/>
  </r>
  <r>
    <s v="ORD101584"/>
    <d v="2024-05-01T00:00:00"/>
    <x v="2"/>
    <n v="5"/>
    <x v="0"/>
    <x v="0"/>
    <x v="2"/>
    <n v="61282.930747859849"/>
    <n v="14"/>
    <n v="39095.696571518529"/>
    <n v="22187.234176341321"/>
  </r>
  <r>
    <s v="ORD101585"/>
    <d v="2024-05-01T00:00:00"/>
    <x v="2"/>
    <n v="5"/>
    <x v="0"/>
    <x v="1"/>
    <x v="2"/>
    <n v="107330.3422846405"/>
    <n v="25"/>
    <n v="69502.393972704202"/>
    <n v="37827.94831193627"/>
  </r>
  <r>
    <s v="ORD101586"/>
    <d v="2024-05-01T00:00:00"/>
    <x v="2"/>
    <n v="5"/>
    <x v="1"/>
    <x v="0"/>
    <x v="2"/>
    <n v="42874.785861832352"/>
    <n v="10"/>
    <n v="27915.953486616731"/>
    <n v="14958.832375215619"/>
  </r>
  <r>
    <s v="ORD101587"/>
    <d v="2024-05-01T00:00:00"/>
    <x v="2"/>
    <n v="5"/>
    <x v="1"/>
    <x v="1"/>
    <x v="2"/>
    <n v="84489.133815466907"/>
    <n v="20"/>
    <n v="54053.483228906684"/>
    <n v="30435.65058656023"/>
  </r>
  <r>
    <s v="ORD101588"/>
    <d v="2024-05-01T00:00:00"/>
    <x v="2"/>
    <n v="5"/>
    <x v="2"/>
    <x v="0"/>
    <x v="2"/>
    <n v="27812.886747182401"/>
    <n v="6"/>
    <n v="17553.15150627121"/>
    <n v="10259.73524091119"/>
  </r>
  <r>
    <s v="ORD101589"/>
    <d v="2024-05-01T00:00:00"/>
    <x v="2"/>
    <n v="5"/>
    <x v="2"/>
    <x v="1"/>
    <x v="2"/>
    <n v="54179.582077988838"/>
    <n v="13"/>
    <n v="33567.711548434389"/>
    <n v="20611.87052955445"/>
  </r>
  <r>
    <s v="ORD101590"/>
    <d v="2024-05-01T00:00:00"/>
    <x v="2"/>
    <n v="5"/>
    <x v="3"/>
    <x v="0"/>
    <x v="2"/>
    <n v="22126.545240270691"/>
    <n v="5"/>
    <n v="13986.11637921319"/>
    <n v="8140.4288610575004"/>
  </r>
  <r>
    <s v="ORD101591"/>
    <d v="2024-05-01T00:00:00"/>
    <x v="2"/>
    <n v="5"/>
    <x v="3"/>
    <x v="1"/>
    <x v="2"/>
    <n v="43884.949570525467"/>
    <n v="10"/>
    <n v="27774.33322290768"/>
    <n v="16110.61634761779"/>
  </r>
  <r>
    <s v="ORD101592"/>
    <d v="2024-05-01T00:00:00"/>
    <x v="2"/>
    <n v="5"/>
    <x v="0"/>
    <x v="0"/>
    <x v="3"/>
    <n v="50851.145588766369"/>
    <n v="60"/>
    <n v="24455.58599187787"/>
    <n v="26395.559596888499"/>
  </r>
  <r>
    <s v="ORD101593"/>
    <d v="2024-05-01T00:00:00"/>
    <x v="2"/>
    <n v="5"/>
    <x v="0"/>
    <x v="1"/>
    <x v="3"/>
    <n v="95851.569653554223"/>
    <n v="113"/>
    <n v="45722.917434157571"/>
    <n v="50128.652219396652"/>
  </r>
  <r>
    <s v="ORD101594"/>
    <d v="2024-05-01T00:00:00"/>
    <x v="2"/>
    <n v="5"/>
    <x v="1"/>
    <x v="0"/>
    <x v="3"/>
    <n v="40603.974236527043"/>
    <n v="48"/>
    <n v="19731.247135033169"/>
    <n v="20872.727101493871"/>
  </r>
  <r>
    <s v="ORD101595"/>
    <d v="2024-05-01T00:00:00"/>
    <x v="2"/>
    <n v="5"/>
    <x v="1"/>
    <x v="1"/>
    <x v="3"/>
    <n v="74574.861492519121"/>
    <n v="88"/>
    <n v="35400.971964757788"/>
    <n v="39173.889527761326"/>
  </r>
  <r>
    <s v="ORD101596"/>
    <d v="2024-05-01T00:00:00"/>
    <x v="2"/>
    <n v="5"/>
    <x v="2"/>
    <x v="0"/>
    <x v="3"/>
    <n v="27539.02684752013"/>
    <n v="32"/>
    <n v="13205.160671742409"/>
    <n v="14333.86617577773"/>
  </r>
  <r>
    <s v="ORD101597"/>
    <d v="2024-05-01T00:00:00"/>
    <x v="2"/>
    <n v="5"/>
    <x v="2"/>
    <x v="1"/>
    <x v="3"/>
    <n v="55001.122848862979"/>
    <n v="65"/>
    <n v="26963.18128681395"/>
    <n v="28037.941562049029"/>
  </r>
  <r>
    <s v="ORD101598"/>
    <d v="2024-05-01T00:00:00"/>
    <x v="2"/>
    <n v="5"/>
    <x v="3"/>
    <x v="0"/>
    <x v="3"/>
    <n v="22295.81500666451"/>
    <n v="26"/>
    <n v="10767.838990988959"/>
    <n v="11527.976015675549"/>
  </r>
  <r>
    <s v="ORD101599"/>
    <d v="2024-05-01T00:00:00"/>
    <x v="2"/>
    <n v="5"/>
    <x v="3"/>
    <x v="1"/>
    <x v="3"/>
    <n v="41676.811086254958"/>
    <n v="49"/>
    <n v="19983.25054423694"/>
    <n v="21693.560542018022"/>
  </r>
  <r>
    <s v="ORD101600"/>
    <d v="2024-05-01T00:00:00"/>
    <x v="2"/>
    <n v="5"/>
    <x v="0"/>
    <x v="0"/>
    <x v="4"/>
    <n v="44334.665742822966"/>
    <n v="62"/>
    <n v="24119.864802826069"/>
    <n v="20214.800939996909"/>
  </r>
  <r>
    <s v="ORD101601"/>
    <d v="2024-05-01T00:00:00"/>
    <x v="2"/>
    <n v="5"/>
    <x v="0"/>
    <x v="1"/>
    <x v="4"/>
    <n v="81082.268428852054"/>
    <n v="113"/>
    <n v="44086.943638817029"/>
    <n v="36995.324790035032"/>
  </r>
  <r>
    <s v="ORD101602"/>
    <d v="2024-05-01T00:00:00"/>
    <x v="2"/>
    <n v="5"/>
    <x v="1"/>
    <x v="0"/>
    <x v="4"/>
    <n v="36095.160316993053"/>
    <n v="50"/>
    <n v="19548.378259188881"/>
    <n v="16546.782057804161"/>
  </r>
  <r>
    <s v="ORD101603"/>
    <d v="2024-05-01T00:00:00"/>
    <x v="2"/>
    <n v="5"/>
    <x v="1"/>
    <x v="1"/>
    <x v="4"/>
    <n v="65780.25938146541"/>
    <n v="91"/>
    <n v="35826.82569741828"/>
    <n v="29953.43368404713"/>
  </r>
  <r>
    <s v="ORD101604"/>
    <d v="2024-05-01T00:00:00"/>
    <x v="2"/>
    <n v="5"/>
    <x v="2"/>
    <x v="0"/>
    <x v="4"/>
    <n v="23647.45334457402"/>
    <n v="33"/>
    <n v="13183.008108907081"/>
    <n v="10464.445235666941"/>
  </r>
  <r>
    <s v="ORD101605"/>
    <d v="2024-05-01T00:00:00"/>
    <x v="2"/>
    <n v="5"/>
    <x v="2"/>
    <x v="1"/>
    <x v="4"/>
    <n v="42885.897319543787"/>
    <n v="60"/>
    <n v="23493.036337320478"/>
    <n v="19392.860982223319"/>
  </r>
  <r>
    <s v="ORD101606"/>
    <d v="2024-05-01T00:00:00"/>
    <x v="2"/>
    <n v="5"/>
    <x v="3"/>
    <x v="0"/>
    <x v="4"/>
    <n v="17212.839866761438"/>
    <n v="24"/>
    <n v="9237.0509924915023"/>
    <n v="7975.7888742699361"/>
  </r>
  <r>
    <s v="ORD101607"/>
    <d v="2024-05-01T00:00:00"/>
    <x v="2"/>
    <n v="5"/>
    <x v="3"/>
    <x v="1"/>
    <x v="4"/>
    <n v="31738.951520973249"/>
    <n v="44"/>
    <n v="18012.009747320939"/>
    <n v="13726.94177365231"/>
  </r>
  <r>
    <s v="ORD101608"/>
    <d v="2024-05-01T00:00:00"/>
    <x v="2"/>
    <n v="5"/>
    <x v="0"/>
    <x v="0"/>
    <x v="5"/>
    <n v="38009.601113972887"/>
    <n v="7"/>
    <n v="26377.673694770721"/>
    <n v="11631.92741920216"/>
  </r>
  <r>
    <s v="ORD101609"/>
    <d v="2024-05-01T00:00:00"/>
    <x v="2"/>
    <n v="5"/>
    <x v="0"/>
    <x v="1"/>
    <x v="5"/>
    <n v="71190.81706886302"/>
    <n v="13"/>
    <n v="47877.658565383441"/>
    <n v="23313.158503479579"/>
  </r>
  <r>
    <s v="ORD101610"/>
    <d v="2024-05-01T00:00:00"/>
    <x v="2"/>
    <n v="5"/>
    <x v="1"/>
    <x v="0"/>
    <x v="5"/>
    <n v="28290.2914006217"/>
    <n v="5"/>
    <n v="19365.050632887811"/>
    <n v="8925.2407677338815"/>
  </r>
  <r>
    <s v="ORD101611"/>
    <d v="2024-05-01T00:00:00"/>
    <x v="2"/>
    <n v="5"/>
    <x v="1"/>
    <x v="1"/>
    <x v="5"/>
    <n v="54485.738429659606"/>
    <n v="10"/>
    <n v="37670.19775897661"/>
    <n v="16815.540670683"/>
  </r>
  <r>
    <s v="ORD101612"/>
    <d v="2024-05-01T00:00:00"/>
    <x v="2"/>
    <n v="5"/>
    <x v="2"/>
    <x v="0"/>
    <x v="5"/>
    <n v="21605.73485242945"/>
    <n v="4"/>
    <n v="15365.372790984011"/>
    <n v="6240.3620614454394"/>
  </r>
  <r>
    <s v="ORD101613"/>
    <d v="2024-05-01T00:00:00"/>
    <x v="2"/>
    <n v="5"/>
    <x v="2"/>
    <x v="1"/>
    <x v="5"/>
    <n v="39704.897732393772"/>
    <n v="7"/>
    <n v="26849.930586808699"/>
    <n v="12854.96714558508"/>
  </r>
  <r>
    <s v="ORD101614"/>
    <d v="2024-05-01T00:00:00"/>
    <x v="2"/>
    <n v="5"/>
    <x v="3"/>
    <x v="0"/>
    <x v="5"/>
    <n v="16303.794111253341"/>
    <n v="3"/>
    <n v="11447.25947006744"/>
    <n v="4856.5346411859064"/>
  </r>
  <r>
    <s v="ORD101615"/>
    <d v="2024-05-01T00:00:00"/>
    <x v="2"/>
    <n v="5"/>
    <x v="3"/>
    <x v="1"/>
    <x v="5"/>
    <n v="27881.65196852967"/>
    <n v="5"/>
    <n v="19722.968177450199"/>
    <n v="8158.6837910794711"/>
  </r>
  <r>
    <s v="ORD101616"/>
    <d v="2024-05-01T00:00:00"/>
    <x v="2"/>
    <n v="5"/>
    <x v="0"/>
    <x v="0"/>
    <x v="6"/>
    <n v="83792.00028409595"/>
    <n v="24"/>
    <n v="48877.858905462723"/>
    <n v="34914.141378633227"/>
  </r>
  <r>
    <s v="ORD101617"/>
    <d v="2024-05-01T00:00:00"/>
    <x v="2"/>
    <n v="5"/>
    <x v="0"/>
    <x v="1"/>
    <x v="6"/>
    <n v="151309.4008266365"/>
    <n v="43"/>
    <n v="88826.608233783423"/>
    <n v="62482.792592853097"/>
  </r>
  <r>
    <s v="ORD101618"/>
    <d v="2024-05-01T00:00:00"/>
    <x v="2"/>
    <n v="5"/>
    <x v="1"/>
    <x v="0"/>
    <x v="6"/>
    <n v="67427.651748976481"/>
    <n v="19"/>
    <n v="39040.232484132088"/>
    <n v="28387.41926484439"/>
  </r>
  <r>
    <s v="ORD101619"/>
    <d v="2024-05-01T00:00:00"/>
    <x v="2"/>
    <n v="5"/>
    <x v="1"/>
    <x v="1"/>
    <x v="6"/>
    <n v="111601.4006687791"/>
    <n v="32"/>
    <n v="65603.682851355115"/>
    <n v="45997.717817424003"/>
  </r>
  <r>
    <s v="ORD101620"/>
    <d v="2024-05-01T00:00:00"/>
    <x v="2"/>
    <n v="5"/>
    <x v="2"/>
    <x v="0"/>
    <x v="6"/>
    <n v="44035.726230603388"/>
    <n v="13"/>
    <n v="25963.966830148871"/>
    <n v="18071.759400454521"/>
  </r>
  <r>
    <s v="ORD101621"/>
    <d v="2024-05-01T00:00:00"/>
    <x v="2"/>
    <n v="5"/>
    <x v="2"/>
    <x v="1"/>
    <x v="6"/>
    <n v="77012.272709701152"/>
    <n v="22"/>
    <n v="45976.749064414493"/>
    <n v="31035.523645286659"/>
  </r>
  <r>
    <s v="ORD101622"/>
    <d v="2024-05-01T00:00:00"/>
    <x v="2"/>
    <n v="5"/>
    <x v="3"/>
    <x v="0"/>
    <x v="6"/>
    <n v="33335.308614700938"/>
    <n v="10"/>
    <n v="20053.779900725611"/>
    <n v="13281.528713975331"/>
  </r>
  <r>
    <s v="ORD101623"/>
    <d v="2024-05-01T00:00:00"/>
    <x v="2"/>
    <n v="5"/>
    <x v="3"/>
    <x v="1"/>
    <x v="6"/>
    <n v="64726.82081622172"/>
    <n v="18"/>
    <n v="37674.583916734548"/>
    <n v="27052.236899487169"/>
  </r>
  <r>
    <s v="ORD101624"/>
    <d v="2024-06-01T00:00:00"/>
    <x v="2"/>
    <n v="6"/>
    <x v="0"/>
    <x v="0"/>
    <x v="0"/>
    <n v="86005.260599171321"/>
    <n v="17"/>
    <n v="51434.986169560667"/>
    <n v="34570.274429610647"/>
  </r>
  <r>
    <s v="ORD101625"/>
    <d v="2024-06-01T00:00:00"/>
    <x v="2"/>
    <n v="6"/>
    <x v="0"/>
    <x v="1"/>
    <x v="0"/>
    <n v="157012.788029591"/>
    <n v="30"/>
    <n v="97310.702143744784"/>
    <n v="59702.085885846223"/>
  </r>
  <r>
    <s v="ORD101626"/>
    <d v="2024-06-01T00:00:00"/>
    <x v="2"/>
    <n v="6"/>
    <x v="1"/>
    <x v="0"/>
    <x v="0"/>
    <n v="69859.343077674304"/>
    <n v="13"/>
    <n v="43541.643451534801"/>
    <n v="26317.6996261395"/>
  </r>
  <r>
    <s v="ORD101627"/>
    <d v="2024-06-01T00:00:00"/>
    <x v="2"/>
    <n v="6"/>
    <x v="1"/>
    <x v="1"/>
    <x v="0"/>
    <n v="123035.8782317935"/>
    <n v="24"/>
    <n v="76624.715042351716"/>
    <n v="46411.16318944181"/>
  </r>
  <r>
    <s v="ORD101628"/>
    <d v="2024-06-01T00:00:00"/>
    <x v="2"/>
    <n v="6"/>
    <x v="2"/>
    <x v="0"/>
    <x v="0"/>
    <n v="44477.048100773238"/>
    <n v="9"/>
    <n v="27413.62102943092"/>
    <n v="17063.42707134231"/>
  </r>
  <r>
    <s v="ORD101629"/>
    <d v="2024-06-01T00:00:00"/>
    <x v="2"/>
    <n v="6"/>
    <x v="2"/>
    <x v="1"/>
    <x v="0"/>
    <n v="92894.451899840031"/>
    <n v="18"/>
    <n v="57723.890939506273"/>
    <n v="35170.560960333773"/>
  </r>
  <r>
    <s v="ORD101630"/>
    <d v="2024-06-01T00:00:00"/>
    <x v="2"/>
    <n v="6"/>
    <x v="3"/>
    <x v="0"/>
    <x v="0"/>
    <n v="34073.382116395951"/>
    <n v="7"/>
    <n v="21701.758355314741"/>
    <n v="12371.62376108121"/>
  </r>
  <r>
    <s v="ORD101631"/>
    <d v="2024-06-01T00:00:00"/>
    <x v="2"/>
    <n v="6"/>
    <x v="3"/>
    <x v="1"/>
    <x v="0"/>
    <n v="70747.596984751595"/>
    <n v="14"/>
    <n v="44164.905741120318"/>
    <n v="26582.691243631281"/>
  </r>
  <r>
    <s v="ORD101632"/>
    <d v="2024-06-01T00:00:00"/>
    <x v="2"/>
    <n v="6"/>
    <x v="0"/>
    <x v="0"/>
    <x v="1"/>
    <n v="90910.640929447327"/>
    <n v="15"/>
    <n v="59597.778239135427"/>
    <n v="31312.8626903119"/>
  </r>
  <r>
    <s v="ORD101633"/>
    <d v="2024-06-01T00:00:00"/>
    <x v="2"/>
    <n v="6"/>
    <x v="0"/>
    <x v="1"/>
    <x v="1"/>
    <n v="181574.27138655461"/>
    <n v="30"/>
    <n v="118760.04123136841"/>
    <n v="62814.230155186167"/>
  </r>
  <r>
    <s v="ORD101634"/>
    <d v="2024-06-01T00:00:00"/>
    <x v="2"/>
    <n v="6"/>
    <x v="1"/>
    <x v="0"/>
    <x v="1"/>
    <n v="69396.140077091768"/>
    <n v="11"/>
    <n v="45661.421726571331"/>
    <n v="23734.718350520441"/>
  </r>
  <r>
    <s v="ORD101635"/>
    <d v="2024-06-01T00:00:00"/>
    <x v="2"/>
    <n v="6"/>
    <x v="1"/>
    <x v="1"/>
    <x v="1"/>
    <n v="138741.6423301413"/>
    <n v="23"/>
    <n v="94267.241743509716"/>
    <n v="44474.400586631593"/>
  </r>
  <r>
    <s v="ORD101636"/>
    <d v="2024-06-01T00:00:00"/>
    <x v="2"/>
    <n v="6"/>
    <x v="2"/>
    <x v="0"/>
    <x v="1"/>
    <n v="49921.781634548133"/>
    <n v="8"/>
    <n v="32839.665586628013"/>
    <n v="17082.116047920132"/>
  </r>
  <r>
    <s v="ORD101637"/>
    <d v="2024-06-01T00:00:00"/>
    <x v="2"/>
    <n v="6"/>
    <x v="2"/>
    <x v="1"/>
    <x v="1"/>
    <n v="94620.044664109679"/>
    <n v="16"/>
    <n v="62426.978930172147"/>
    <n v="32193.065733937528"/>
  </r>
  <r>
    <s v="ORD101638"/>
    <d v="2024-06-01T00:00:00"/>
    <x v="2"/>
    <n v="6"/>
    <x v="3"/>
    <x v="0"/>
    <x v="1"/>
    <n v="41478.441751958489"/>
    <n v="7"/>
    <n v="27138.10484583646"/>
    <n v="14340.336906122029"/>
  </r>
  <r>
    <s v="ORD101639"/>
    <d v="2024-06-01T00:00:00"/>
    <x v="2"/>
    <n v="6"/>
    <x v="3"/>
    <x v="1"/>
    <x v="1"/>
    <n v="70730.193693048364"/>
    <n v="12"/>
    <n v="47605.375749571118"/>
    <n v="23124.81794347725"/>
  </r>
  <r>
    <s v="ORD101640"/>
    <d v="2024-06-01T00:00:00"/>
    <x v="2"/>
    <n v="6"/>
    <x v="0"/>
    <x v="0"/>
    <x v="2"/>
    <n v="61530.097546055978"/>
    <n v="14"/>
    <n v="40768.447449801599"/>
    <n v="20761.65009625438"/>
  </r>
  <r>
    <s v="ORD101641"/>
    <d v="2024-06-01T00:00:00"/>
    <x v="2"/>
    <n v="6"/>
    <x v="0"/>
    <x v="1"/>
    <x v="2"/>
    <n v="115860.7834068825"/>
    <n v="27"/>
    <n v="74752.341928608788"/>
    <n v="41108.441478273708"/>
  </r>
  <r>
    <s v="ORD101642"/>
    <d v="2024-06-01T00:00:00"/>
    <x v="2"/>
    <n v="6"/>
    <x v="1"/>
    <x v="0"/>
    <x v="2"/>
    <n v="46353.980904861608"/>
    <n v="11"/>
    <n v="29710.748332600819"/>
    <n v="16643.232572260789"/>
  </r>
  <r>
    <s v="ORD101643"/>
    <d v="2024-06-01T00:00:00"/>
    <x v="2"/>
    <n v="6"/>
    <x v="1"/>
    <x v="1"/>
    <x v="2"/>
    <n v="90823.710034119693"/>
    <n v="21"/>
    <n v="58165.65990071027"/>
    <n v="32658.050133409419"/>
  </r>
  <r>
    <s v="ORD101644"/>
    <d v="2024-06-01T00:00:00"/>
    <x v="2"/>
    <n v="6"/>
    <x v="2"/>
    <x v="0"/>
    <x v="2"/>
    <n v="38891.606590628333"/>
    <n v="9"/>
    <n v="23822.384128930291"/>
    <n v="15069.222461698029"/>
  </r>
  <r>
    <s v="ORD101645"/>
    <d v="2024-06-01T00:00:00"/>
    <x v="2"/>
    <n v="6"/>
    <x v="2"/>
    <x v="1"/>
    <x v="2"/>
    <n v="65031.696385938063"/>
    <n v="15"/>
    <n v="42178.526740326437"/>
    <n v="22853.169645611611"/>
  </r>
  <r>
    <s v="ORD101646"/>
    <d v="2024-06-01T00:00:00"/>
    <x v="2"/>
    <n v="6"/>
    <x v="3"/>
    <x v="0"/>
    <x v="2"/>
    <n v="24607.57634546233"/>
    <n v="6"/>
    <n v="15786.882260035451"/>
    <n v="8820.6940854268796"/>
  </r>
  <r>
    <s v="ORD101647"/>
    <d v="2024-06-01T00:00:00"/>
    <x v="2"/>
    <n v="6"/>
    <x v="3"/>
    <x v="1"/>
    <x v="2"/>
    <n v="47531.49117857033"/>
    <n v="11"/>
    <n v="30654.698517640561"/>
    <n v="16876.792660929768"/>
  </r>
  <r>
    <s v="ORD101648"/>
    <d v="2024-06-01T00:00:00"/>
    <x v="2"/>
    <n v="6"/>
    <x v="0"/>
    <x v="0"/>
    <x v="3"/>
    <n v="55028.413945870772"/>
    <n v="65"/>
    <n v="26075.377197916321"/>
    <n v="28953.03674795444"/>
  </r>
  <r>
    <s v="ORD101649"/>
    <d v="2024-06-01T00:00:00"/>
    <x v="2"/>
    <n v="6"/>
    <x v="0"/>
    <x v="1"/>
    <x v="3"/>
    <n v="107846.9606086705"/>
    <n v="127"/>
    <n v="51408.305041334686"/>
    <n v="56438.65556733586"/>
  </r>
  <r>
    <s v="ORD101650"/>
    <d v="2024-06-01T00:00:00"/>
    <x v="2"/>
    <n v="6"/>
    <x v="1"/>
    <x v="0"/>
    <x v="3"/>
    <n v="45213.642394724127"/>
    <n v="53"/>
    <n v="21541.983155436239"/>
    <n v="23671.659239287899"/>
  </r>
  <r>
    <s v="ORD101651"/>
    <d v="2024-06-01T00:00:00"/>
    <x v="2"/>
    <n v="6"/>
    <x v="1"/>
    <x v="1"/>
    <x v="3"/>
    <n v="86645.917931780612"/>
    <n v="102"/>
    <n v="42354.848752326929"/>
    <n v="44291.069179453683"/>
  </r>
  <r>
    <s v="ORD101652"/>
    <d v="2024-06-01T00:00:00"/>
    <x v="2"/>
    <n v="6"/>
    <x v="2"/>
    <x v="0"/>
    <x v="3"/>
    <n v="32080.71375008834"/>
    <n v="38"/>
    <n v="15293.75894588287"/>
    <n v="16786.95480420547"/>
  </r>
  <r>
    <s v="ORD101653"/>
    <d v="2024-06-01T00:00:00"/>
    <x v="2"/>
    <n v="6"/>
    <x v="2"/>
    <x v="1"/>
    <x v="3"/>
    <n v="57481.618758845478"/>
    <n v="68"/>
    <n v="28625.51189681275"/>
    <n v="28856.106862032731"/>
  </r>
  <r>
    <s v="ORD101654"/>
    <d v="2024-06-01T00:00:00"/>
    <x v="2"/>
    <n v="6"/>
    <x v="3"/>
    <x v="0"/>
    <x v="3"/>
    <n v="23087.2842137158"/>
    <n v="27"/>
    <n v="11167.842331181941"/>
    <n v="11919.441882533871"/>
  </r>
  <r>
    <s v="ORD101655"/>
    <d v="2024-06-01T00:00:00"/>
    <x v="2"/>
    <n v="6"/>
    <x v="3"/>
    <x v="1"/>
    <x v="3"/>
    <n v="44133.566284323933"/>
    <n v="52"/>
    <n v="20697.67614246509"/>
    <n v="23435.890141858828"/>
  </r>
  <r>
    <s v="ORD101656"/>
    <d v="2024-06-01T00:00:00"/>
    <x v="2"/>
    <n v="6"/>
    <x v="0"/>
    <x v="0"/>
    <x v="4"/>
    <n v="46058.758653459263"/>
    <n v="64"/>
    <n v="25273.702500705382"/>
    <n v="20785.056152753881"/>
  </r>
  <r>
    <s v="ORD101657"/>
    <d v="2024-06-01T00:00:00"/>
    <x v="2"/>
    <n v="6"/>
    <x v="0"/>
    <x v="1"/>
    <x v="4"/>
    <n v="87658.125587160073"/>
    <n v="122"/>
    <n v="47646.435337907897"/>
    <n v="40011.690249252177"/>
  </r>
  <r>
    <s v="ORD101658"/>
    <d v="2024-06-01T00:00:00"/>
    <x v="2"/>
    <n v="6"/>
    <x v="1"/>
    <x v="0"/>
    <x v="4"/>
    <n v="40042.695529758072"/>
    <n v="56"/>
    <n v="21153.579549130009"/>
    <n v="18889.115980628059"/>
  </r>
  <r>
    <s v="ORD101659"/>
    <d v="2024-06-01T00:00:00"/>
    <x v="2"/>
    <n v="6"/>
    <x v="1"/>
    <x v="1"/>
    <x v="4"/>
    <n v="67029.144788192498"/>
    <n v="93"/>
    <n v="37927.420208876872"/>
    <n v="29101.724579315629"/>
  </r>
  <r>
    <s v="ORD101660"/>
    <d v="2024-06-01T00:00:00"/>
    <x v="2"/>
    <n v="6"/>
    <x v="2"/>
    <x v="0"/>
    <x v="4"/>
    <n v="26256.435350659602"/>
    <n v="36"/>
    <n v="14623.813408213549"/>
    <n v="11632.621942446051"/>
  </r>
  <r>
    <s v="ORD101661"/>
    <d v="2024-06-01T00:00:00"/>
    <x v="2"/>
    <n v="6"/>
    <x v="2"/>
    <x v="1"/>
    <x v="4"/>
    <n v="49724.126823015467"/>
    <n v="69"/>
    <n v="27610.751108810549"/>
    <n v="22113.375714204929"/>
  </r>
  <r>
    <s v="ORD101662"/>
    <d v="2024-06-01T00:00:00"/>
    <x v="2"/>
    <n v="6"/>
    <x v="3"/>
    <x v="0"/>
    <x v="4"/>
    <n v="19751.356180205152"/>
    <n v="27"/>
    <n v="10895.588670532919"/>
    <n v="8855.767509672236"/>
  </r>
  <r>
    <s v="ORD101663"/>
    <d v="2024-06-01T00:00:00"/>
    <x v="2"/>
    <n v="6"/>
    <x v="3"/>
    <x v="1"/>
    <x v="4"/>
    <n v="37500.161727337552"/>
    <n v="52"/>
    <n v="20112.012714909371"/>
    <n v="17388.149012428181"/>
  </r>
  <r>
    <s v="ORD101664"/>
    <d v="2024-06-01T00:00:00"/>
    <x v="2"/>
    <n v="6"/>
    <x v="0"/>
    <x v="0"/>
    <x v="5"/>
    <n v="43971.211264785998"/>
    <n v="8"/>
    <n v="30076.02159853221"/>
    <n v="13895.189666253789"/>
  </r>
  <r>
    <s v="ORD101665"/>
    <d v="2024-06-01T00:00:00"/>
    <x v="2"/>
    <n v="6"/>
    <x v="0"/>
    <x v="1"/>
    <x v="5"/>
    <n v="82241.229441220901"/>
    <n v="15"/>
    <n v="57606.27356055312"/>
    <n v="24634.955880667781"/>
  </r>
  <r>
    <s v="ORD101666"/>
    <d v="2024-06-01T00:00:00"/>
    <x v="2"/>
    <n v="6"/>
    <x v="1"/>
    <x v="0"/>
    <x v="5"/>
    <n v="33278.740094385517"/>
    <n v="6"/>
    <n v="22527.838350463961"/>
    <n v="10750.90174392156"/>
  </r>
  <r>
    <s v="ORD101667"/>
    <d v="2024-06-01T00:00:00"/>
    <x v="2"/>
    <n v="6"/>
    <x v="1"/>
    <x v="1"/>
    <x v="5"/>
    <n v="68666.672341348007"/>
    <n v="13"/>
    <n v="45220.809593420832"/>
    <n v="23445.862747927171"/>
  </r>
  <r>
    <s v="ORD101668"/>
    <d v="2024-06-01T00:00:00"/>
    <x v="2"/>
    <n v="6"/>
    <x v="2"/>
    <x v="0"/>
    <x v="5"/>
    <n v="22081.58312279619"/>
    <n v="4"/>
    <n v="15174.007791188191"/>
    <n v="6907.5753316080027"/>
  </r>
  <r>
    <s v="ORD101669"/>
    <d v="2024-06-01T00:00:00"/>
    <x v="2"/>
    <n v="6"/>
    <x v="2"/>
    <x v="1"/>
    <x v="5"/>
    <n v="44410.959034656931"/>
    <n v="8"/>
    <n v="30565.370519467629"/>
    <n v="13845.5885151893"/>
  </r>
  <r>
    <s v="ORD101670"/>
    <d v="2024-06-01T00:00:00"/>
    <x v="2"/>
    <n v="6"/>
    <x v="3"/>
    <x v="0"/>
    <x v="5"/>
    <n v="19617.755267236349"/>
    <n v="4"/>
    <n v="13569.281502479151"/>
    <n v="6048.4737647572074"/>
  </r>
  <r>
    <s v="ORD101671"/>
    <d v="2024-06-01T00:00:00"/>
    <x v="2"/>
    <n v="6"/>
    <x v="3"/>
    <x v="1"/>
    <x v="5"/>
    <n v="32558.829134925571"/>
    <n v="6"/>
    <n v="22760.190951423239"/>
    <n v="9798.638183502324"/>
  </r>
  <r>
    <s v="ORD101672"/>
    <d v="2024-06-01T00:00:00"/>
    <x v="2"/>
    <n v="6"/>
    <x v="0"/>
    <x v="0"/>
    <x v="6"/>
    <n v="98613.084064092458"/>
    <n v="28"/>
    <n v="58849.465644275682"/>
    <n v="39763.618419816783"/>
  </r>
  <r>
    <s v="ORD101673"/>
    <d v="2024-06-01T00:00:00"/>
    <x v="2"/>
    <n v="6"/>
    <x v="0"/>
    <x v="1"/>
    <x v="6"/>
    <n v="177217.93713394349"/>
    <n v="51"/>
    <n v="105045.6017834738"/>
    <n v="72172.33535046973"/>
  </r>
  <r>
    <s v="ORD101674"/>
    <d v="2024-06-01T00:00:00"/>
    <x v="2"/>
    <n v="6"/>
    <x v="1"/>
    <x v="0"/>
    <x v="6"/>
    <n v="69617.32365891253"/>
    <n v="20"/>
    <n v="41958.120325911688"/>
    <n v="27659.203333000842"/>
  </r>
  <r>
    <s v="ORD101675"/>
    <d v="2024-06-01T00:00:00"/>
    <x v="2"/>
    <n v="6"/>
    <x v="1"/>
    <x v="1"/>
    <x v="6"/>
    <n v="134025.52852585679"/>
    <n v="38"/>
    <n v="76913.034502205643"/>
    <n v="57112.494023651117"/>
  </r>
  <r>
    <s v="ORD101676"/>
    <d v="2024-06-01T00:00:00"/>
    <x v="2"/>
    <n v="6"/>
    <x v="2"/>
    <x v="0"/>
    <x v="6"/>
    <n v="49658.308995890278"/>
    <n v="14"/>
    <n v="29564.504245532869"/>
    <n v="20093.804750357409"/>
  </r>
  <r>
    <s v="ORD101677"/>
    <d v="2024-06-01T00:00:00"/>
    <x v="2"/>
    <n v="6"/>
    <x v="2"/>
    <x v="1"/>
    <x v="6"/>
    <n v="96100.899030635657"/>
    <n v="27"/>
    <n v="57338.970186009858"/>
    <n v="38761.928844625792"/>
  </r>
  <r>
    <s v="ORD101678"/>
    <d v="2024-06-01T00:00:00"/>
    <x v="2"/>
    <n v="6"/>
    <x v="3"/>
    <x v="0"/>
    <x v="6"/>
    <n v="38323.724286094082"/>
    <n v="11"/>
    <n v="22106.498017085662"/>
    <n v="16217.226269008421"/>
  </r>
  <r>
    <s v="ORD101679"/>
    <d v="2024-06-01T00:00:00"/>
    <x v="2"/>
    <n v="6"/>
    <x v="3"/>
    <x v="1"/>
    <x v="6"/>
    <n v="73433.758879443078"/>
    <n v="21"/>
    <n v="42153.879268320488"/>
    <n v="31279.879611122589"/>
  </r>
  <r>
    <s v="ORD101680"/>
    <d v="2024-07-01T00:00:00"/>
    <x v="2"/>
    <n v="7"/>
    <x v="0"/>
    <x v="0"/>
    <x v="0"/>
    <n v="76006.052042978321"/>
    <n v="15"/>
    <n v="46491.023611127297"/>
    <n v="29515.02843185102"/>
  </r>
  <r>
    <s v="ORD101681"/>
    <d v="2024-07-01T00:00:00"/>
    <x v="2"/>
    <n v="7"/>
    <x v="0"/>
    <x v="1"/>
    <x v="0"/>
    <n v="138950.05771491231"/>
    <n v="27"/>
    <n v="85123.194949985293"/>
    <n v="53826.862764926962"/>
  </r>
  <r>
    <s v="ORD101682"/>
    <d v="2024-07-01T00:00:00"/>
    <x v="2"/>
    <n v="7"/>
    <x v="1"/>
    <x v="0"/>
    <x v="0"/>
    <n v="64879.853469577378"/>
    <n v="12"/>
    <n v="40771.029418565697"/>
    <n v="24108.824051011681"/>
  </r>
  <r>
    <s v="ORD101683"/>
    <d v="2024-07-01T00:00:00"/>
    <x v="2"/>
    <n v="7"/>
    <x v="1"/>
    <x v="1"/>
    <x v="0"/>
    <n v="128094.7809634173"/>
    <n v="25"/>
    <n v="78540.257803781467"/>
    <n v="49554.523159635843"/>
  </r>
  <r>
    <s v="ORD101684"/>
    <d v="2024-07-01T00:00:00"/>
    <x v="2"/>
    <n v="7"/>
    <x v="2"/>
    <x v="0"/>
    <x v="0"/>
    <n v="39096.441129653591"/>
    <n v="8"/>
    <n v="23866.15469793028"/>
    <n v="15230.286431723311"/>
  </r>
  <r>
    <s v="ORD101685"/>
    <d v="2024-07-01T00:00:00"/>
    <x v="2"/>
    <n v="7"/>
    <x v="2"/>
    <x v="1"/>
    <x v="0"/>
    <n v="73993.860832855542"/>
    <n v="14"/>
    <n v="45371.124016185233"/>
    <n v="28622.73681667032"/>
  </r>
  <r>
    <s v="ORD101686"/>
    <d v="2024-07-01T00:00:00"/>
    <x v="2"/>
    <n v="7"/>
    <x v="3"/>
    <x v="0"/>
    <x v="0"/>
    <n v="36664.694473613381"/>
    <n v="7"/>
    <n v="23189.830304042669"/>
    <n v="13474.86416957071"/>
  </r>
  <r>
    <s v="ORD101687"/>
    <d v="2024-07-01T00:00:00"/>
    <x v="2"/>
    <n v="7"/>
    <x v="3"/>
    <x v="1"/>
    <x v="0"/>
    <n v="59980.245237566611"/>
    <n v="12"/>
    <n v="37196.48301519073"/>
    <n v="22783.762222375881"/>
  </r>
  <r>
    <s v="ORD101688"/>
    <d v="2024-07-01T00:00:00"/>
    <x v="2"/>
    <n v="7"/>
    <x v="0"/>
    <x v="0"/>
    <x v="1"/>
    <n v="78280.104730619671"/>
    <n v="13"/>
    <n v="51498.171468437416"/>
    <n v="26781.93326218225"/>
  </r>
  <r>
    <s v="ORD101689"/>
    <d v="2024-07-01T00:00:00"/>
    <x v="2"/>
    <n v="7"/>
    <x v="0"/>
    <x v="1"/>
    <x v="1"/>
    <n v="149928.24003445031"/>
    <n v="25"/>
    <n v="98756.702404662574"/>
    <n v="51171.537629787708"/>
  </r>
  <r>
    <s v="ORD101690"/>
    <d v="2024-07-01T00:00:00"/>
    <x v="2"/>
    <n v="7"/>
    <x v="1"/>
    <x v="0"/>
    <x v="1"/>
    <n v="70148.766436459904"/>
    <n v="11"/>
    <n v="47374.946738803621"/>
    <n v="22773.819697656279"/>
  </r>
  <r>
    <s v="ORD101691"/>
    <d v="2024-07-01T00:00:00"/>
    <x v="2"/>
    <n v="7"/>
    <x v="1"/>
    <x v="1"/>
    <x v="1"/>
    <n v="109874.4314284483"/>
    <n v="18"/>
    <n v="71539.224710842624"/>
    <n v="38335.206717605717"/>
  </r>
  <r>
    <s v="ORD101692"/>
    <d v="2024-07-01T00:00:00"/>
    <x v="2"/>
    <n v="7"/>
    <x v="2"/>
    <x v="0"/>
    <x v="1"/>
    <n v="41770.60688685644"/>
    <n v="7"/>
    <n v="28221.401551891089"/>
    <n v="13549.205334965351"/>
  </r>
  <r>
    <s v="ORD101693"/>
    <d v="2024-07-01T00:00:00"/>
    <x v="2"/>
    <n v="7"/>
    <x v="2"/>
    <x v="1"/>
    <x v="1"/>
    <n v="76290.126057881978"/>
    <n v="13"/>
    <n v="50542.261613653842"/>
    <n v="25747.86444422814"/>
  </r>
  <r>
    <s v="ORD101694"/>
    <d v="2024-07-01T00:00:00"/>
    <x v="2"/>
    <n v="7"/>
    <x v="3"/>
    <x v="0"/>
    <x v="1"/>
    <n v="34794.288322502609"/>
    <n v="6"/>
    <n v="22897.919955491579"/>
    <n v="11896.368367011029"/>
  </r>
  <r>
    <s v="ORD101695"/>
    <d v="2024-07-01T00:00:00"/>
    <x v="2"/>
    <n v="7"/>
    <x v="3"/>
    <x v="1"/>
    <x v="1"/>
    <n v="60197.638248213712"/>
    <n v="10"/>
    <n v="41518.955089037823"/>
    <n v="18678.683159175889"/>
  </r>
  <r>
    <s v="ORD101696"/>
    <d v="2024-07-01T00:00:00"/>
    <x v="2"/>
    <n v="7"/>
    <x v="0"/>
    <x v="0"/>
    <x v="2"/>
    <n v="55211.78866493659"/>
    <n v="13"/>
    <n v="34664.116009874182"/>
    <n v="20547.672655062412"/>
  </r>
  <r>
    <s v="ORD101697"/>
    <d v="2024-07-01T00:00:00"/>
    <x v="2"/>
    <n v="7"/>
    <x v="0"/>
    <x v="1"/>
    <x v="2"/>
    <n v="105229.1705999626"/>
    <n v="24"/>
    <n v="66917.917142772509"/>
    <n v="38311.253457190112"/>
  </r>
  <r>
    <s v="ORD101698"/>
    <d v="2024-07-01T00:00:00"/>
    <x v="2"/>
    <n v="7"/>
    <x v="1"/>
    <x v="0"/>
    <x v="2"/>
    <n v="44510.032110399952"/>
    <n v="10"/>
    <n v="27854.484568241322"/>
    <n v="16655.547542158631"/>
  </r>
  <r>
    <s v="ORD101699"/>
    <d v="2024-07-01T00:00:00"/>
    <x v="2"/>
    <n v="7"/>
    <x v="1"/>
    <x v="1"/>
    <x v="2"/>
    <n v="84559.879490480875"/>
    <n v="20"/>
    <n v="55046.144473946471"/>
    <n v="29513.7350165344"/>
  </r>
  <r>
    <s v="ORD101700"/>
    <d v="2024-07-01T00:00:00"/>
    <x v="2"/>
    <n v="7"/>
    <x v="2"/>
    <x v="0"/>
    <x v="2"/>
    <n v="31035.995610333179"/>
    <n v="7"/>
    <n v="20466.98079761296"/>
    <n v="10569.014812720219"/>
  </r>
  <r>
    <s v="ORD101701"/>
    <d v="2024-07-01T00:00:00"/>
    <x v="2"/>
    <n v="7"/>
    <x v="2"/>
    <x v="1"/>
    <x v="2"/>
    <n v="59065.525570113648"/>
    <n v="14"/>
    <n v="38938.21002977711"/>
    <n v="20127.315540336542"/>
  </r>
  <r>
    <s v="ORD101702"/>
    <d v="2024-07-01T00:00:00"/>
    <x v="2"/>
    <n v="7"/>
    <x v="3"/>
    <x v="0"/>
    <x v="2"/>
    <n v="23424.16923458995"/>
    <n v="5"/>
    <n v="15321.74651116594"/>
    <n v="8102.4227234240061"/>
  </r>
  <r>
    <s v="ORD101703"/>
    <d v="2024-07-01T00:00:00"/>
    <x v="2"/>
    <n v="7"/>
    <x v="3"/>
    <x v="1"/>
    <x v="2"/>
    <n v="43586.067495914082"/>
    <n v="10"/>
    <n v="27795.855688352869"/>
    <n v="15790.211807561211"/>
  </r>
  <r>
    <s v="ORD101704"/>
    <d v="2024-07-01T00:00:00"/>
    <x v="2"/>
    <n v="7"/>
    <x v="0"/>
    <x v="0"/>
    <x v="3"/>
    <n v="48512.581857973841"/>
    <n v="57"/>
    <n v="23132.949008276792"/>
    <n v="25379.632849697049"/>
  </r>
  <r>
    <s v="ORD101705"/>
    <d v="2024-07-01T00:00:00"/>
    <x v="2"/>
    <n v="7"/>
    <x v="0"/>
    <x v="1"/>
    <x v="3"/>
    <n v="101493.30832402081"/>
    <n v="119"/>
    <n v="47251.335572329612"/>
    <n v="54241.972751691181"/>
  </r>
  <r>
    <s v="ORD101706"/>
    <d v="2024-07-01T00:00:00"/>
    <x v="2"/>
    <n v="7"/>
    <x v="1"/>
    <x v="0"/>
    <x v="3"/>
    <n v="42523.584201891557"/>
    <n v="50"/>
    <n v="21159.30802389613"/>
    <n v="21364.276177995442"/>
  </r>
  <r>
    <s v="ORD101707"/>
    <d v="2024-07-01T00:00:00"/>
    <x v="2"/>
    <n v="7"/>
    <x v="1"/>
    <x v="1"/>
    <x v="3"/>
    <n v="83878.950307040388"/>
    <n v="99"/>
    <n v="40601.771187579987"/>
    <n v="43277.179119460401"/>
  </r>
  <r>
    <s v="ORD101708"/>
    <d v="2024-07-01T00:00:00"/>
    <x v="2"/>
    <n v="7"/>
    <x v="2"/>
    <x v="0"/>
    <x v="3"/>
    <n v="27822.878631997599"/>
    <n v="33"/>
    <n v="13236.72038466392"/>
    <n v="14586.158247333669"/>
  </r>
  <r>
    <s v="ORD101709"/>
    <d v="2024-07-01T00:00:00"/>
    <x v="2"/>
    <n v="7"/>
    <x v="2"/>
    <x v="1"/>
    <x v="3"/>
    <n v="53753.571774243668"/>
    <n v="63"/>
    <n v="26418.50505489004"/>
    <n v="27335.066719353628"/>
  </r>
  <r>
    <s v="ORD101710"/>
    <d v="2024-07-01T00:00:00"/>
    <x v="2"/>
    <n v="7"/>
    <x v="3"/>
    <x v="0"/>
    <x v="3"/>
    <n v="20867.146667600249"/>
    <n v="25"/>
    <n v="9840.8485969936428"/>
    <n v="11026.29807060661"/>
  </r>
  <r>
    <s v="ORD101711"/>
    <d v="2024-07-01T00:00:00"/>
    <x v="2"/>
    <n v="7"/>
    <x v="3"/>
    <x v="1"/>
    <x v="3"/>
    <n v="44760.057890244498"/>
    <n v="53"/>
    <n v="21642.079466153809"/>
    <n v="23117.978424090688"/>
  </r>
  <r>
    <s v="ORD101712"/>
    <d v="2024-07-01T00:00:00"/>
    <x v="2"/>
    <n v="7"/>
    <x v="0"/>
    <x v="0"/>
    <x v="4"/>
    <n v="48129.974844949327"/>
    <n v="67"/>
    <n v="26389.230669402001"/>
    <n v="21740.744175547341"/>
  </r>
  <r>
    <s v="ORD101713"/>
    <d v="2024-07-01T00:00:00"/>
    <x v="2"/>
    <n v="7"/>
    <x v="0"/>
    <x v="1"/>
    <x v="4"/>
    <n v="88081.056028140665"/>
    <n v="122"/>
    <n v="49001.508849200101"/>
    <n v="39079.547178940556"/>
  </r>
  <r>
    <s v="ORD101714"/>
    <d v="2024-07-01T00:00:00"/>
    <x v="2"/>
    <n v="7"/>
    <x v="1"/>
    <x v="0"/>
    <x v="4"/>
    <n v="37416.264478451078"/>
    <n v="52"/>
    <n v="20555.396488023511"/>
    <n v="16860.867990427581"/>
  </r>
  <r>
    <s v="ORD101715"/>
    <d v="2024-07-01T00:00:00"/>
    <x v="2"/>
    <n v="7"/>
    <x v="1"/>
    <x v="1"/>
    <x v="4"/>
    <n v="68194.875825798765"/>
    <n v="95"/>
    <n v="36527.617815260797"/>
    <n v="31667.258010537971"/>
  </r>
  <r>
    <s v="ORD101716"/>
    <d v="2024-07-01T00:00:00"/>
    <x v="2"/>
    <n v="7"/>
    <x v="2"/>
    <x v="0"/>
    <x v="4"/>
    <n v="26726.42950583253"/>
    <n v="37"/>
    <n v="14719.53310551297"/>
    <n v="12006.89640031956"/>
  </r>
  <r>
    <s v="ORD101717"/>
    <d v="2024-07-01T00:00:00"/>
    <x v="2"/>
    <n v="7"/>
    <x v="2"/>
    <x v="1"/>
    <x v="4"/>
    <n v="47580.06723228412"/>
    <n v="66"/>
    <n v="26663.09673899709"/>
    <n v="20916.97049328703"/>
  </r>
  <r>
    <s v="ORD101718"/>
    <d v="2024-07-01T00:00:00"/>
    <x v="2"/>
    <n v="7"/>
    <x v="3"/>
    <x v="0"/>
    <x v="4"/>
    <n v="19603.54785283118"/>
    <n v="27"/>
    <n v="10776.281141475711"/>
    <n v="8827.2667113554689"/>
  </r>
  <r>
    <s v="ORD101719"/>
    <d v="2024-07-01T00:00:00"/>
    <x v="2"/>
    <n v="7"/>
    <x v="3"/>
    <x v="1"/>
    <x v="4"/>
    <n v="36192.378707577227"/>
    <n v="50"/>
    <n v="20183.53556339044"/>
    <n v="16008.843144186791"/>
  </r>
  <r>
    <s v="ORD101720"/>
    <d v="2024-07-01T00:00:00"/>
    <x v="2"/>
    <n v="7"/>
    <x v="0"/>
    <x v="0"/>
    <x v="5"/>
    <n v="37658.770490182178"/>
    <n v="7"/>
    <n v="25495.534569849569"/>
    <n v="12163.23592033261"/>
  </r>
  <r>
    <s v="ORD101721"/>
    <d v="2024-07-01T00:00:00"/>
    <x v="2"/>
    <n v="7"/>
    <x v="0"/>
    <x v="1"/>
    <x v="5"/>
    <n v="70844.063803721889"/>
    <n v="13"/>
    <n v="48859.297591848903"/>
    <n v="21984.76621187299"/>
  </r>
  <r>
    <s v="ORD101722"/>
    <d v="2024-07-01T00:00:00"/>
    <x v="2"/>
    <n v="7"/>
    <x v="1"/>
    <x v="0"/>
    <x v="5"/>
    <n v="32788.391181993917"/>
    <n v="6"/>
    <n v="22369.66938729008"/>
    <n v="10418.721794703841"/>
  </r>
  <r>
    <s v="ORD101723"/>
    <d v="2024-07-01T00:00:00"/>
    <x v="2"/>
    <n v="7"/>
    <x v="1"/>
    <x v="1"/>
    <x v="5"/>
    <n v="58568.769752231383"/>
    <n v="11"/>
    <n v="40955.823009550732"/>
    <n v="17612.94674268064"/>
  </r>
  <r>
    <s v="ORD101724"/>
    <d v="2024-07-01T00:00:00"/>
    <x v="2"/>
    <n v="7"/>
    <x v="2"/>
    <x v="0"/>
    <x v="5"/>
    <n v="19562.123677468091"/>
    <n v="4"/>
    <n v="13505.5165770532"/>
    <n v="6056.607100414898"/>
  </r>
  <r>
    <s v="ORD101725"/>
    <d v="2024-07-01T00:00:00"/>
    <x v="2"/>
    <n v="7"/>
    <x v="2"/>
    <x v="1"/>
    <x v="5"/>
    <n v="34801.49512442101"/>
    <n v="6"/>
    <n v="24311.305334227389"/>
    <n v="10490.189790193621"/>
  </r>
  <r>
    <s v="ORD101726"/>
    <d v="2024-07-01T00:00:00"/>
    <x v="2"/>
    <n v="7"/>
    <x v="3"/>
    <x v="0"/>
    <x v="5"/>
    <n v="16003.13408124265"/>
    <n v="3"/>
    <n v="11258.35467138624"/>
    <n v="4744.77940985641"/>
  </r>
  <r>
    <s v="ORD101727"/>
    <d v="2024-07-01T00:00:00"/>
    <x v="2"/>
    <n v="7"/>
    <x v="3"/>
    <x v="1"/>
    <x v="5"/>
    <n v="29756.796639400651"/>
    <n v="6"/>
    <n v="20787.79766907209"/>
    <n v="8968.9989703285646"/>
  </r>
  <r>
    <s v="ORD101728"/>
    <d v="2024-07-01T00:00:00"/>
    <x v="2"/>
    <n v="7"/>
    <x v="0"/>
    <x v="0"/>
    <x v="6"/>
    <n v="86752.353636179905"/>
    <n v="25"/>
    <n v="51435.515388847947"/>
    <n v="35316.838247331958"/>
  </r>
  <r>
    <s v="ORD101729"/>
    <d v="2024-07-01T00:00:00"/>
    <x v="2"/>
    <n v="7"/>
    <x v="0"/>
    <x v="1"/>
    <x v="6"/>
    <n v="151438.9744770976"/>
    <n v="43"/>
    <n v="87743.588224834777"/>
    <n v="63695.38625226279"/>
  </r>
  <r>
    <s v="ORD101730"/>
    <d v="2024-07-01T00:00:00"/>
    <x v="2"/>
    <n v="7"/>
    <x v="1"/>
    <x v="0"/>
    <x v="6"/>
    <n v="63963.376695842147"/>
    <n v="18"/>
    <n v="37736.499670477257"/>
    <n v="26226.877025364891"/>
  </r>
  <r>
    <s v="ORD101731"/>
    <d v="2024-07-01T00:00:00"/>
    <x v="2"/>
    <n v="7"/>
    <x v="1"/>
    <x v="1"/>
    <x v="6"/>
    <n v="115655.6565089732"/>
    <n v="33"/>
    <n v="67582.062085393729"/>
    <n v="48073.594423579489"/>
  </r>
  <r>
    <s v="ORD101732"/>
    <d v="2024-07-01T00:00:00"/>
    <x v="2"/>
    <n v="7"/>
    <x v="2"/>
    <x v="0"/>
    <x v="6"/>
    <n v="40501.114205413323"/>
    <n v="12"/>
    <n v="23747.66796151466"/>
    <n v="16753.446243898648"/>
  </r>
  <r>
    <s v="ORD101733"/>
    <d v="2024-07-01T00:00:00"/>
    <x v="2"/>
    <n v="7"/>
    <x v="2"/>
    <x v="1"/>
    <x v="6"/>
    <n v="82488.286888283692"/>
    <n v="24"/>
    <n v="48339.987757426461"/>
    <n v="34148.299130857231"/>
  </r>
  <r>
    <s v="ORD101734"/>
    <d v="2024-07-01T00:00:00"/>
    <x v="2"/>
    <n v="7"/>
    <x v="3"/>
    <x v="0"/>
    <x v="6"/>
    <n v="33896.356410040433"/>
    <n v="10"/>
    <n v="19646.09735448888"/>
    <n v="14250.25905555154"/>
  </r>
  <r>
    <s v="ORD101735"/>
    <d v="2024-07-01T00:00:00"/>
    <x v="2"/>
    <n v="7"/>
    <x v="3"/>
    <x v="1"/>
    <x v="6"/>
    <n v="59498.527411711148"/>
    <n v="17"/>
    <n v="33867.339102419952"/>
    <n v="25631.188309291199"/>
  </r>
  <r>
    <s v="ORD101736"/>
    <d v="2024-08-01T00:00:00"/>
    <x v="2"/>
    <n v="8"/>
    <x v="0"/>
    <x v="0"/>
    <x v="0"/>
    <n v="86819.275087049944"/>
    <n v="17"/>
    <n v="53180.584676540369"/>
    <n v="33638.690410509567"/>
  </r>
  <r>
    <s v="ORD101737"/>
    <d v="2024-08-01T00:00:00"/>
    <x v="2"/>
    <n v="8"/>
    <x v="0"/>
    <x v="1"/>
    <x v="0"/>
    <n v="155867.1062771485"/>
    <n v="30"/>
    <n v="96973.984982559312"/>
    <n v="58893.12129458916"/>
  </r>
  <r>
    <s v="ORD101738"/>
    <d v="2024-08-01T00:00:00"/>
    <x v="2"/>
    <n v="8"/>
    <x v="1"/>
    <x v="0"/>
    <x v="0"/>
    <n v="66439.85377487987"/>
    <n v="13"/>
    <n v="40193.07816733441"/>
    <n v="26246.77560754546"/>
  </r>
  <r>
    <s v="ORD101739"/>
    <d v="2024-08-01T00:00:00"/>
    <x v="2"/>
    <n v="8"/>
    <x v="1"/>
    <x v="1"/>
    <x v="0"/>
    <n v="119938.2608866565"/>
    <n v="23"/>
    <n v="74382.712595615507"/>
    <n v="45555.548291040977"/>
  </r>
  <r>
    <s v="ORD101740"/>
    <d v="2024-08-01T00:00:00"/>
    <x v="2"/>
    <n v="8"/>
    <x v="2"/>
    <x v="0"/>
    <x v="0"/>
    <n v="48839.719476118742"/>
    <n v="9"/>
    <n v="31316.36979197666"/>
    <n v="17523.349684142078"/>
  </r>
  <r>
    <s v="ORD101741"/>
    <d v="2024-08-01T00:00:00"/>
    <x v="2"/>
    <n v="8"/>
    <x v="2"/>
    <x v="1"/>
    <x v="0"/>
    <n v="86332.649901980854"/>
    <n v="17"/>
    <n v="54511.92966613415"/>
    <n v="31820.7202358467"/>
  </r>
  <r>
    <s v="ORD101742"/>
    <d v="2024-08-01T00:00:00"/>
    <x v="2"/>
    <n v="8"/>
    <x v="3"/>
    <x v="0"/>
    <x v="0"/>
    <n v="37043.437335009279"/>
    <n v="7"/>
    <n v="23646.379031916371"/>
    <n v="13397.05830309291"/>
  </r>
  <r>
    <s v="ORD101743"/>
    <d v="2024-08-01T00:00:00"/>
    <x v="2"/>
    <n v="8"/>
    <x v="3"/>
    <x v="1"/>
    <x v="0"/>
    <n v="65676.792175821596"/>
    <n v="13"/>
    <n v="41006.289500057683"/>
    <n v="24670.502675763921"/>
  </r>
  <r>
    <s v="ORD101744"/>
    <d v="2024-08-01T00:00:00"/>
    <x v="2"/>
    <n v="8"/>
    <x v="0"/>
    <x v="0"/>
    <x v="1"/>
    <n v="90250.511819384279"/>
    <n v="15"/>
    <n v="60817.113906648403"/>
    <n v="29433.39791273588"/>
  </r>
  <r>
    <s v="ORD101745"/>
    <d v="2024-08-01T00:00:00"/>
    <x v="2"/>
    <n v="8"/>
    <x v="0"/>
    <x v="1"/>
    <x v="1"/>
    <n v="167901.51552927011"/>
    <n v="28"/>
    <n v="109370.9295171471"/>
    <n v="58530.586012122993"/>
  </r>
  <r>
    <s v="ORD101746"/>
    <d v="2024-08-01T00:00:00"/>
    <x v="2"/>
    <n v="8"/>
    <x v="1"/>
    <x v="0"/>
    <x v="1"/>
    <n v="67516.193653376467"/>
    <n v="11"/>
    <n v="44043.867392535001"/>
    <n v="23472.32626084147"/>
  </r>
  <r>
    <s v="ORD101747"/>
    <d v="2024-08-01T00:00:00"/>
    <x v="2"/>
    <n v="8"/>
    <x v="1"/>
    <x v="1"/>
    <x v="1"/>
    <n v="126744.8262733594"/>
    <n v="21"/>
    <n v="79527.183767581781"/>
    <n v="47217.642505777578"/>
  </r>
  <r>
    <s v="ORD101748"/>
    <d v="2024-08-01T00:00:00"/>
    <x v="2"/>
    <n v="8"/>
    <x v="2"/>
    <x v="0"/>
    <x v="1"/>
    <n v="45758.99691808613"/>
    <n v="8"/>
    <n v="30845.74667177915"/>
    <n v="14913.25024630698"/>
  </r>
  <r>
    <s v="ORD101749"/>
    <d v="2024-08-01T00:00:00"/>
    <x v="2"/>
    <n v="8"/>
    <x v="2"/>
    <x v="1"/>
    <x v="1"/>
    <n v="88876.845527243975"/>
    <n v="15"/>
    <n v="60285.079788607392"/>
    <n v="28591.765738636579"/>
  </r>
  <r>
    <s v="ORD101750"/>
    <d v="2024-08-01T00:00:00"/>
    <x v="2"/>
    <n v="8"/>
    <x v="3"/>
    <x v="0"/>
    <x v="1"/>
    <n v="34878.306453488993"/>
    <n v="6"/>
    <n v="22790.47089972526"/>
    <n v="12087.835553763731"/>
  </r>
  <r>
    <s v="ORD101751"/>
    <d v="2024-08-01T00:00:00"/>
    <x v="2"/>
    <n v="8"/>
    <x v="3"/>
    <x v="1"/>
    <x v="1"/>
    <n v="68277.248412372966"/>
    <n v="11"/>
    <n v="44856.995162106083"/>
    <n v="23420.25325026688"/>
  </r>
  <r>
    <s v="ORD101752"/>
    <d v="2024-08-01T00:00:00"/>
    <x v="2"/>
    <n v="8"/>
    <x v="0"/>
    <x v="0"/>
    <x v="2"/>
    <n v="55230.431948395839"/>
    <n v="13"/>
    <n v="34867.828227430109"/>
    <n v="20362.60372096573"/>
  </r>
  <r>
    <s v="ORD101753"/>
    <d v="2024-08-01T00:00:00"/>
    <x v="2"/>
    <n v="8"/>
    <x v="0"/>
    <x v="1"/>
    <x v="2"/>
    <n v="101141.38258769079"/>
    <n v="24"/>
    <n v="65176.333154665073"/>
    <n v="35965.049433025677"/>
  </r>
  <r>
    <s v="ORD101754"/>
    <d v="2024-08-01T00:00:00"/>
    <x v="2"/>
    <n v="8"/>
    <x v="1"/>
    <x v="0"/>
    <x v="2"/>
    <n v="45566.034211635662"/>
    <n v="11"/>
    <n v="29752.762290462029"/>
    <n v="15813.27192117364"/>
  </r>
  <r>
    <s v="ORD101755"/>
    <d v="2024-08-01T00:00:00"/>
    <x v="2"/>
    <n v="8"/>
    <x v="1"/>
    <x v="1"/>
    <x v="2"/>
    <n v="89347.032077941767"/>
    <n v="21"/>
    <n v="55388.304010082429"/>
    <n v="33958.728067859338"/>
  </r>
  <r>
    <s v="ORD101756"/>
    <d v="2024-08-01T00:00:00"/>
    <x v="2"/>
    <n v="8"/>
    <x v="2"/>
    <x v="0"/>
    <x v="2"/>
    <n v="34653.8720023059"/>
    <n v="8"/>
    <n v="22341.931104071871"/>
    <n v="12311.94089823403"/>
  </r>
  <r>
    <s v="ORD101757"/>
    <d v="2024-08-01T00:00:00"/>
    <x v="2"/>
    <n v="8"/>
    <x v="2"/>
    <x v="1"/>
    <x v="2"/>
    <n v="60532.454137191999"/>
    <n v="14"/>
    <n v="38547.838050050806"/>
    <n v="21984.616087141188"/>
  </r>
  <r>
    <s v="ORD101758"/>
    <d v="2024-08-01T00:00:00"/>
    <x v="2"/>
    <n v="8"/>
    <x v="3"/>
    <x v="0"/>
    <x v="2"/>
    <n v="22295.32086664388"/>
    <n v="5"/>
    <n v="14298.12980800297"/>
    <n v="7997.1910586409122"/>
  </r>
  <r>
    <s v="ORD101759"/>
    <d v="2024-08-01T00:00:00"/>
    <x v="2"/>
    <n v="8"/>
    <x v="3"/>
    <x v="1"/>
    <x v="2"/>
    <n v="43558.23026097929"/>
    <n v="10"/>
    <n v="28107.586340108392"/>
    <n v="15450.6439208709"/>
  </r>
  <r>
    <s v="ORD101760"/>
    <d v="2024-08-01T00:00:00"/>
    <x v="2"/>
    <n v="8"/>
    <x v="0"/>
    <x v="0"/>
    <x v="3"/>
    <n v="53556.730532747068"/>
    <n v="63"/>
    <n v="25620.143712655561"/>
    <n v="27936.58682009151"/>
  </r>
  <r>
    <s v="ORD101761"/>
    <d v="2024-08-01T00:00:00"/>
    <x v="2"/>
    <n v="8"/>
    <x v="0"/>
    <x v="1"/>
    <x v="3"/>
    <n v="94209.567005389472"/>
    <n v="111"/>
    <n v="45136.275503264107"/>
    <n v="49073.291502125358"/>
  </r>
  <r>
    <s v="ORD101762"/>
    <d v="2024-08-01T00:00:00"/>
    <x v="2"/>
    <n v="8"/>
    <x v="1"/>
    <x v="0"/>
    <x v="3"/>
    <n v="42301.750354363583"/>
    <n v="50"/>
    <n v="20226.671550410629"/>
    <n v="22075.07880395294"/>
  </r>
  <r>
    <s v="ORD101763"/>
    <d v="2024-08-01T00:00:00"/>
    <x v="2"/>
    <n v="8"/>
    <x v="1"/>
    <x v="1"/>
    <x v="3"/>
    <n v="79946.239557478286"/>
    <n v="94"/>
    <n v="39044.42684387631"/>
    <n v="40901.812713601983"/>
  </r>
  <r>
    <s v="ORD101764"/>
    <d v="2024-08-01T00:00:00"/>
    <x v="2"/>
    <n v="8"/>
    <x v="2"/>
    <x v="0"/>
    <x v="3"/>
    <n v="28378.305883772689"/>
    <n v="33"/>
    <n v="13724.261977007731"/>
    <n v="14654.04390676496"/>
  </r>
  <r>
    <s v="ORD101765"/>
    <d v="2024-08-01T00:00:00"/>
    <x v="2"/>
    <n v="8"/>
    <x v="2"/>
    <x v="1"/>
    <x v="3"/>
    <n v="50553.092344831573"/>
    <n v="59"/>
    <n v="24361.83052031296"/>
    <n v="26191.26182451861"/>
  </r>
  <r>
    <s v="ORD101766"/>
    <d v="2024-08-01T00:00:00"/>
    <x v="2"/>
    <n v="8"/>
    <x v="3"/>
    <x v="0"/>
    <x v="3"/>
    <n v="21370.541248913061"/>
    <n v="25"/>
    <n v="10023.1893972746"/>
    <n v="11347.351851638459"/>
  </r>
  <r>
    <s v="ORD101767"/>
    <d v="2024-08-01T00:00:00"/>
    <x v="2"/>
    <n v="8"/>
    <x v="3"/>
    <x v="1"/>
    <x v="3"/>
    <n v="39531.718065558052"/>
    <n v="47"/>
    <n v="18845.91922916421"/>
    <n v="20685.798836393831"/>
  </r>
  <r>
    <s v="ORD101768"/>
    <d v="2024-08-01T00:00:00"/>
    <x v="2"/>
    <n v="8"/>
    <x v="0"/>
    <x v="0"/>
    <x v="4"/>
    <n v="45243.608293070669"/>
    <n v="63"/>
    <n v="25286.509012395811"/>
    <n v="19957.099280674862"/>
  </r>
  <r>
    <s v="ORD101769"/>
    <d v="2024-08-01T00:00:00"/>
    <x v="2"/>
    <n v="8"/>
    <x v="0"/>
    <x v="1"/>
    <x v="4"/>
    <n v="91705.642838188869"/>
    <n v="127"/>
    <n v="50472.327746868032"/>
    <n v="41233.315091320837"/>
  </r>
  <r>
    <s v="ORD101770"/>
    <d v="2024-08-01T00:00:00"/>
    <x v="2"/>
    <n v="8"/>
    <x v="1"/>
    <x v="0"/>
    <x v="4"/>
    <n v="33221.419958187151"/>
    <n v="46"/>
    <n v="18488.695639078858"/>
    <n v="14732.724319108291"/>
  </r>
  <r>
    <s v="ORD101771"/>
    <d v="2024-08-01T00:00:00"/>
    <x v="2"/>
    <n v="8"/>
    <x v="1"/>
    <x v="1"/>
    <x v="4"/>
    <n v="60954.882621382967"/>
    <n v="85"/>
    <n v="34591.192884199401"/>
    <n v="26363.689737183569"/>
  </r>
  <r>
    <s v="ORD101772"/>
    <d v="2024-08-01T00:00:00"/>
    <x v="2"/>
    <n v="8"/>
    <x v="2"/>
    <x v="0"/>
    <x v="4"/>
    <n v="28455.052685607989"/>
    <n v="40"/>
    <n v="15942.859522231791"/>
    <n v="12512.1931633762"/>
  </r>
  <r>
    <s v="ORD101773"/>
    <d v="2024-08-01T00:00:00"/>
    <x v="2"/>
    <n v="8"/>
    <x v="2"/>
    <x v="1"/>
    <x v="4"/>
    <n v="48745.904514696922"/>
    <n v="68"/>
    <n v="26855.204248682479"/>
    <n v="21890.70026601445"/>
  </r>
  <r>
    <s v="ORD101774"/>
    <d v="2024-08-01T00:00:00"/>
    <x v="2"/>
    <n v="8"/>
    <x v="3"/>
    <x v="0"/>
    <x v="4"/>
    <n v="18799.151769246932"/>
    <n v="26"/>
    <n v="10244.432459752599"/>
    <n v="8554.7193094943323"/>
  </r>
  <r>
    <s v="ORD101775"/>
    <d v="2024-08-01T00:00:00"/>
    <x v="2"/>
    <n v="8"/>
    <x v="3"/>
    <x v="1"/>
    <x v="4"/>
    <n v="36068.784554065518"/>
    <n v="50"/>
    <n v="18926.007545476248"/>
    <n v="17142.77700858927"/>
  </r>
  <r>
    <s v="ORD101776"/>
    <d v="2024-08-01T00:00:00"/>
    <x v="2"/>
    <n v="8"/>
    <x v="0"/>
    <x v="0"/>
    <x v="5"/>
    <n v="41120.723065772872"/>
    <n v="8"/>
    <n v="28287.301472096289"/>
    <n v="12833.42159367658"/>
  </r>
  <r>
    <s v="ORD101777"/>
    <d v="2024-08-01T00:00:00"/>
    <x v="2"/>
    <n v="8"/>
    <x v="0"/>
    <x v="1"/>
    <x v="5"/>
    <n v="74016.492528280913"/>
    <n v="14"/>
    <n v="50771.681500371262"/>
    <n v="23244.811027909651"/>
  </r>
  <r>
    <s v="ORD101778"/>
    <d v="2024-08-01T00:00:00"/>
    <x v="2"/>
    <n v="8"/>
    <x v="1"/>
    <x v="0"/>
    <x v="5"/>
    <n v="35756.06276365379"/>
    <n v="7"/>
    <n v="24845.041147114429"/>
    <n v="10911.021616539359"/>
  </r>
  <r>
    <s v="ORD101779"/>
    <d v="2024-08-01T00:00:00"/>
    <x v="2"/>
    <n v="8"/>
    <x v="1"/>
    <x v="1"/>
    <x v="5"/>
    <n v="61963.956589122899"/>
    <n v="11"/>
    <n v="42636.685762600311"/>
    <n v="19327.270826522588"/>
  </r>
  <r>
    <s v="ORD101780"/>
    <d v="2024-08-01T00:00:00"/>
    <x v="2"/>
    <n v="8"/>
    <x v="2"/>
    <x v="0"/>
    <x v="5"/>
    <n v="25843.66716377464"/>
    <n v="5"/>
    <n v="17729.293676487599"/>
    <n v="8114.3734872870446"/>
  </r>
  <r>
    <s v="ORD101781"/>
    <d v="2024-08-01T00:00:00"/>
    <x v="2"/>
    <n v="8"/>
    <x v="2"/>
    <x v="1"/>
    <x v="5"/>
    <n v="46774.108672474918"/>
    <n v="9"/>
    <n v="31240.42088108309"/>
    <n v="15533.687791391831"/>
  </r>
  <r>
    <s v="ORD101782"/>
    <d v="2024-08-01T00:00:00"/>
    <x v="2"/>
    <n v="8"/>
    <x v="3"/>
    <x v="0"/>
    <x v="5"/>
    <n v="17054.787626256199"/>
    <n v="3"/>
    <n v="11568.699041982059"/>
    <n v="5486.0885842741336"/>
  </r>
  <r>
    <s v="ORD101783"/>
    <d v="2024-08-01T00:00:00"/>
    <x v="2"/>
    <n v="8"/>
    <x v="3"/>
    <x v="1"/>
    <x v="5"/>
    <n v="31726.64351515505"/>
    <n v="6"/>
    <n v="22079.205943102359"/>
    <n v="9647.4375720526878"/>
  </r>
  <r>
    <s v="ORD101784"/>
    <d v="2024-08-01T00:00:00"/>
    <x v="2"/>
    <n v="8"/>
    <x v="0"/>
    <x v="0"/>
    <x v="6"/>
    <n v="79095.923782925849"/>
    <n v="23"/>
    <n v="48107.95522954296"/>
    <n v="30987.968553382889"/>
  </r>
  <r>
    <s v="ORD101785"/>
    <d v="2024-08-01T00:00:00"/>
    <x v="2"/>
    <n v="8"/>
    <x v="0"/>
    <x v="1"/>
    <x v="6"/>
    <n v="150927.19078919571"/>
    <n v="43"/>
    <n v="88890.724319668239"/>
    <n v="62036.466469527499"/>
  </r>
  <r>
    <s v="ORD101786"/>
    <d v="2024-08-01T00:00:00"/>
    <x v="2"/>
    <n v="8"/>
    <x v="1"/>
    <x v="0"/>
    <x v="6"/>
    <n v="65676.742895244286"/>
    <n v="19"/>
    <n v="38977.922273597898"/>
    <n v="26698.820621646391"/>
  </r>
  <r>
    <s v="ORD101787"/>
    <d v="2024-08-01T00:00:00"/>
    <x v="2"/>
    <n v="8"/>
    <x v="1"/>
    <x v="1"/>
    <x v="6"/>
    <n v="120753.79676205369"/>
    <n v="35"/>
    <n v="72466.203146808111"/>
    <n v="48287.593615245583"/>
  </r>
  <r>
    <s v="ORD101788"/>
    <d v="2024-08-01T00:00:00"/>
    <x v="2"/>
    <n v="8"/>
    <x v="2"/>
    <x v="0"/>
    <x v="6"/>
    <n v="46660.831761775458"/>
    <n v="13"/>
    <n v="27128.061953079799"/>
    <n v="19532.769808695659"/>
  </r>
  <r>
    <s v="ORD101789"/>
    <d v="2024-08-01T00:00:00"/>
    <x v="2"/>
    <n v="8"/>
    <x v="2"/>
    <x v="1"/>
    <x v="6"/>
    <n v="80544.362262817493"/>
    <n v="23"/>
    <n v="47834.939544892033"/>
    <n v="32709.422717925459"/>
  </r>
  <r>
    <s v="ORD101790"/>
    <d v="2024-08-01T00:00:00"/>
    <x v="2"/>
    <n v="8"/>
    <x v="3"/>
    <x v="0"/>
    <x v="6"/>
    <n v="34367.555728342959"/>
    <n v="10"/>
    <n v="20006.591252068469"/>
    <n v="14360.96447627449"/>
  </r>
  <r>
    <s v="ORD101791"/>
    <d v="2024-08-01T00:00:00"/>
    <x v="2"/>
    <n v="8"/>
    <x v="3"/>
    <x v="1"/>
    <x v="6"/>
    <n v="63864.614526759004"/>
    <n v="18"/>
    <n v="38266.683005989777"/>
    <n v="25597.931520769209"/>
  </r>
  <r>
    <s v="ORD101792"/>
    <d v="2024-09-01T00:00:00"/>
    <x v="2"/>
    <n v="9"/>
    <x v="0"/>
    <x v="0"/>
    <x v="0"/>
    <n v="82671.777339058259"/>
    <n v="16"/>
    <n v="51396.188981423038"/>
    <n v="31275.588357635221"/>
  </r>
  <r>
    <s v="ORD101793"/>
    <d v="2024-09-01T00:00:00"/>
    <x v="2"/>
    <n v="9"/>
    <x v="0"/>
    <x v="1"/>
    <x v="0"/>
    <n v="162650.13102919259"/>
    <n v="31"/>
    <n v="101384.8236475132"/>
    <n v="61265.30738167942"/>
  </r>
  <r>
    <s v="ORD101794"/>
    <d v="2024-09-01T00:00:00"/>
    <x v="2"/>
    <n v="9"/>
    <x v="1"/>
    <x v="0"/>
    <x v="0"/>
    <n v="64822.379977317767"/>
    <n v="12"/>
    <n v="39623.729861185348"/>
    <n v="25198.65011613243"/>
  </r>
  <r>
    <s v="ORD101795"/>
    <d v="2024-09-01T00:00:00"/>
    <x v="2"/>
    <n v="9"/>
    <x v="1"/>
    <x v="1"/>
    <x v="0"/>
    <n v="122827.0202637708"/>
    <n v="24"/>
    <n v="77121.916849583271"/>
    <n v="45705.103414187528"/>
  </r>
  <r>
    <s v="ORD101796"/>
    <d v="2024-09-01T00:00:00"/>
    <x v="2"/>
    <n v="9"/>
    <x v="2"/>
    <x v="0"/>
    <x v="0"/>
    <n v="42627.510288722588"/>
    <n v="8"/>
    <n v="27420.8022949347"/>
    <n v="15206.70799378789"/>
  </r>
  <r>
    <s v="ORD101797"/>
    <d v="2024-09-01T00:00:00"/>
    <x v="2"/>
    <n v="9"/>
    <x v="2"/>
    <x v="1"/>
    <x v="0"/>
    <n v="83597.260636426552"/>
    <n v="16"/>
    <n v="50889.974985798908"/>
    <n v="32707.28565062764"/>
  </r>
  <r>
    <s v="ORD101798"/>
    <d v="2024-09-01T00:00:00"/>
    <x v="2"/>
    <n v="9"/>
    <x v="3"/>
    <x v="0"/>
    <x v="0"/>
    <n v="35473.701661806743"/>
    <n v="7"/>
    <n v="21859.189022356109"/>
    <n v="13614.51263945063"/>
  </r>
  <r>
    <s v="ORD101799"/>
    <d v="2024-09-01T00:00:00"/>
    <x v="2"/>
    <n v="9"/>
    <x v="3"/>
    <x v="1"/>
    <x v="0"/>
    <n v="62218.819505694832"/>
    <n v="12"/>
    <n v="38736.487528457597"/>
    <n v="23482.331977237231"/>
  </r>
  <r>
    <s v="ORD101800"/>
    <d v="2024-09-01T00:00:00"/>
    <x v="2"/>
    <n v="9"/>
    <x v="0"/>
    <x v="0"/>
    <x v="1"/>
    <n v="92165.698573556685"/>
    <n v="15"/>
    <n v="61690.419631894612"/>
    <n v="30475.278941662069"/>
  </r>
  <r>
    <s v="ORD101801"/>
    <d v="2024-09-01T00:00:00"/>
    <x v="2"/>
    <n v="9"/>
    <x v="0"/>
    <x v="1"/>
    <x v="1"/>
    <n v="161899.8464432387"/>
    <n v="27"/>
    <n v="105777.6840154625"/>
    <n v="56122.162427776202"/>
  </r>
  <r>
    <s v="ORD101802"/>
    <d v="2024-09-01T00:00:00"/>
    <x v="2"/>
    <n v="9"/>
    <x v="1"/>
    <x v="0"/>
    <x v="1"/>
    <n v="71993.107269895525"/>
    <n v="12"/>
    <n v="45092.421993634976"/>
    <n v="26900.685276260549"/>
  </r>
  <r>
    <s v="ORD101803"/>
    <d v="2024-09-01T00:00:00"/>
    <x v="2"/>
    <n v="9"/>
    <x v="1"/>
    <x v="1"/>
    <x v="1"/>
    <n v="130316.0022404824"/>
    <n v="21"/>
    <n v="88112.796275778994"/>
    <n v="42203.205964703397"/>
  </r>
  <r>
    <s v="ORD101804"/>
    <d v="2024-09-01T00:00:00"/>
    <x v="2"/>
    <n v="9"/>
    <x v="2"/>
    <x v="0"/>
    <x v="1"/>
    <n v="49447.91466064439"/>
    <n v="8"/>
    <n v="33082.376323422417"/>
    <n v="16365.538337221969"/>
  </r>
  <r>
    <s v="ORD101805"/>
    <d v="2024-09-01T00:00:00"/>
    <x v="2"/>
    <n v="9"/>
    <x v="2"/>
    <x v="1"/>
    <x v="1"/>
    <n v="90243.180489796912"/>
    <n v="15"/>
    <n v="57691.904275759858"/>
    <n v="32551.276214037051"/>
  </r>
  <r>
    <s v="ORD101806"/>
    <d v="2024-09-01T00:00:00"/>
    <x v="2"/>
    <n v="9"/>
    <x v="3"/>
    <x v="0"/>
    <x v="1"/>
    <n v="32283.135715393881"/>
    <n v="5"/>
    <n v="21073.85257011385"/>
    <n v="11209.283145280029"/>
  </r>
  <r>
    <s v="ORD101807"/>
    <d v="2024-09-01T00:00:00"/>
    <x v="2"/>
    <n v="9"/>
    <x v="3"/>
    <x v="1"/>
    <x v="1"/>
    <n v="70720.400220133175"/>
    <n v="12"/>
    <n v="47992.98571501601"/>
    <n v="22727.414505117169"/>
  </r>
  <r>
    <s v="ORD101808"/>
    <d v="2024-09-01T00:00:00"/>
    <x v="2"/>
    <n v="9"/>
    <x v="0"/>
    <x v="0"/>
    <x v="2"/>
    <n v="65310.049226630668"/>
    <n v="15"/>
    <n v="42887.712654786483"/>
    <n v="22422.336571844189"/>
  </r>
  <r>
    <s v="ORD101809"/>
    <d v="2024-09-01T00:00:00"/>
    <x v="2"/>
    <n v="9"/>
    <x v="0"/>
    <x v="1"/>
    <x v="2"/>
    <n v="114165.8070324158"/>
    <n v="27"/>
    <n v="74300.606563233901"/>
    <n v="39865.200469181873"/>
  </r>
  <r>
    <s v="ORD101810"/>
    <d v="2024-09-01T00:00:00"/>
    <x v="2"/>
    <n v="9"/>
    <x v="1"/>
    <x v="0"/>
    <x v="2"/>
    <n v="52470.51815730286"/>
    <n v="12"/>
    <n v="33474.678633826647"/>
    <n v="18995.83952347621"/>
  </r>
  <r>
    <s v="ORD101811"/>
    <d v="2024-09-01T00:00:00"/>
    <x v="2"/>
    <n v="9"/>
    <x v="1"/>
    <x v="1"/>
    <x v="2"/>
    <n v="89902.735730929839"/>
    <n v="21"/>
    <n v="57623.699237513407"/>
    <n v="32279.036493416421"/>
  </r>
  <r>
    <s v="ORD101812"/>
    <d v="2024-09-01T00:00:00"/>
    <x v="2"/>
    <n v="9"/>
    <x v="2"/>
    <x v="0"/>
    <x v="2"/>
    <n v="33627.860743197707"/>
    <n v="8"/>
    <n v="21471.111141013262"/>
    <n v="12156.74960218446"/>
  </r>
  <r>
    <s v="ORD101813"/>
    <d v="2024-09-01T00:00:00"/>
    <x v="2"/>
    <n v="9"/>
    <x v="2"/>
    <x v="1"/>
    <x v="2"/>
    <n v="61646.06812287349"/>
    <n v="14"/>
    <n v="40254.717414760547"/>
    <n v="21391.350708112939"/>
  </r>
  <r>
    <s v="ORD101814"/>
    <d v="2024-09-01T00:00:00"/>
    <x v="2"/>
    <n v="9"/>
    <x v="3"/>
    <x v="0"/>
    <x v="2"/>
    <n v="24062.637543321991"/>
    <n v="6"/>
    <n v="15157.30312487415"/>
    <n v="8905.3344184478374"/>
  </r>
  <r>
    <s v="ORD101815"/>
    <d v="2024-09-01T00:00:00"/>
    <x v="2"/>
    <n v="9"/>
    <x v="3"/>
    <x v="1"/>
    <x v="2"/>
    <n v="45631.835341628517"/>
    <n v="11"/>
    <n v="28780.782868843649"/>
    <n v="16851.052472784861"/>
  </r>
  <r>
    <s v="ORD101816"/>
    <d v="2024-09-01T00:00:00"/>
    <x v="2"/>
    <n v="9"/>
    <x v="0"/>
    <x v="0"/>
    <x v="3"/>
    <n v="58293.911435023343"/>
    <n v="69"/>
    <n v="28489.911775797431"/>
    <n v="29803.999659225901"/>
  </r>
  <r>
    <s v="ORD101817"/>
    <d v="2024-09-01T00:00:00"/>
    <x v="2"/>
    <n v="9"/>
    <x v="0"/>
    <x v="1"/>
    <x v="3"/>
    <n v="109261.47730490319"/>
    <n v="129"/>
    <n v="52403.631042211513"/>
    <n v="56857.846262691732"/>
  </r>
  <r>
    <s v="ORD101818"/>
    <d v="2024-09-01T00:00:00"/>
    <x v="2"/>
    <n v="9"/>
    <x v="1"/>
    <x v="0"/>
    <x v="3"/>
    <n v="44617.978341147122"/>
    <n v="52"/>
    <n v="21948.027849657701"/>
    <n v="22669.950491489421"/>
  </r>
  <r>
    <s v="ORD101819"/>
    <d v="2024-09-01T00:00:00"/>
    <x v="2"/>
    <n v="9"/>
    <x v="1"/>
    <x v="1"/>
    <x v="3"/>
    <n v="82859.075377579356"/>
    <n v="97"/>
    <n v="39291.618973068653"/>
    <n v="43567.456404510704"/>
  </r>
  <r>
    <s v="ORD101820"/>
    <d v="2024-09-01T00:00:00"/>
    <x v="2"/>
    <n v="9"/>
    <x v="2"/>
    <x v="0"/>
    <x v="3"/>
    <n v="29945.52258035315"/>
    <n v="35"/>
    <n v="14359.67807091706"/>
    <n v="15585.84450943609"/>
  </r>
  <r>
    <s v="ORD101821"/>
    <d v="2024-09-01T00:00:00"/>
    <x v="2"/>
    <n v="9"/>
    <x v="2"/>
    <x v="1"/>
    <x v="3"/>
    <n v="61256.657976615563"/>
    <n v="72"/>
    <n v="28915.00181546477"/>
    <n v="32341.65616115079"/>
  </r>
  <r>
    <s v="ORD101822"/>
    <d v="2024-09-01T00:00:00"/>
    <x v="2"/>
    <n v="9"/>
    <x v="3"/>
    <x v="0"/>
    <x v="3"/>
    <n v="21054.063556333589"/>
    <n v="25"/>
    <n v="10107.28983113331"/>
    <n v="10946.77372520029"/>
  </r>
  <r>
    <s v="ORD101823"/>
    <d v="2024-09-01T00:00:00"/>
    <x v="2"/>
    <n v="9"/>
    <x v="3"/>
    <x v="1"/>
    <x v="3"/>
    <n v="40554.011557903803"/>
    <n v="48"/>
    <n v="18947.862425092149"/>
    <n v="21606.14913281165"/>
  </r>
  <r>
    <s v="ORD101824"/>
    <d v="2024-09-01T00:00:00"/>
    <x v="2"/>
    <n v="9"/>
    <x v="0"/>
    <x v="0"/>
    <x v="4"/>
    <n v="43699.172993198386"/>
    <n v="61"/>
    <n v="23823.584291785312"/>
    <n v="19875.588701413071"/>
  </r>
  <r>
    <s v="ORD101825"/>
    <d v="2024-09-01T00:00:00"/>
    <x v="2"/>
    <n v="9"/>
    <x v="0"/>
    <x v="1"/>
    <x v="4"/>
    <n v="81951.407681872515"/>
    <n v="114"/>
    <n v="43908.014267437939"/>
    <n v="38043.393414434577"/>
  </r>
  <r>
    <s v="ORD101826"/>
    <d v="2024-09-01T00:00:00"/>
    <x v="2"/>
    <n v="9"/>
    <x v="1"/>
    <x v="0"/>
    <x v="4"/>
    <n v="37705.3401117916"/>
    <n v="52"/>
    <n v="20996.966715522991"/>
    <n v="16708.373396268609"/>
  </r>
  <r>
    <s v="ORD101827"/>
    <d v="2024-09-01T00:00:00"/>
    <x v="2"/>
    <n v="9"/>
    <x v="1"/>
    <x v="1"/>
    <x v="4"/>
    <n v="63711.166629021624"/>
    <n v="88"/>
    <n v="35493.123599978957"/>
    <n v="28218.043029042648"/>
  </r>
  <r>
    <s v="ORD101828"/>
    <d v="2024-09-01T00:00:00"/>
    <x v="2"/>
    <n v="9"/>
    <x v="2"/>
    <x v="0"/>
    <x v="4"/>
    <n v="25482.896127461219"/>
    <n v="35"/>
    <n v="13579.08102630559"/>
    <n v="11903.815101155629"/>
  </r>
  <r>
    <s v="ORD101829"/>
    <d v="2024-09-01T00:00:00"/>
    <x v="2"/>
    <n v="9"/>
    <x v="2"/>
    <x v="1"/>
    <x v="4"/>
    <n v="46399.712206444281"/>
    <n v="64"/>
    <n v="26132.57166914866"/>
    <n v="20267.140537295621"/>
  </r>
  <r>
    <s v="ORD101830"/>
    <d v="2024-09-01T00:00:00"/>
    <x v="2"/>
    <n v="9"/>
    <x v="3"/>
    <x v="0"/>
    <x v="4"/>
    <n v="18131.74124274421"/>
    <n v="25"/>
    <n v="10420.75428350412"/>
    <n v="7710.9869592400901"/>
  </r>
  <r>
    <s v="ORD101831"/>
    <d v="2024-09-01T00:00:00"/>
    <x v="2"/>
    <n v="9"/>
    <x v="3"/>
    <x v="1"/>
    <x v="4"/>
    <n v="36331.424756787463"/>
    <n v="50"/>
    <n v="19998.831244255729"/>
    <n v="16332.59351253173"/>
  </r>
  <r>
    <s v="ORD101832"/>
    <d v="2024-09-01T00:00:00"/>
    <x v="2"/>
    <n v="9"/>
    <x v="0"/>
    <x v="0"/>
    <x v="5"/>
    <n v="43753.910436700018"/>
    <n v="8"/>
    <n v="29841.801602777239"/>
    <n v="13912.108833922781"/>
  </r>
  <r>
    <s v="ORD101833"/>
    <d v="2024-09-01T00:00:00"/>
    <x v="2"/>
    <n v="9"/>
    <x v="0"/>
    <x v="1"/>
    <x v="5"/>
    <n v="77765.418468815391"/>
    <n v="14"/>
    <n v="56386.008552253683"/>
    <n v="21379.409916561712"/>
  </r>
  <r>
    <s v="ORD101834"/>
    <d v="2024-09-01T00:00:00"/>
    <x v="2"/>
    <n v="9"/>
    <x v="1"/>
    <x v="0"/>
    <x v="5"/>
    <n v="30862.325639439969"/>
    <n v="6"/>
    <n v="20789.43076475311"/>
    <n v="10072.894874686859"/>
  </r>
  <r>
    <s v="ORD101835"/>
    <d v="2024-09-01T00:00:00"/>
    <x v="2"/>
    <n v="9"/>
    <x v="1"/>
    <x v="1"/>
    <x v="5"/>
    <n v="63606.387218255593"/>
    <n v="12"/>
    <n v="43904.291115084809"/>
    <n v="19702.096103170781"/>
  </r>
  <r>
    <s v="ORD101836"/>
    <d v="2024-09-01T00:00:00"/>
    <x v="2"/>
    <n v="9"/>
    <x v="2"/>
    <x v="0"/>
    <x v="5"/>
    <n v="24762.910397138879"/>
    <n v="5"/>
    <n v="17141.65196443786"/>
    <n v="7621.2584327010227"/>
  </r>
  <r>
    <s v="ORD101837"/>
    <d v="2024-09-01T00:00:00"/>
    <x v="2"/>
    <n v="9"/>
    <x v="2"/>
    <x v="1"/>
    <x v="5"/>
    <n v="44865.03550384086"/>
    <n v="8"/>
    <n v="31706.42268685903"/>
    <n v="13158.612816981829"/>
  </r>
  <r>
    <s v="ORD101838"/>
    <d v="2024-09-01T00:00:00"/>
    <x v="2"/>
    <n v="9"/>
    <x v="3"/>
    <x v="0"/>
    <x v="5"/>
    <n v="16566.34458634094"/>
    <n v="3"/>
    <n v="11504.795497577999"/>
    <n v="5061.5490887629458"/>
  </r>
  <r>
    <s v="ORD101839"/>
    <d v="2024-09-01T00:00:00"/>
    <x v="2"/>
    <n v="9"/>
    <x v="3"/>
    <x v="1"/>
    <x v="5"/>
    <n v="32598.50514793241"/>
    <n v="6"/>
    <n v="22291.084934407951"/>
    <n v="10307.42021352446"/>
  </r>
  <r>
    <s v="ORD101840"/>
    <d v="2024-09-01T00:00:00"/>
    <x v="2"/>
    <n v="9"/>
    <x v="0"/>
    <x v="0"/>
    <x v="6"/>
    <n v="92548.610503933654"/>
    <n v="26"/>
    <n v="53668.793188272502"/>
    <n v="38879.817315661159"/>
  </r>
  <r>
    <s v="ORD101841"/>
    <d v="2024-09-01T00:00:00"/>
    <x v="2"/>
    <n v="9"/>
    <x v="0"/>
    <x v="1"/>
    <x v="6"/>
    <n v="154484.7741025477"/>
    <n v="44"/>
    <n v="90585.214168318591"/>
    <n v="63899.55993422911"/>
  </r>
  <r>
    <s v="ORD101842"/>
    <d v="2024-09-01T00:00:00"/>
    <x v="2"/>
    <n v="9"/>
    <x v="1"/>
    <x v="0"/>
    <x v="6"/>
    <n v="72309.95714767708"/>
    <n v="21"/>
    <n v="41889.623231842939"/>
    <n v="30420.33391583414"/>
  </r>
  <r>
    <s v="ORD101843"/>
    <d v="2024-09-01T00:00:00"/>
    <x v="2"/>
    <n v="9"/>
    <x v="1"/>
    <x v="1"/>
    <x v="6"/>
    <n v="128787.9512328212"/>
    <n v="37"/>
    <n v="76050.303258356085"/>
    <n v="52737.64797446513"/>
  </r>
  <r>
    <s v="ORD101844"/>
    <d v="2024-09-01T00:00:00"/>
    <x v="2"/>
    <n v="9"/>
    <x v="2"/>
    <x v="0"/>
    <x v="6"/>
    <n v="50825.060310616369"/>
    <n v="15"/>
    <n v="29682.25384556095"/>
    <n v="21142.806465055419"/>
  </r>
  <r>
    <s v="ORD101845"/>
    <d v="2024-09-01T00:00:00"/>
    <x v="2"/>
    <n v="9"/>
    <x v="2"/>
    <x v="1"/>
    <x v="6"/>
    <n v="90730.071589681975"/>
    <n v="26"/>
    <n v="52091.157101799101"/>
    <n v="38638.914487882867"/>
  </r>
  <r>
    <s v="ORD101846"/>
    <d v="2024-09-01T00:00:00"/>
    <x v="2"/>
    <n v="9"/>
    <x v="3"/>
    <x v="0"/>
    <x v="6"/>
    <n v="36617.43224638317"/>
    <n v="10"/>
    <n v="22092.382517853981"/>
    <n v="14525.049728529189"/>
  </r>
  <r>
    <s v="ORD101847"/>
    <d v="2024-09-01T00:00:00"/>
    <x v="2"/>
    <n v="9"/>
    <x v="3"/>
    <x v="1"/>
    <x v="6"/>
    <n v="68738.856590400115"/>
    <n v="20"/>
    <n v="40192.621133231827"/>
    <n v="28546.235457168281"/>
  </r>
  <r>
    <s v="ORD101848"/>
    <d v="2024-10-01T00:00:00"/>
    <x v="2"/>
    <n v="10"/>
    <x v="0"/>
    <x v="0"/>
    <x v="0"/>
    <n v="87227.874127693533"/>
    <n v="17"/>
    <n v="52846.79760514191"/>
    <n v="34381.076522551622"/>
  </r>
  <r>
    <s v="ORD101849"/>
    <d v="2024-10-01T00:00:00"/>
    <x v="2"/>
    <n v="10"/>
    <x v="0"/>
    <x v="1"/>
    <x v="0"/>
    <n v="167599.51801235281"/>
    <n v="32"/>
    <n v="103596.98749543"/>
    <n v="64002.530516922838"/>
  </r>
  <r>
    <s v="ORD101850"/>
    <d v="2024-10-01T00:00:00"/>
    <x v="2"/>
    <n v="10"/>
    <x v="1"/>
    <x v="0"/>
    <x v="0"/>
    <n v="66510.509426536024"/>
    <n v="13"/>
    <n v="41287.265137392373"/>
    <n v="25223.244289143659"/>
  </r>
  <r>
    <s v="ORD101851"/>
    <d v="2024-10-01T00:00:00"/>
    <x v="2"/>
    <n v="10"/>
    <x v="1"/>
    <x v="1"/>
    <x v="0"/>
    <n v="131978.10446753009"/>
    <n v="25"/>
    <n v="79254.096463462571"/>
    <n v="52724.008004067517"/>
  </r>
  <r>
    <s v="ORD101852"/>
    <d v="2024-10-01T00:00:00"/>
    <x v="2"/>
    <n v="10"/>
    <x v="2"/>
    <x v="0"/>
    <x v="0"/>
    <n v="43606.128239639402"/>
    <n v="8"/>
    <n v="27197.19398562262"/>
    <n v="16408.934254016789"/>
  </r>
  <r>
    <s v="ORD101853"/>
    <d v="2024-10-01T00:00:00"/>
    <x v="2"/>
    <n v="10"/>
    <x v="2"/>
    <x v="1"/>
    <x v="0"/>
    <n v="82011.226828577404"/>
    <n v="16"/>
    <n v="49888.554599613097"/>
    <n v="32122.6722289643"/>
  </r>
  <r>
    <s v="ORD101854"/>
    <d v="2024-10-01T00:00:00"/>
    <x v="2"/>
    <n v="10"/>
    <x v="3"/>
    <x v="0"/>
    <x v="0"/>
    <n v="40602.72634139593"/>
    <n v="8"/>
    <n v="25949.002700705769"/>
    <n v="14653.723640690159"/>
  </r>
  <r>
    <s v="ORD101855"/>
    <d v="2024-10-01T00:00:00"/>
    <x v="2"/>
    <n v="10"/>
    <x v="3"/>
    <x v="1"/>
    <x v="0"/>
    <n v="71631.10000272945"/>
    <n v="14"/>
    <n v="44830.137646764888"/>
    <n v="26800.962355964559"/>
  </r>
  <r>
    <s v="ORD101856"/>
    <d v="2024-10-01T00:00:00"/>
    <x v="2"/>
    <n v="10"/>
    <x v="0"/>
    <x v="0"/>
    <x v="1"/>
    <n v="93302.227474821615"/>
    <n v="15"/>
    <n v="61136.208802431283"/>
    <n v="32166.018672390332"/>
  </r>
  <r>
    <s v="ORD101857"/>
    <d v="2024-10-01T00:00:00"/>
    <x v="2"/>
    <n v="10"/>
    <x v="0"/>
    <x v="1"/>
    <x v="1"/>
    <n v="173019.1447074828"/>
    <n v="28"/>
    <n v="112660.967418366"/>
    <n v="60358.177289116757"/>
  </r>
  <r>
    <s v="ORD101858"/>
    <d v="2024-10-01T00:00:00"/>
    <x v="2"/>
    <n v="10"/>
    <x v="1"/>
    <x v="0"/>
    <x v="1"/>
    <n v="73327.722615733132"/>
    <n v="12"/>
    <n v="48304.856056211102"/>
    <n v="25022.86655952203"/>
  </r>
  <r>
    <s v="ORD101859"/>
    <d v="2024-10-01T00:00:00"/>
    <x v="2"/>
    <n v="10"/>
    <x v="1"/>
    <x v="1"/>
    <x v="1"/>
    <n v="147347.6103366194"/>
    <n v="24"/>
    <n v="98322.106648904184"/>
    <n v="49025.503687715223"/>
  </r>
  <r>
    <s v="ORD101860"/>
    <d v="2024-10-01T00:00:00"/>
    <x v="2"/>
    <n v="10"/>
    <x v="2"/>
    <x v="0"/>
    <x v="1"/>
    <n v="55968.959841568372"/>
    <n v="9"/>
    <n v="36922.562162710426"/>
    <n v="19046.397678857938"/>
  </r>
  <r>
    <s v="ORD101861"/>
    <d v="2024-10-01T00:00:00"/>
    <x v="2"/>
    <n v="10"/>
    <x v="2"/>
    <x v="1"/>
    <x v="1"/>
    <n v="99185.444205885389"/>
    <n v="16"/>
    <n v="65206.509942025157"/>
    <n v="33978.934263860217"/>
  </r>
  <r>
    <s v="ORD101862"/>
    <d v="2024-10-01T00:00:00"/>
    <x v="2"/>
    <n v="10"/>
    <x v="3"/>
    <x v="0"/>
    <x v="1"/>
    <n v="40939.684034317797"/>
    <n v="7"/>
    <n v="27048.580638455089"/>
    <n v="13891.10339586271"/>
  </r>
  <r>
    <s v="ORD101863"/>
    <d v="2024-10-01T00:00:00"/>
    <x v="2"/>
    <n v="10"/>
    <x v="3"/>
    <x v="1"/>
    <x v="1"/>
    <n v="73873.297202051719"/>
    <n v="12"/>
    <n v="48226.420635845003"/>
    <n v="25646.87656620672"/>
  </r>
  <r>
    <s v="ORD101864"/>
    <d v="2024-10-01T00:00:00"/>
    <x v="2"/>
    <n v="10"/>
    <x v="0"/>
    <x v="0"/>
    <x v="2"/>
    <n v="67621.904185887586"/>
    <n v="16"/>
    <n v="43010.659773740437"/>
    <n v="24611.244412147142"/>
  </r>
  <r>
    <s v="ORD101865"/>
    <d v="2024-10-01T00:00:00"/>
    <x v="2"/>
    <n v="10"/>
    <x v="0"/>
    <x v="1"/>
    <x v="2"/>
    <n v="120804.3929531302"/>
    <n v="28"/>
    <n v="74412.083804021458"/>
    <n v="46392.30914910874"/>
  </r>
  <r>
    <s v="ORD101866"/>
    <d v="2024-10-01T00:00:00"/>
    <x v="2"/>
    <n v="10"/>
    <x v="1"/>
    <x v="0"/>
    <x v="2"/>
    <n v="50000.130062193763"/>
    <n v="12"/>
    <n v="32560.95100772502"/>
    <n v="17439.179054468739"/>
  </r>
  <r>
    <s v="ORD101867"/>
    <d v="2024-10-01T00:00:00"/>
    <x v="2"/>
    <n v="10"/>
    <x v="1"/>
    <x v="1"/>
    <x v="2"/>
    <n v="96457.748638829493"/>
    <n v="22"/>
    <n v="62064.981209737984"/>
    <n v="34392.767429091517"/>
  </r>
  <r>
    <s v="ORD101868"/>
    <d v="2024-10-01T00:00:00"/>
    <x v="2"/>
    <n v="10"/>
    <x v="2"/>
    <x v="0"/>
    <x v="2"/>
    <n v="38307.877806826647"/>
    <n v="9"/>
    <n v="24175.710509764409"/>
    <n v="14132.167297062229"/>
  </r>
  <r>
    <s v="ORD101869"/>
    <d v="2024-10-01T00:00:00"/>
    <x v="2"/>
    <n v="10"/>
    <x v="2"/>
    <x v="1"/>
    <x v="2"/>
    <n v="64329.460016232173"/>
    <n v="15"/>
    <n v="42577.960157051777"/>
    <n v="21751.499859180389"/>
  </r>
  <r>
    <s v="ORD101870"/>
    <d v="2024-10-01T00:00:00"/>
    <x v="2"/>
    <n v="10"/>
    <x v="3"/>
    <x v="0"/>
    <x v="2"/>
    <n v="24067.030263009809"/>
    <n v="6"/>
    <n v="15427.02487796194"/>
    <n v="8640.0053850478762"/>
  </r>
  <r>
    <s v="ORD101871"/>
    <d v="2024-10-01T00:00:00"/>
    <x v="2"/>
    <n v="10"/>
    <x v="3"/>
    <x v="1"/>
    <x v="2"/>
    <n v="49310.943203221352"/>
    <n v="11"/>
    <n v="30970.40979220251"/>
    <n v="18340.533411018841"/>
  </r>
  <r>
    <s v="ORD101872"/>
    <d v="2024-10-01T00:00:00"/>
    <x v="2"/>
    <n v="10"/>
    <x v="0"/>
    <x v="0"/>
    <x v="3"/>
    <n v="60241.784418398631"/>
    <n v="71"/>
    <n v="29361.978939480861"/>
    <n v="30879.80547891777"/>
  </r>
  <r>
    <s v="ORD101873"/>
    <d v="2024-10-01T00:00:00"/>
    <x v="2"/>
    <n v="10"/>
    <x v="0"/>
    <x v="1"/>
    <x v="3"/>
    <n v="110608.366086464"/>
    <n v="130"/>
    <n v="53472.413000541557"/>
    <n v="57135.953085922403"/>
  </r>
  <r>
    <s v="ORD101874"/>
    <d v="2024-10-01T00:00:00"/>
    <x v="2"/>
    <n v="10"/>
    <x v="1"/>
    <x v="0"/>
    <x v="3"/>
    <n v="48031.276876085118"/>
    <n v="57"/>
    <n v="23218.75974032213"/>
    <n v="24812.517135762992"/>
  </r>
  <r>
    <s v="ORD101875"/>
    <d v="2024-10-01T00:00:00"/>
    <x v="2"/>
    <n v="10"/>
    <x v="1"/>
    <x v="1"/>
    <x v="3"/>
    <n v="90526.358914385273"/>
    <n v="107"/>
    <n v="43119.648494499961"/>
    <n v="47406.710419885312"/>
  </r>
  <r>
    <s v="ORD101876"/>
    <d v="2024-10-01T00:00:00"/>
    <x v="2"/>
    <n v="10"/>
    <x v="2"/>
    <x v="0"/>
    <x v="3"/>
    <n v="32497.149038668791"/>
    <n v="38"/>
    <n v="15725.119641049419"/>
    <n v="16772.029397619372"/>
  </r>
  <r>
    <s v="ORD101877"/>
    <d v="2024-10-01T00:00:00"/>
    <x v="2"/>
    <n v="10"/>
    <x v="2"/>
    <x v="1"/>
    <x v="3"/>
    <n v="67191.503674873762"/>
    <n v="79"/>
    <n v="32099.96202178848"/>
    <n v="35091.541653085282"/>
  </r>
  <r>
    <s v="ORD101878"/>
    <d v="2024-10-01T00:00:00"/>
    <x v="2"/>
    <n v="10"/>
    <x v="3"/>
    <x v="0"/>
    <x v="3"/>
    <n v="24043.27566421697"/>
    <n v="28"/>
    <n v="11656.26020571289"/>
    <n v="12387.01545850408"/>
  </r>
  <r>
    <s v="ORD101879"/>
    <d v="2024-10-01T00:00:00"/>
    <x v="2"/>
    <n v="10"/>
    <x v="3"/>
    <x v="1"/>
    <x v="3"/>
    <n v="44957.13857163614"/>
    <n v="53"/>
    <n v="20839.4895549178"/>
    <n v="24117.64901671834"/>
  </r>
  <r>
    <s v="ORD101880"/>
    <d v="2024-10-01T00:00:00"/>
    <x v="2"/>
    <n v="10"/>
    <x v="0"/>
    <x v="0"/>
    <x v="4"/>
    <n v="50572.950681038732"/>
    <n v="70"/>
    <n v="27597.894488245231"/>
    <n v="22975.056192793501"/>
  </r>
  <r>
    <s v="ORD101881"/>
    <d v="2024-10-01T00:00:00"/>
    <x v="2"/>
    <n v="10"/>
    <x v="0"/>
    <x v="1"/>
    <x v="4"/>
    <n v="84316.289217534417"/>
    <n v="117"/>
    <n v="47811.495769955967"/>
    <n v="36504.793447578442"/>
  </r>
  <r>
    <s v="ORD101882"/>
    <d v="2024-10-01T00:00:00"/>
    <x v="2"/>
    <n v="10"/>
    <x v="1"/>
    <x v="0"/>
    <x v="4"/>
    <n v="38673.401751792167"/>
    <n v="54"/>
    <n v="20976.686395538829"/>
    <n v="17696.715356253339"/>
  </r>
  <r>
    <s v="ORD101883"/>
    <d v="2024-10-01T00:00:00"/>
    <x v="2"/>
    <n v="10"/>
    <x v="1"/>
    <x v="1"/>
    <x v="4"/>
    <n v="70740.239278315828"/>
    <n v="98"/>
    <n v="38484.246513137921"/>
    <n v="32255.992765177911"/>
  </r>
  <r>
    <s v="ORD101884"/>
    <d v="2024-10-01T00:00:00"/>
    <x v="2"/>
    <n v="10"/>
    <x v="2"/>
    <x v="0"/>
    <x v="4"/>
    <n v="24560.52496007811"/>
    <n v="34"/>
    <n v="13399.36728826487"/>
    <n v="11161.15767181324"/>
  </r>
  <r>
    <s v="ORD101885"/>
    <d v="2024-10-01T00:00:00"/>
    <x v="2"/>
    <n v="10"/>
    <x v="2"/>
    <x v="1"/>
    <x v="4"/>
    <n v="47516.349372313518"/>
    <n v="66"/>
    <n v="25562.532942324538"/>
    <n v="21953.81642998898"/>
  </r>
  <r>
    <s v="ORD101886"/>
    <d v="2024-10-01T00:00:00"/>
    <x v="2"/>
    <n v="10"/>
    <x v="3"/>
    <x v="0"/>
    <x v="4"/>
    <n v="19267.27932616161"/>
    <n v="27"/>
    <n v="10175.782760181681"/>
    <n v="9091.4965659799345"/>
  </r>
  <r>
    <s v="ORD101887"/>
    <d v="2024-10-01T00:00:00"/>
    <x v="2"/>
    <n v="10"/>
    <x v="3"/>
    <x v="1"/>
    <x v="4"/>
    <n v="36542.00961874416"/>
    <n v="51"/>
    <n v="20014.686995420561"/>
    <n v="16527.322623323598"/>
  </r>
  <r>
    <s v="ORD101888"/>
    <d v="2024-10-01T00:00:00"/>
    <x v="2"/>
    <n v="10"/>
    <x v="0"/>
    <x v="0"/>
    <x v="5"/>
    <n v="44676.894285686089"/>
    <n v="8"/>
    <n v="30902.443689045838"/>
    <n v="13774.45059664025"/>
  </r>
  <r>
    <s v="ORD101889"/>
    <d v="2024-10-01T00:00:00"/>
    <x v="2"/>
    <n v="10"/>
    <x v="0"/>
    <x v="1"/>
    <x v="5"/>
    <n v="89355.880563254337"/>
    <n v="17"/>
    <n v="61597.287461659827"/>
    <n v="27758.593101594499"/>
  </r>
  <r>
    <s v="ORD101890"/>
    <d v="2024-10-01T00:00:00"/>
    <x v="2"/>
    <n v="10"/>
    <x v="1"/>
    <x v="0"/>
    <x v="5"/>
    <n v="38184.369216042724"/>
    <n v="7"/>
    <n v="26278.5061205282"/>
    <n v="11905.863095514511"/>
  </r>
  <r>
    <s v="ORD101891"/>
    <d v="2024-10-01T00:00:00"/>
    <x v="2"/>
    <n v="10"/>
    <x v="1"/>
    <x v="1"/>
    <x v="5"/>
    <n v="68633.025018700559"/>
    <n v="13"/>
    <n v="47393.476255463873"/>
    <n v="21239.548763236689"/>
  </r>
  <r>
    <s v="ORD101892"/>
    <d v="2024-10-01T00:00:00"/>
    <x v="2"/>
    <n v="10"/>
    <x v="2"/>
    <x v="0"/>
    <x v="5"/>
    <n v="28383.72431598918"/>
    <n v="5"/>
    <n v="19945.34784334795"/>
    <n v="8438.3764726412264"/>
  </r>
  <r>
    <s v="ORD101893"/>
    <d v="2024-10-01T00:00:00"/>
    <x v="2"/>
    <n v="10"/>
    <x v="2"/>
    <x v="1"/>
    <x v="5"/>
    <n v="47567.863390565231"/>
    <n v="9"/>
    <n v="32709.311491998262"/>
    <n v="14858.55189856697"/>
  </r>
  <r>
    <s v="ORD101894"/>
    <d v="2024-10-01T00:00:00"/>
    <x v="2"/>
    <n v="10"/>
    <x v="3"/>
    <x v="0"/>
    <x v="5"/>
    <n v="17848.480222488299"/>
    <n v="3"/>
    <n v="12188.189804598571"/>
    <n v="5660.2904178897325"/>
  </r>
  <r>
    <s v="ORD101895"/>
    <d v="2024-10-01T00:00:00"/>
    <x v="2"/>
    <n v="10"/>
    <x v="3"/>
    <x v="1"/>
    <x v="5"/>
    <n v="34983.130782303029"/>
    <n v="6"/>
    <n v="24016.21389170644"/>
    <n v="10966.916890596591"/>
  </r>
  <r>
    <s v="ORD101896"/>
    <d v="2024-10-01T00:00:00"/>
    <x v="2"/>
    <n v="10"/>
    <x v="0"/>
    <x v="0"/>
    <x v="6"/>
    <n v="92224.700270061134"/>
    <n v="26"/>
    <n v="54980.000622434098"/>
    <n v="37244.699647627043"/>
  </r>
  <r>
    <s v="ORD101897"/>
    <d v="2024-10-01T00:00:00"/>
    <x v="2"/>
    <n v="10"/>
    <x v="0"/>
    <x v="1"/>
    <x v="6"/>
    <n v="166111.13982519699"/>
    <n v="47"/>
    <n v="100496.5295438929"/>
    <n v="65614.610281304049"/>
  </r>
  <r>
    <s v="ORD101898"/>
    <d v="2024-10-01T00:00:00"/>
    <x v="2"/>
    <n v="10"/>
    <x v="1"/>
    <x v="0"/>
    <x v="6"/>
    <n v="75728.328793356399"/>
    <n v="22"/>
    <n v="44174.538901109598"/>
    <n v="31553.789892246801"/>
  </r>
  <r>
    <s v="ORD101899"/>
    <d v="2024-10-01T00:00:00"/>
    <x v="2"/>
    <n v="10"/>
    <x v="1"/>
    <x v="1"/>
    <x v="6"/>
    <n v="141344.90781018039"/>
    <n v="40"/>
    <n v="83542.003426019844"/>
    <n v="57802.904384160604"/>
  </r>
  <r>
    <s v="ORD101900"/>
    <d v="2024-10-01T00:00:00"/>
    <x v="2"/>
    <n v="10"/>
    <x v="2"/>
    <x v="0"/>
    <x v="6"/>
    <n v="50405.542413268631"/>
    <n v="14"/>
    <n v="29920.39508377399"/>
    <n v="20485.147329494641"/>
  </r>
  <r>
    <s v="ORD101901"/>
    <d v="2024-10-01T00:00:00"/>
    <x v="2"/>
    <n v="10"/>
    <x v="2"/>
    <x v="1"/>
    <x v="6"/>
    <n v="92679.679084571238"/>
    <n v="26"/>
    <n v="53704.057625696107"/>
    <n v="38975.621458875132"/>
  </r>
  <r>
    <s v="ORD101902"/>
    <d v="2024-10-01T00:00:00"/>
    <x v="2"/>
    <n v="10"/>
    <x v="3"/>
    <x v="0"/>
    <x v="6"/>
    <n v="40176.995717464873"/>
    <n v="11"/>
    <n v="23713.139063973631"/>
    <n v="16463.856653491232"/>
  </r>
  <r>
    <s v="ORD101903"/>
    <d v="2024-10-01T00:00:00"/>
    <x v="2"/>
    <n v="10"/>
    <x v="3"/>
    <x v="1"/>
    <x v="6"/>
    <n v="65179.565703556007"/>
    <n v="19"/>
    <n v="37441.394079251462"/>
    <n v="27738.171624304548"/>
  </r>
  <r>
    <s v="ORD101904"/>
    <d v="2024-11-01T00:00:00"/>
    <x v="2"/>
    <n v="11"/>
    <x v="0"/>
    <x v="0"/>
    <x v="0"/>
    <n v="107170.84777575859"/>
    <n v="21"/>
    <n v="64330.094292733913"/>
    <n v="42840.75348302468"/>
  </r>
  <r>
    <s v="ORD101905"/>
    <d v="2024-11-01T00:00:00"/>
    <x v="2"/>
    <n v="11"/>
    <x v="0"/>
    <x v="1"/>
    <x v="0"/>
    <n v="198942.36634324721"/>
    <n v="38"/>
    <n v="124158.5163371044"/>
    <n v="74783.850006142791"/>
  </r>
  <r>
    <s v="ORD101906"/>
    <d v="2024-11-01T00:00:00"/>
    <x v="2"/>
    <n v="11"/>
    <x v="1"/>
    <x v="0"/>
    <x v="0"/>
    <n v="78835.86560353823"/>
    <n v="15"/>
    <n v="48540.500505913507"/>
    <n v="30295.365097624719"/>
  </r>
  <r>
    <s v="ORD101907"/>
    <d v="2024-11-01T00:00:00"/>
    <x v="2"/>
    <n v="11"/>
    <x v="1"/>
    <x v="1"/>
    <x v="0"/>
    <n v="149913.6997685188"/>
    <n v="29"/>
    <n v="93284.916440438217"/>
    <n v="56628.783328080608"/>
  </r>
  <r>
    <s v="ORD101908"/>
    <d v="2024-11-01T00:00:00"/>
    <x v="2"/>
    <n v="11"/>
    <x v="2"/>
    <x v="0"/>
    <x v="0"/>
    <n v="58483.959397305996"/>
    <n v="11"/>
    <n v="36248.375115075818"/>
    <n v="22235.584282230178"/>
  </r>
  <r>
    <s v="ORD101909"/>
    <d v="2024-11-01T00:00:00"/>
    <x v="2"/>
    <n v="11"/>
    <x v="2"/>
    <x v="1"/>
    <x v="0"/>
    <n v="99327.986486740469"/>
    <n v="19"/>
    <n v="60501.011846412162"/>
    <n v="38826.974640328313"/>
  </r>
  <r>
    <s v="ORD101910"/>
    <d v="2024-11-01T00:00:00"/>
    <x v="2"/>
    <n v="11"/>
    <x v="3"/>
    <x v="0"/>
    <x v="0"/>
    <n v="40989.133295602529"/>
    <n v="8"/>
    <n v="25392.561572965529"/>
    <n v="15596.571722637"/>
  </r>
  <r>
    <s v="ORD101911"/>
    <d v="2024-11-01T00:00:00"/>
    <x v="2"/>
    <n v="11"/>
    <x v="3"/>
    <x v="1"/>
    <x v="0"/>
    <n v="68900.860951259107"/>
    <n v="13"/>
    <n v="41770.360754019654"/>
    <n v="27130.500197239449"/>
  </r>
  <r>
    <s v="ORD101912"/>
    <d v="2024-11-01T00:00:00"/>
    <x v="2"/>
    <n v="11"/>
    <x v="0"/>
    <x v="0"/>
    <x v="1"/>
    <n v="98589.969954710716"/>
    <n v="16"/>
    <n v="66698.554935149383"/>
    <n v="31891.415019561329"/>
  </r>
  <r>
    <s v="ORD101913"/>
    <d v="2024-11-01T00:00:00"/>
    <x v="2"/>
    <n v="11"/>
    <x v="0"/>
    <x v="1"/>
    <x v="1"/>
    <n v="188374.71519837959"/>
    <n v="31"/>
    <n v="121292.7973638688"/>
    <n v="67081.91783451075"/>
  </r>
  <r>
    <s v="ORD101914"/>
    <d v="2024-11-01T00:00:00"/>
    <x v="2"/>
    <n v="11"/>
    <x v="1"/>
    <x v="0"/>
    <x v="1"/>
    <n v="77643.759175379586"/>
    <n v="13"/>
    <n v="51064.287183131972"/>
    <n v="26579.471992247611"/>
  </r>
  <r>
    <s v="ORD101915"/>
    <d v="2024-11-01T00:00:00"/>
    <x v="2"/>
    <n v="11"/>
    <x v="1"/>
    <x v="1"/>
    <x v="1"/>
    <n v="160506.72817948149"/>
    <n v="26"/>
    <n v="103947.01636109161"/>
    <n v="56559.711818389842"/>
  </r>
  <r>
    <s v="ORD101916"/>
    <d v="2024-11-01T00:00:00"/>
    <x v="2"/>
    <n v="11"/>
    <x v="2"/>
    <x v="0"/>
    <x v="1"/>
    <n v="62200.986481887172"/>
    <n v="10"/>
    <n v="41474.162503200707"/>
    <n v="20726.823978686461"/>
  </r>
  <r>
    <s v="ORD101917"/>
    <d v="2024-11-01T00:00:00"/>
    <x v="2"/>
    <n v="11"/>
    <x v="2"/>
    <x v="1"/>
    <x v="1"/>
    <n v="101328.8983429645"/>
    <n v="17"/>
    <n v="66478.100026704939"/>
    <n v="34850.798316259592"/>
  </r>
  <r>
    <s v="ORD101918"/>
    <d v="2024-11-01T00:00:00"/>
    <x v="2"/>
    <n v="11"/>
    <x v="3"/>
    <x v="0"/>
    <x v="1"/>
    <n v="40554.856196882327"/>
    <n v="7"/>
    <n v="26516.315773709579"/>
    <n v="14038.540423172761"/>
  </r>
  <r>
    <s v="ORD101919"/>
    <d v="2024-11-01T00:00:00"/>
    <x v="2"/>
    <n v="11"/>
    <x v="3"/>
    <x v="1"/>
    <x v="1"/>
    <n v="74381.69695066844"/>
    <n v="12"/>
    <n v="49845.85542313214"/>
    <n v="24535.8415275363"/>
  </r>
  <r>
    <s v="ORD101920"/>
    <d v="2024-11-01T00:00:00"/>
    <x v="2"/>
    <n v="11"/>
    <x v="0"/>
    <x v="0"/>
    <x v="2"/>
    <n v="71851.421316661086"/>
    <n v="17"/>
    <n v="46009.270178445498"/>
    <n v="25842.151138215591"/>
  </r>
  <r>
    <s v="ORD101921"/>
    <d v="2024-11-01T00:00:00"/>
    <x v="2"/>
    <n v="11"/>
    <x v="0"/>
    <x v="1"/>
    <x v="2"/>
    <n v="133270.02730916411"/>
    <n v="31"/>
    <n v="86086.006565572112"/>
    <n v="47184.020743592031"/>
  </r>
  <r>
    <s v="ORD101922"/>
    <d v="2024-11-01T00:00:00"/>
    <x v="2"/>
    <n v="11"/>
    <x v="1"/>
    <x v="0"/>
    <x v="2"/>
    <n v="56868.765345797801"/>
    <n v="13"/>
    <n v="35753.115549689457"/>
    <n v="21115.649796108341"/>
  </r>
  <r>
    <s v="ORD101923"/>
    <d v="2024-11-01T00:00:00"/>
    <x v="2"/>
    <n v="11"/>
    <x v="1"/>
    <x v="1"/>
    <x v="2"/>
    <n v="102285.69072236501"/>
    <n v="24"/>
    <n v="63807.502487231417"/>
    <n v="38478.188235133588"/>
  </r>
  <r>
    <s v="ORD101924"/>
    <d v="2024-11-01T00:00:00"/>
    <x v="2"/>
    <n v="11"/>
    <x v="2"/>
    <x v="0"/>
    <x v="2"/>
    <n v="41438.914679565933"/>
    <n v="10"/>
    <n v="26572.083934861472"/>
    <n v="14866.83074470445"/>
  </r>
  <r>
    <s v="ORD101925"/>
    <d v="2024-11-01T00:00:00"/>
    <x v="2"/>
    <n v="11"/>
    <x v="2"/>
    <x v="1"/>
    <x v="2"/>
    <n v="77934.650096958547"/>
    <n v="18"/>
    <n v="49591.913518243477"/>
    <n v="28342.736578715059"/>
  </r>
  <r>
    <s v="ORD101926"/>
    <d v="2024-11-01T00:00:00"/>
    <x v="2"/>
    <n v="11"/>
    <x v="3"/>
    <x v="0"/>
    <x v="2"/>
    <n v="28541.910396719901"/>
    <n v="7"/>
    <n v="18472.79613308821"/>
    <n v="10069.114263631691"/>
  </r>
  <r>
    <s v="ORD101927"/>
    <d v="2024-11-01T00:00:00"/>
    <x v="2"/>
    <n v="11"/>
    <x v="3"/>
    <x v="1"/>
    <x v="2"/>
    <n v="57791.520366765137"/>
    <n v="13"/>
    <n v="36933.373317960773"/>
    <n v="20858.147048804371"/>
  </r>
  <r>
    <s v="ORD101928"/>
    <d v="2024-11-01T00:00:00"/>
    <x v="2"/>
    <n v="11"/>
    <x v="0"/>
    <x v="0"/>
    <x v="3"/>
    <n v="70069.740668717423"/>
    <n v="82"/>
    <n v="33757.628656222259"/>
    <n v="36312.112012495163"/>
  </r>
  <r>
    <s v="ORD101929"/>
    <d v="2024-11-01T00:00:00"/>
    <x v="2"/>
    <n v="11"/>
    <x v="0"/>
    <x v="1"/>
    <x v="3"/>
    <n v="118157.34006256799"/>
    <n v="139"/>
    <n v="55058.245417446633"/>
    <n v="63099.094645121389"/>
  </r>
  <r>
    <s v="ORD101930"/>
    <d v="2024-11-01T00:00:00"/>
    <x v="2"/>
    <n v="11"/>
    <x v="1"/>
    <x v="0"/>
    <x v="3"/>
    <n v="52147.013653198563"/>
    <n v="61"/>
    <n v="25881.402190520359"/>
    <n v="26265.611462678211"/>
  </r>
  <r>
    <s v="ORD101931"/>
    <d v="2024-11-01T00:00:00"/>
    <x v="2"/>
    <n v="11"/>
    <x v="1"/>
    <x v="1"/>
    <x v="3"/>
    <n v="98870.623240810135"/>
    <n v="116"/>
    <n v="47317.596723459123"/>
    <n v="51553.02651735102"/>
  </r>
  <r>
    <s v="ORD101932"/>
    <d v="2024-11-01T00:00:00"/>
    <x v="2"/>
    <n v="11"/>
    <x v="2"/>
    <x v="0"/>
    <x v="3"/>
    <n v="34074.123721525517"/>
    <n v="40"/>
    <n v="16560.949289632819"/>
    <n v="17513.174431892709"/>
  </r>
  <r>
    <s v="ORD101933"/>
    <d v="2024-11-01T00:00:00"/>
    <x v="2"/>
    <n v="11"/>
    <x v="2"/>
    <x v="1"/>
    <x v="3"/>
    <n v="68793.054718235377"/>
    <n v="81"/>
    <n v="32523.716792589861"/>
    <n v="36269.337925645523"/>
  </r>
  <r>
    <s v="ORD101934"/>
    <d v="2024-11-01T00:00:00"/>
    <x v="2"/>
    <n v="11"/>
    <x v="3"/>
    <x v="0"/>
    <x v="3"/>
    <n v="28617.355965253621"/>
    <n v="34"/>
    <n v="13812.4875299904"/>
    <n v="14804.868435263221"/>
  </r>
  <r>
    <s v="ORD101935"/>
    <d v="2024-11-01T00:00:00"/>
    <x v="2"/>
    <n v="11"/>
    <x v="3"/>
    <x v="1"/>
    <x v="3"/>
    <n v="50167.332419745377"/>
    <n v="59"/>
    <n v="23515.607033073651"/>
    <n v="26651.725386671729"/>
  </r>
  <r>
    <s v="ORD101936"/>
    <d v="2024-11-01T00:00:00"/>
    <x v="2"/>
    <n v="11"/>
    <x v="0"/>
    <x v="0"/>
    <x v="4"/>
    <n v="54417.362066227863"/>
    <n v="76"/>
    <n v="30173.092494832759"/>
    <n v="24244.269571395111"/>
  </r>
  <r>
    <s v="ORD101937"/>
    <d v="2024-11-01T00:00:00"/>
    <x v="2"/>
    <n v="11"/>
    <x v="0"/>
    <x v="1"/>
    <x v="4"/>
    <n v="99309.135451115115"/>
    <n v="138"/>
    <n v="54270.044860336056"/>
    <n v="45039.090590779058"/>
  </r>
  <r>
    <s v="ORD101938"/>
    <d v="2024-11-01T00:00:00"/>
    <x v="2"/>
    <n v="11"/>
    <x v="1"/>
    <x v="0"/>
    <x v="4"/>
    <n v="43270.738064907557"/>
    <n v="60"/>
    <n v="23811.410572731969"/>
    <n v="19459.327492175591"/>
  </r>
  <r>
    <s v="ORD101939"/>
    <d v="2024-11-01T00:00:00"/>
    <x v="2"/>
    <n v="11"/>
    <x v="1"/>
    <x v="1"/>
    <x v="4"/>
    <n v="80711.338931335515"/>
    <n v="112"/>
    <n v="44948.947155494432"/>
    <n v="35762.391775841083"/>
  </r>
  <r>
    <s v="ORD101940"/>
    <d v="2024-11-01T00:00:00"/>
    <x v="2"/>
    <n v="11"/>
    <x v="2"/>
    <x v="0"/>
    <x v="4"/>
    <n v="32279.312985992521"/>
    <n v="45"/>
    <n v="17359.745153005941"/>
    <n v="14919.56783298658"/>
  </r>
  <r>
    <s v="ORD101941"/>
    <d v="2024-11-01T00:00:00"/>
    <x v="2"/>
    <n v="11"/>
    <x v="2"/>
    <x v="1"/>
    <x v="4"/>
    <n v="60934.129081659303"/>
    <n v="85"/>
    <n v="33100.852810974582"/>
    <n v="27833.27627068471"/>
  </r>
  <r>
    <s v="ORD101942"/>
    <d v="2024-11-01T00:00:00"/>
    <x v="2"/>
    <n v="11"/>
    <x v="3"/>
    <x v="0"/>
    <x v="4"/>
    <n v="21882.934955503159"/>
    <n v="30"/>
    <n v="12134.689440743021"/>
    <n v="9748.2455147601413"/>
  </r>
  <r>
    <s v="ORD101943"/>
    <d v="2024-11-01T00:00:00"/>
    <x v="2"/>
    <n v="11"/>
    <x v="3"/>
    <x v="1"/>
    <x v="4"/>
    <n v="42424.379540695132"/>
    <n v="59"/>
    <n v="24214.664614928741"/>
    <n v="18209.714925766391"/>
  </r>
  <r>
    <s v="ORD101944"/>
    <d v="2024-11-01T00:00:00"/>
    <x v="2"/>
    <n v="11"/>
    <x v="0"/>
    <x v="0"/>
    <x v="5"/>
    <n v="48998.674022482352"/>
    <n v="9"/>
    <n v="33725.053202312913"/>
    <n v="15273.62082016945"/>
  </r>
  <r>
    <s v="ORD101945"/>
    <d v="2024-11-01T00:00:00"/>
    <x v="2"/>
    <n v="11"/>
    <x v="0"/>
    <x v="1"/>
    <x v="5"/>
    <n v="95005.204739542911"/>
    <n v="18"/>
    <n v="66251.110988555374"/>
    <n v="28754.09375098754"/>
  </r>
  <r>
    <s v="ORD101946"/>
    <d v="2024-11-01T00:00:00"/>
    <x v="2"/>
    <n v="11"/>
    <x v="1"/>
    <x v="0"/>
    <x v="5"/>
    <n v="45350.780845177098"/>
    <n v="8"/>
    <n v="31231.786386269119"/>
    <n v="14118.994458907981"/>
  </r>
  <r>
    <s v="ORD101947"/>
    <d v="2024-11-01T00:00:00"/>
    <x v="2"/>
    <n v="11"/>
    <x v="1"/>
    <x v="1"/>
    <x v="5"/>
    <n v="76791.713621459159"/>
    <n v="14"/>
    <n v="54838.705123095533"/>
    <n v="21953.00849836363"/>
  </r>
  <r>
    <s v="ORD101948"/>
    <d v="2024-11-01T00:00:00"/>
    <x v="2"/>
    <n v="11"/>
    <x v="2"/>
    <x v="0"/>
    <x v="5"/>
    <n v="25380.470684502539"/>
    <n v="5"/>
    <n v="16961.756043248832"/>
    <n v="8418.7146412537113"/>
  </r>
  <r>
    <s v="ORD101949"/>
    <d v="2024-11-01T00:00:00"/>
    <x v="2"/>
    <n v="11"/>
    <x v="2"/>
    <x v="1"/>
    <x v="5"/>
    <n v="53440.401574311953"/>
    <n v="10"/>
    <n v="36936.679892151667"/>
    <n v="16503.721682160281"/>
  </r>
  <r>
    <s v="ORD101950"/>
    <d v="2024-11-01T00:00:00"/>
    <x v="2"/>
    <n v="11"/>
    <x v="3"/>
    <x v="0"/>
    <x v="5"/>
    <n v="21237.905019701531"/>
    <n v="4"/>
    <n v="14225.37694320059"/>
    <n v="7012.5280765009338"/>
  </r>
  <r>
    <s v="ORD101951"/>
    <d v="2024-11-01T00:00:00"/>
    <x v="2"/>
    <n v="11"/>
    <x v="3"/>
    <x v="1"/>
    <x v="5"/>
    <n v="41276.063348215408"/>
    <n v="8"/>
    <n v="27195.493036169351"/>
    <n v="14080.57031204606"/>
  </r>
  <r>
    <s v="ORD101952"/>
    <d v="2024-11-01T00:00:00"/>
    <x v="2"/>
    <n v="11"/>
    <x v="0"/>
    <x v="0"/>
    <x v="6"/>
    <n v="103630.2183421943"/>
    <n v="30"/>
    <n v="61469.201552683953"/>
    <n v="42161.016789510351"/>
  </r>
  <r>
    <s v="ORD101953"/>
    <d v="2024-11-01T00:00:00"/>
    <x v="2"/>
    <n v="11"/>
    <x v="0"/>
    <x v="1"/>
    <x v="6"/>
    <n v="181546.90514816041"/>
    <n v="52"/>
    <n v="107381.6297128329"/>
    <n v="74165.275435327479"/>
  </r>
  <r>
    <s v="ORD101954"/>
    <d v="2024-11-01T00:00:00"/>
    <x v="2"/>
    <n v="11"/>
    <x v="1"/>
    <x v="0"/>
    <x v="6"/>
    <n v="85287.997886836019"/>
    <n v="24"/>
    <n v="50061.925265061327"/>
    <n v="35226.072621774692"/>
  </r>
  <r>
    <s v="ORD101955"/>
    <d v="2024-11-01T00:00:00"/>
    <x v="2"/>
    <n v="11"/>
    <x v="1"/>
    <x v="1"/>
    <x v="6"/>
    <n v="150992.06776017329"/>
    <n v="43"/>
    <n v="88915.033957663924"/>
    <n v="62077.033802509337"/>
  </r>
  <r>
    <s v="ORD101956"/>
    <d v="2024-11-01T00:00:00"/>
    <x v="2"/>
    <n v="11"/>
    <x v="2"/>
    <x v="0"/>
    <x v="6"/>
    <n v="57151.462708325387"/>
    <n v="16"/>
    <n v="35599.871297198108"/>
    <n v="21551.591411127269"/>
  </r>
  <r>
    <s v="ORD101957"/>
    <d v="2024-11-01T00:00:00"/>
    <x v="2"/>
    <n v="11"/>
    <x v="2"/>
    <x v="1"/>
    <x v="6"/>
    <n v="113098.79199207709"/>
    <n v="32"/>
    <n v="66418.190749323156"/>
    <n v="46680.601242753954"/>
  </r>
  <r>
    <s v="ORD101958"/>
    <d v="2024-11-01T00:00:00"/>
    <x v="2"/>
    <n v="11"/>
    <x v="3"/>
    <x v="0"/>
    <x v="6"/>
    <n v="45327.161966535961"/>
    <n v="13"/>
    <n v="26988.586399228981"/>
    <n v="18338.57556730698"/>
  </r>
  <r>
    <s v="ORD101959"/>
    <d v="2024-11-01T00:00:00"/>
    <x v="2"/>
    <n v="11"/>
    <x v="3"/>
    <x v="1"/>
    <x v="6"/>
    <n v="80478.608414807939"/>
    <n v="23"/>
    <n v="46927.378008613763"/>
    <n v="33551.230406194183"/>
  </r>
  <r>
    <s v="ORD101960"/>
    <d v="2024-12-01T00:00:00"/>
    <x v="2"/>
    <n v="12"/>
    <x v="0"/>
    <x v="0"/>
    <x v="0"/>
    <n v="113063.7923640045"/>
    <n v="22"/>
    <n v="70472.073344211225"/>
    <n v="42591.719019793272"/>
  </r>
  <r>
    <s v="ORD101961"/>
    <d v="2024-12-01T00:00:00"/>
    <x v="2"/>
    <n v="12"/>
    <x v="0"/>
    <x v="1"/>
    <x v="0"/>
    <n v="233187.96007422631"/>
    <n v="45"/>
    <n v="143956.5612582879"/>
    <n v="89231.398815938417"/>
  </r>
  <r>
    <s v="ORD101962"/>
    <d v="2024-12-01T00:00:00"/>
    <x v="2"/>
    <n v="12"/>
    <x v="1"/>
    <x v="0"/>
    <x v="0"/>
    <n v="96907.228190879017"/>
    <n v="19"/>
    <n v="59638.512033912702"/>
    <n v="37268.716156966308"/>
  </r>
  <r>
    <s v="ORD101963"/>
    <d v="2024-12-01T00:00:00"/>
    <x v="2"/>
    <n v="12"/>
    <x v="1"/>
    <x v="1"/>
    <x v="0"/>
    <n v="178737.77267638571"/>
    <n v="34"/>
    <n v="114445.6005950065"/>
    <n v="64292.172081379249"/>
  </r>
  <r>
    <s v="ORD101964"/>
    <d v="2024-12-01T00:00:00"/>
    <x v="2"/>
    <n v="12"/>
    <x v="2"/>
    <x v="0"/>
    <x v="0"/>
    <n v="57512.568606390327"/>
    <n v="11"/>
    <n v="36413.357245448271"/>
    <n v="21099.211360942059"/>
  </r>
  <r>
    <s v="ORD101965"/>
    <d v="2024-12-01T00:00:00"/>
    <x v="2"/>
    <n v="12"/>
    <x v="2"/>
    <x v="1"/>
    <x v="0"/>
    <n v="116744.0239604316"/>
    <n v="22"/>
    <n v="72559.457044773808"/>
    <n v="44184.566915657793"/>
  </r>
  <r>
    <s v="ORD101966"/>
    <d v="2024-12-01T00:00:00"/>
    <x v="2"/>
    <n v="12"/>
    <x v="3"/>
    <x v="0"/>
    <x v="0"/>
    <n v="48768.541738930617"/>
    <n v="9"/>
    <n v="28982.412573473561"/>
    <n v="19786.12916545707"/>
  </r>
  <r>
    <s v="ORD101967"/>
    <d v="2024-12-01T00:00:00"/>
    <x v="2"/>
    <n v="12"/>
    <x v="3"/>
    <x v="1"/>
    <x v="0"/>
    <n v="85275.504230697654"/>
    <n v="16"/>
    <n v="52527.249305072633"/>
    <n v="32748.254925625031"/>
  </r>
  <r>
    <s v="ORD101968"/>
    <d v="2024-12-01T00:00:00"/>
    <x v="2"/>
    <n v="12"/>
    <x v="0"/>
    <x v="0"/>
    <x v="1"/>
    <n v="116065.28700147881"/>
    <n v="19"/>
    <n v="80330.174140998715"/>
    <n v="35735.112860480083"/>
  </r>
  <r>
    <s v="ORD101969"/>
    <d v="2024-12-01T00:00:00"/>
    <x v="2"/>
    <n v="12"/>
    <x v="0"/>
    <x v="1"/>
    <x v="1"/>
    <n v="237541.78987990899"/>
    <n v="39"/>
    <n v="156126.65491315461"/>
    <n v="81415.134966754384"/>
  </r>
  <r>
    <s v="ORD101970"/>
    <d v="2024-12-01T00:00:00"/>
    <x v="2"/>
    <n v="12"/>
    <x v="1"/>
    <x v="0"/>
    <x v="1"/>
    <n v="89569.116411137773"/>
    <n v="15"/>
    <n v="60289.529802231402"/>
    <n v="29279.586608906371"/>
  </r>
  <r>
    <s v="ORD101971"/>
    <d v="2024-12-01T00:00:00"/>
    <x v="2"/>
    <n v="12"/>
    <x v="1"/>
    <x v="1"/>
    <x v="1"/>
    <n v="180857.52563617169"/>
    <n v="30"/>
    <n v="122464.1062028064"/>
    <n v="58393.419433365343"/>
  </r>
  <r>
    <s v="ORD101972"/>
    <d v="2024-12-01T00:00:00"/>
    <x v="2"/>
    <n v="12"/>
    <x v="2"/>
    <x v="0"/>
    <x v="1"/>
    <n v="68647.869272555516"/>
    <n v="11"/>
    <n v="45486.166826387162"/>
    <n v="23161.70244616835"/>
  </r>
  <r>
    <s v="ORD101973"/>
    <d v="2024-12-01T00:00:00"/>
    <x v="2"/>
    <n v="12"/>
    <x v="2"/>
    <x v="1"/>
    <x v="1"/>
    <n v="120306.8339248038"/>
    <n v="20"/>
    <n v="78199.340874688016"/>
    <n v="42107.49305011578"/>
  </r>
  <r>
    <s v="ORD101974"/>
    <d v="2024-12-01T00:00:00"/>
    <x v="2"/>
    <n v="12"/>
    <x v="3"/>
    <x v="0"/>
    <x v="1"/>
    <n v="42870.186746126827"/>
    <n v="7"/>
    <n v="27054.02399439341"/>
    <n v="15816.16275173342"/>
  </r>
  <r>
    <s v="ORD101975"/>
    <d v="2024-12-01T00:00:00"/>
    <x v="2"/>
    <n v="12"/>
    <x v="3"/>
    <x v="1"/>
    <x v="1"/>
    <n v="95004.09454948752"/>
    <n v="16"/>
    <n v="63474.88227981839"/>
    <n v="31529.212269669129"/>
  </r>
  <r>
    <s v="ORD101976"/>
    <d v="2024-12-01T00:00:00"/>
    <x v="2"/>
    <n v="12"/>
    <x v="0"/>
    <x v="0"/>
    <x v="2"/>
    <n v="83750.266068110141"/>
    <n v="19"/>
    <n v="52814.091194753943"/>
    <n v="30936.174873356202"/>
  </r>
  <r>
    <s v="ORD101977"/>
    <d v="2024-12-01T00:00:00"/>
    <x v="2"/>
    <n v="12"/>
    <x v="0"/>
    <x v="1"/>
    <x v="2"/>
    <n v="151460.72680950089"/>
    <n v="35"/>
    <n v="97242.217323503399"/>
    <n v="54218.509485997492"/>
  </r>
  <r>
    <s v="ORD101978"/>
    <d v="2024-12-01T00:00:00"/>
    <x v="2"/>
    <n v="12"/>
    <x v="1"/>
    <x v="0"/>
    <x v="2"/>
    <n v="65015.222762219477"/>
    <n v="15"/>
    <n v="40673.657921266356"/>
    <n v="24341.564840953131"/>
  </r>
  <r>
    <s v="ORD101979"/>
    <d v="2024-12-01T00:00:00"/>
    <x v="2"/>
    <n v="12"/>
    <x v="1"/>
    <x v="1"/>
    <x v="2"/>
    <n v="129679.4918660129"/>
    <n v="30"/>
    <n v="82598.634377931172"/>
    <n v="47080.857488081689"/>
  </r>
  <r>
    <s v="ORD101980"/>
    <d v="2024-12-01T00:00:00"/>
    <x v="2"/>
    <n v="12"/>
    <x v="2"/>
    <x v="0"/>
    <x v="2"/>
    <n v="48476.390508589902"/>
    <n v="11"/>
    <n v="31043.720264898078"/>
    <n v="17432.67024369182"/>
  </r>
  <r>
    <s v="ORD101981"/>
    <d v="2024-12-01T00:00:00"/>
    <x v="2"/>
    <n v="12"/>
    <x v="2"/>
    <x v="1"/>
    <x v="2"/>
    <n v="83293.173991021074"/>
    <n v="19"/>
    <n v="53565.356931097202"/>
    <n v="29727.817059923869"/>
  </r>
  <r>
    <s v="ORD101982"/>
    <d v="2024-12-01T00:00:00"/>
    <x v="2"/>
    <n v="12"/>
    <x v="3"/>
    <x v="0"/>
    <x v="2"/>
    <n v="32116.045873725281"/>
    <n v="7"/>
    <n v="20141.810959708331"/>
    <n v="11974.23491401695"/>
  </r>
  <r>
    <s v="ORD101983"/>
    <d v="2024-12-01T00:00:00"/>
    <x v="2"/>
    <n v="12"/>
    <x v="3"/>
    <x v="1"/>
    <x v="2"/>
    <n v="58404.017894103141"/>
    <n v="14"/>
    <n v="38183.870237790114"/>
    <n v="20220.147656313031"/>
  </r>
  <r>
    <s v="ORD101984"/>
    <d v="2024-12-01T00:00:00"/>
    <x v="2"/>
    <n v="12"/>
    <x v="0"/>
    <x v="0"/>
    <x v="3"/>
    <n v="74420.769995355906"/>
    <n v="88"/>
    <n v="35338.168965412093"/>
    <n v="39082.601029943813"/>
  </r>
  <r>
    <s v="ORD101985"/>
    <d v="2024-12-01T00:00:00"/>
    <x v="2"/>
    <n v="12"/>
    <x v="0"/>
    <x v="1"/>
    <x v="3"/>
    <n v="135088.22918686201"/>
    <n v="159"/>
    <n v="62887.972382659187"/>
    <n v="72200.256804202756"/>
  </r>
  <r>
    <s v="ORD101986"/>
    <d v="2024-12-01T00:00:00"/>
    <x v="2"/>
    <n v="12"/>
    <x v="1"/>
    <x v="0"/>
    <x v="3"/>
    <n v="56542.482261427758"/>
    <n v="67"/>
    <n v="27087.13059610522"/>
    <n v="29455.351665322542"/>
  </r>
  <r>
    <s v="ORD101987"/>
    <d v="2024-12-01T00:00:00"/>
    <x v="2"/>
    <n v="12"/>
    <x v="1"/>
    <x v="1"/>
    <x v="3"/>
    <n v="109825.2979071703"/>
    <n v="129"/>
    <n v="52748.761402152457"/>
    <n v="57076.536505017822"/>
  </r>
  <r>
    <s v="ORD101988"/>
    <d v="2024-12-01T00:00:00"/>
    <x v="2"/>
    <n v="12"/>
    <x v="2"/>
    <x v="0"/>
    <x v="3"/>
    <n v="38997.326387767571"/>
    <n v="46"/>
    <n v="18772.825171912529"/>
    <n v="20224.501215855042"/>
  </r>
  <r>
    <s v="ORD101989"/>
    <d v="2024-12-01T00:00:00"/>
    <x v="2"/>
    <n v="12"/>
    <x v="2"/>
    <x v="1"/>
    <x v="3"/>
    <n v="77869.146043277258"/>
    <n v="92"/>
    <n v="38293.618373082369"/>
    <n v="39575.52767019489"/>
  </r>
  <r>
    <s v="ORD101990"/>
    <d v="2024-12-01T00:00:00"/>
    <x v="2"/>
    <n v="12"/>
    <x v="3"/>
    <x v="0"/>
    <x v="3"/>
    <n v="30334.586257798492"/>
    <n v="36"/>
    <n v="14498.63033298966"/>
    <n v="15835.95592480883"/>
  </r>
  <r>
    <s v="ORD101991"/>
    <d v="2024-12-01T00:00:00"/>
    <x v="2"/>
    <n v="12"/>
    <x v="3"/>
    <x v="1"/>
    <x v="3"/>
    <n v="53883.564691832442"/>
    <n v="63"/>
    <n v="25808.4216576033"/>
    <n v="28075.14303422915"/>
  </r>
  <r>
    <s v="ORD101992"/>
    <d v="2024-12-01T00:00:00"/>
    <x v="2"/>
    <n v="12"/>
    <x v="0"/>
    <x v="0"/>
    <x v="4"/>
    <n v="62910.255369972983"/>
    <n v="87"/>
    <n v="33913.564503164103"/>
    <n v="28996.69086680888"/>
  </r>
  <r>
    <s v="ORD101993"/>
    <d v="2024-12-01T00:00:00"/>
    <x v="2"/>
    <n v="12"/>
    <x v="0"/>
    <x v="1"/>
    <x v="4"/>
    <n v="113339.127267984"/>
    <n v="157"/>
    <n v="63257.228094541802"/>
    <n v="50081.899173442172"/>
  </r>
  <r>
    <s v="ORD101994"/>
    <d v="2024-12-01T00:00:00"/>
    <x v="2"/>
    <n v="12"/>
    <x v="1"/>
    <x v="0"/>
    <x v="4"/>
    <n v="44301.947184258759"/>
    <n v="62"/>
    <n v="24446.906930523772"/>
    <n v="19855.040253734991"/>
  </r>
  <r>
    <s v="ORD101995"/>
    <d v="2024-12-01T00:00:00"/>
    <x v="2"/>
    <n v="12"/>
    <x v="1"/>
    <x v="1"/>
    <x v="4"/>
    <n v="86060.57492669663"/>
    <n v="120"/>
    <n v="46975.452715491861"/>
    <n v="39085.122211204769"/>
  </r>
  <r>
    <s v="ORD101996"/>
    <d v="2024-12-01T00:00:00"/>
    <x v="2"/>
    <n v="12"/>
    <x v="2"/>
    <x v="0"/>
    <x v="4"/>
    <n v="33422.268828192377"/>
    <n v="46"/>
    <n v="17752.028214116759"/>
    <n v="15670.240614075619"/>
  </r>
  <r>
    <s v="ORD101997"/>
    <d v="2024-12-01T00:00:00"/>
    <x v="2"/>
    <n v="12"/>
    <x v="2"/>
    <x v="1"/>
    <x v="4"/>
    <n v="66261.63095866199"/>
    <n v="92"/>
    <n v="37391.417194691312"/>
    <n v="28870.213763970682"/>
  </r>
  <r>
    <s v="ORD101998"/>
    <d v="2024-12-01T00:00:00"/>
    <x v="2"/>
    <n v="12"/>
    <x v="3"/>
    <x v="0"/>
    <x v="4"/>
    <n v="25198.319582831758"/>
    <n v="35"/>
    <n v="13552.81459686842"/>
    <n v="11645.50498596334"/>
  </r>
  <r>
    <s v="ORD101999"/>
    <d v="2024-12-01T00:00:00"/>
    <x v="2"/>
    <n v="12"/>
    <x v="3"/>
    <x v="1"/>
    <x v="4"/>
    <n v="45398.870620974209"/>
    <n v="63"/>
    <n v="24703.629638436629"/>
    <n v="20695.24098253758"/>
  </r>
  <r>
    <s v="ORD102000"/>
    <d v="2024-12-01T00:00:00"/>
    <x v="2"/>
    <n v="12"/>
    <x v="0"/>
    <x v="0"/>
    <x v="5"/>
    <n v="55004.550567518607"/>
    <n v="10"/>
    <n v="38197.945280036343"/>
    <n v="16806.60528748226"/>
  </r>
  <r>
    <s v="ORD102001"/>
    <d v="2024-12-01T00:00:00"/>
    <x v="2"/>
    <n v="12"/>
    <x v="0"/>
    <x v="1"/>
    <x v="5"/>
    <n v="106281.452383578"/>
    <n v="20"/>
    <n v="71754.726966399103"/>
    <n v="34526.725417178852"/>
  </r>
  <r>
    <s v="ORD102002"/>
    <d v="2024-12-01T00:00:00"/>
    <x v="2"/>
    <n v="12"/>
    <x v="1"/>
    <x v="0"/>
    <x v="5"/>
    <n v="51750.715859338379"/>
    <n v="10"/>
    <n v="34748.049656862859"/>
    <n v="17002.666202475521"/>
  </r>
  <r>
    <s v="ORD102003"/>
    <d v="2024-12-01T00:00:00"/>
    <x v="2"/>
    <n v="12"/>
    <x v="1"/>
    <x v="1"/>
    <x v="5"/>
    <n v="85853.610183367535"/>
    <n v="16"/>
    <n v="56974.2218142602"/>
    <n v="28879.388369107339"/>
  </r>
  <r>
    <s v="ORD102004"/>
    <d v="2024-12-01T00:00:00"/>
    <x v="2"/>
    <n v="12"/>
    <x v="2"/>
    <x v="0"/>
    <x v="5"/>
    <n v="32843.350633751739"/>
    <n v="6"/>
    <n v="22956.016987457118"/>
    <n v="9887.3336462946172"/>
  </r>
  <r>
    <s v="ORD102005"/>
    <d v="2024-12-01T00:00:00"/>
    <x v="2"/>
    <n v="12"/>
    <x v="2"/>
    <x v="1"/>
    <x v="5"/>
    <n v="60652.925664232207"/>
    <n v="11"/>
    <n v="41439.824819900343"/>
    <n v="19213.100844331861"/>
  </r>
  <r>
    <s v="ORD102006"/>
    <d v="2024-12-01T00:00:00"/>
    <x v="2"/>
    <n v="12"/>
    <x v="3"/>
    <x v="0"/>
    <x v="5"/>
    <n v="22237.827460473349"/>
    <n v="4"/>
    <n v="16152.5948481297"/>
    <n v="6085.2326123436469"/>
  </r>
  <r>
    <s v="ORD102007"/>
    <d v="2024-12-01T00:00:00"/>
    <x v="2"/>
    <n v="12"/>
    <x v="3"/>
    <x v="1"/>
    <x v="5"/>
    <n v="43643.572724288351"/>
    <n v="8"/>
    <n v="29575.071861110791"/>
    <n v="14068.50086317756"/>
  </r>
  <r>
    <s v="ORD102008"/>
    <d v="2024-12-01T00:00:00"/>
    <x v="2"/>
    <n v="12"/>
    <x v="0"/>
    <x v="0"/>
    <x v="6"/>
    <n v="128492.2300986037"/>
    <n v="37"/>
    <n v="74553.015224811199"/>
    <n v="53939.214873792487"/>
  </r>
  <r>
    <s v="ORD102009"/>
    <d v="2024-12-01T00:00:00"/>
    <x v="2"/>
    <n v="12"/>
    <x v="0"/>
    <x v="1"/>
    <x v="6"/>
    <n v="217825.6291447886"/>
    <n v="62"/>
    <n v="127209.1930114915"/>
    <n v="90616.436133297088"/>
  </r>
  <r>
    <s v="ORD102010"/>
    <d v="2024-12-01T00:00:00"/>
    <x v="2"/>
    <n v="12"/>
    <x v="1"/>
    <x v="0"/>
    <x v="6"/>
    <n v="92083.735048324263"/>
    <n v="26"/>
    <n v="54567.172173401901"/>
    <n v="37516.562874922362"/>
  </r>
  <r>
    <s v="ORD102011"/>
    <d v="2024-12-01T00:00:00"/>
    <x v="2"/>
    <n v="12"/>
    <x v="1"/>
    <x v="1"/>
    <x v="6"/>
    <n v="189127.64903455609"/>
    <n v="54"/>
    <n v="110640.8927698012"/>
    <n v="78486.756264754891"/>
  </r>
  <r>
    <s v="ORD102012"/>
    <d v="2024-12-01T00:00:00"/>
    <x v="2"/>
    <n v="12"/>
    <x v="2"/>
    <x v="0"/>
    <x v="6"/>
    <n v="65867.902625255767"/>
    <n v="19"/>
    <n v="39290.399419323818"/>
    <n v="26577.503205931949"/>
  </r>
  <r>
    <s v="ORD102013"/>
    <d v="2024-12-01T00:00:00"/>
    <x v="2"/>
    <n v="12"/>
    <x v="2"/>
    <x v="1"/>
    <x v="6"/>
    <n v="130735.6296507143"/>
    <n v="37"/>
    <n v="75775.337251593868"/>
    <n v="54960.292399120401"/>
  </r>
  <r>
    <s v="ORD102014"/>
    <d v="2024-12-01T00:00:00"/>
    <x v="2"/>
    <n v="12"/>
    <x v="3"/>
    <x v="0"/>
    <x v="6"/>
    <n v="49633.404148180423"/>
    <n v="14"/>
    <n v="28555.46212404285"/>
    <n v="21077.942024137559"/>
  </r>
  <r>
    <s v="ORD102015"/>
    <d v="2024-12-01T00:00:00"/>
    <x v="2"/>
    <n v="12"/>
    <x v="3"/>
    <x v="1"/>
    <x v="6"/>
    <n v="90671.847578610526"/>
    <n v="26"/>
    <n v="51764.826123012594"/>
    <n v="38907.021455597933"/>
  </r>
  <r>
    <s v="ORD102016"/>
    <d v="2025-01-01T00:00:00"/>
    <x v="3"/>
    <n v="1"/>
    <x v="0"/>
    <x v="0"/>
    <x v="0"/>
    <n v="102828.09563409491"/>
    <n v="20"/>
    <n v="61201.731080496793"/>
    <n v="41626.364553598127"/>
  </r>
  <r>
    <s v="ORD102017"/>
    <d v="2025-01-01T00:00:00"/>
    <x v="3"/>
    <n v="1"/>
    <x v="0"/>
    <x v="1"/>
    <x v="0"/>
    <n v="166177.9056172453"/>
    <n v="32"/>
    <n v="102069.5189519156"/>
    <n v="64108.386665329657"/>
  </r>
  <r>
    <s v="ORD102018"/>
    <d v="2025-01-01T00:00:00"/>
    <x v="3"/>
    <n v="1"/>
    <x v="1"/>
    <x v="0"/>
    <x v="0"/>
    <n v="86100.903819172046"/>
    <n v="17"/>
    <n v="53093.352573360891"/>
    <n v="33007.551245811163"/>
  </r>
  <r>
    <s v="ORD102019"/>
    <d v="2025-01-01T00:00:00"/>
    <x v="3"/>
    <n v="1"/>
    <x v="1"/>
    <x v="1"/>
    <x v="0"/>
    <n v="130062.0332201409"/>
    <n v="25"/>
    <n v="79721.934619009786"/>
    <n v="50340.098601131132"/>
  </r>
  <r>
    <s v="ORD102020"/>
    <d v="2025-01-01T00:00:00"/>
    <x v="3"/>
    <n v="1"/>
    <x v="2"/>
    <x v="0"/>
    <x v="0"/>
    <n v="59605.087505129653"/>
    <n v="11"/>
    <n v="37782.258807798687"/>
    <n v="21822.828697330959"/>
  </r>
  <r>
    <s v="ORD102021"/>
    <d v="2025-01-01T00:00:00"/>
    <x v="3"/>
    <n v="1"/>
    <x v="2"/>
    <x v="1"/>
    <x v="0"/>
    <n v="85092.682147581188"/>
    <n v="16"/>
    <n v="53923.642580219283"/>
    <n v="31169.03956736191"/>
  </r>
  <r>
    <s v="ORD102022"/>
    <d v="2025-01-01T00:00:00"/>
    <x v="3"/>
    <n v="1"/>
    <x v="3"/>
    <x v="0"/>
    <x v="0"/>
    <n v="43422.042467536303"/>
    <n v="8"/>
    <n v="26759.424152216448"/>
    <n v="16662.618315319851"/>
  </r>
  <r>
    <s v="ORD102023"/>
    <d v="2025-01-01T00:00:00"/>
    <x v="3"/>
    <n v="1"/>
    <x v="3"/>
    <x v="1"/>
    <x v="0"/>
    <n v="67216.907854361198"/>
    <n v="13"/>
    <n v="40328.789645080207"/>
    <n v="26888.11820928099"/>
  </r>
  <r>
    <s v="ORD102024"/>
    <d v="2025-01-01T00:00:00"/>
    <x v="3"/>
    <n v="1"/>
    <x v="0"/>
    <x v="0"/>
    <x v="1"/>
    <n v="105818.3856898591"/>
    <n v="17"/>
    <n v="69127.716857311563"/>
    <n v="36690.668832547497"/>
  </r>
  <r>
    <s v="ORD102025"/>
    <d v="2025-01-01T00:00:00"/>
    <x v="3"/>
    <n v="1"/>
    <x v="0"/>
    <x v="1"/>
    <x v="1"/>
    <n v="160335.07389726551"/>
    <n v="26"/>
    <n v="104678.62057087119"/>
    <n v="55656.453326394228"/>
  </r>
  <r>
    <s v="ORD102026"/>
    <d v="2025-01-01T00:00:00"/>
    <x v="3"/>
    <n v="1"/>
    <x v="1"/>
    <x v="0"/>
    <x v="1"/>
    <n v="77855.734527432665"/>
    <n v="13"/>
    <n v="50776.983493064392"/>
    <n v="27078.75103436827"/>
  </r>
  <r>
    <s v="ORD102027"/>
    <d v="2025-01-01T00:00:00"/>
    <x v="3"/>
    <n v="1"/>
    <x v="1"/>
    <x v="1"/>
    <x v="1"/>
    <n v="128863.51301700799"/>
    <n v="21"/>
    <n v="83981.78174365536"/>
    <n v="44881.731273352591"/>
  </r>
  <r>
    <s v="ORD102028"/>
    <d v="2025-01-01T00:00:00"/>
    <x v="3"/>
    <n v="1"/>
    <x v="2"/>
    <x v="0"/>
    <x v="1"/>
    <n v="54862.983270673431"/>
    <n v="9"/>
    <n v="35783.659982520527"/>
    <n v="19079.3232881529"/>
  </r>
  <r>
    <s v="ORD102029"/>
    <d v="2025-01-01T00:00:00"/>
    <x v="3"/>
    <n v="1"/>
    <x v="2"/>
    <x v="1"/>
    <x v="1"/>
    <n v="85239.242089832551"/>
    <n v="14"/>
    <n v="55866.471428510857"/>
    <n v="29372.770661321691"/>
  </r>
  <r>
    <s v="ORD102030"/>
    <d v="2025-01-01T00:00:00"/>
    <x v="3"/>
    <n v="1"/>
    <x v="3"/>
    <x v="0"/>
    <x v="1"/>
    <n v="43992.560469508178"/>
    <n v="7"/>
    <n v="28702.936036855841"/>
    <n v="15289.624432652339"/>
  </r>
  <r>
    <s v="ORD102031"/>
    <d v="2025-01-01T00:00:00"/>
    <x v="3"/>
    <n v="1"/>
    <x v="3"/>
    <x v="1"/>
    <x v="1"/>
    <n v="68271.565271812811"/>
    <n v="11"/>
    <n v="45228.196423889662"/>
    <n v="23043.36884792315"/>
  </r>
  <r>
    <s v="ORD102032"/>
    <d v="2025-01-01T00:00:00"/>
    <x v="3"/>
    <n v="1"/>
    <x v="0"/>
    <x v="0"/>
    <x v="2"/>
    <n v="72635.069661867441"/>
    <n v="17"/>
    <n v="46787.985269743469"/>
    <n v="25847.084392123968"/>
  </r>
  <r>
    <s v="ORD102033"/>
    <d v="2025-01-01T00:00:00"/>
    <x v="3"/>
    <n v="1"/>
    <x v="0"/>
    <x v="1"/>
    <x v="2"/>
    <n v="111236.69409449679"/>
    <n v="26"/>
    <n v="70024.541064095029"/>
    <n v="41212.153030401787"/>
  </r>
  <r>
    <s v="ORD102034"/>
    <d v="2025-01-01T00:00:00"/>
    <x v="3"/>
    <n v="1"/>
    <x v="1"/>
    <x v="0"/>
    <x v="2"/>
    <n v="54030.248772694817"/>
    <n v="13"/>
    <n v="35370.506455400922"/>
    <n v="18659.742317293902"/>
  </r>
  <r>
    <s v="ORD102035"/>
    <d v="2025-01-01T00:00:00"/>
    <x v="3"/>
    <n v="1"/>
    <x v="1"/>
    <x v="1"/>
    <x v="2"/>
    <n v="88457.025235933092"/>
    <n v="21"/>
    <n v="55613.788231764767"/>
    <n v="32843.237004168317"/>
  </r>
  <r>
    <s v="ORD102036"/>
    <d v="2025-01-01T00:00:00"/>
    <x v="3"/>
    <n v="1"/>
    <x v="2"/>
    <x v="0"/>
    <x v="2"/>
    <n v="41626.39883053919"/>
    <n v="10"/>
    <n v="25865.10143111537"/>
    <n v="15761.29739942382"/>
  </r>
  <r>
    <s v="ORD102037"/>
    <d v="2025-01-01T00:00:00"/>
    <x v="3"/>
    <n v="1"/>
    <x v="2"/>
    <x v="1"/>
    <x v="2"/>
    <n v="63031.824684123843"/>
    <n v="15"/>
    <n v="40616.860891907178"/>
    <n v="22414.963792216651"/>
  </r>
  <r>
    <s v="ORD102038"/>
    <d v="2025-01-01T00:00:00"/>
    <x v="3"/>
    <n v="1"/>
    <x v="3"/>
    <x v="0"/>
    <x v="2"/>
    <n v="29116.882417230208"/>
    <n v="7"/>
    <n v="18360.624409325359"/>
    <n v="10756.258007904849"/>
  </r>
  <r>
    <s v="ORD102039"/>
    <d v="2025-01-01T00:00:00"/>
    <x v="3"/>
    <n v="1"/>
    <x v="3"/>
    <x v="1"/>
    <x v="2"/>
    <n v="46722.944961342437"/>
    <n v="11"/>
    <n v="30075.619371537839"/>
    <n v="16647.325589804601"/>
  </r>
  <r>
    <s v="ORD102040"/>
    <d v="2025-01-01T00:00:00"/>
    <x v="3"/>
    <n v="1"/>
    <x v="0"/>
    <x v="0"/>
    <x v="3"/>
    <n v="61664.709164788153"/>
    <n v="73"/>
    <n v="28318.42642123728"/>
    <n v="33346.282743550873"/>
  </r>
  <r>
    <s v="ORD102041"/>
    <d v="2025-01-01T00:00:00"/>
    <x v="3"/>
    <n v="1"/>
    <x v="0"/>
    <x v="1"/>
    <x v="3"/>
    <n v="93133.381634931298"/>
    <n v="110"/>
    <n v="45824.494073219888"/>
    <n v="47308.88756171141"/>
  </r>
  <r>
    <s v="ORD102042"/>
    <d v="2025-01-01T00:00:00"/>
    <x v="3"/>
    <n v="1"/>
    <x v="1"/>
    <x v="0"/>
    <x v="3"/>
    <n v="50562.600145717472"/>
    <n v="59"/>
    <n v="24563.74674988884"/>
    <n v="25998.853395828639"/>
  </r>
  <r>
    <s v="ORD102043"/>
    <d v="2025-01-01T00:00:00"/>
    <x v="3"/>
    <n v="1"/>
    <x v="1"/>
    <x v="1"/>
    <x v="3"/>
    <n v="78256.033703797671"/>
    <n v="92"/>
    <n v="36548.375770820458"/>
    <n v="41707.657932977207"/>
  </r>
  <r>
    <s v="ORD102044"/>
    <d v="2025-01-01T00:00:00"/>
    <x v="3"/>
    <n v="1"/>
    <x v="2"/>
    <x v="0"/>
    <x v="3"/>
    <n v="33596.217477911297"/>
    <n v="40"/>
    <n v="15696.937803138"/>
    <n v="17899.279674773301"/>
  </r>
  <r>
    <s v="ORD102045"/>
    <d v="2025-01-01T00:00:00"/>
    <x v="3"/>
    <n v="1"/>
    <x v="2"/>
    <x v="1"/>
    <x v="3"/>
    <n v="53642.677965089708"/>
    <n v="63"/>
    <n v="26523.535079841011"/>
    <n v="27119.142885248701"/>
  </r>
  <r>
    <s v="ORD102046"/>
    <d v="2025-01-01T00:00:00"/>
    <x v="3"/>
    <n v="1"/>
    <x v="3"/>
    <x v="0"/>
    <x v="3"/>
    <n v="25234.099266570622"/>
    <n v="30"/>
    <n v="11951.60215118106"/>
    <n v="13282.49711538956"/>
  </r>
  <r>
    <s v="ORD102047"/>
    <d v="2025-01-01T00:00:00"/>
    <x v="3"/>
    <n v="1"/>
    <x v="3"/>
    <x v="1"/>
    <x v="3"/>
    <n v="38571.768170975178"/>
    <n v="45"/>
    <n v="18236.448215149529"/>
    <n v="20335.319955825649"/>
  </r>
  <r>
    <s v="ORD102048"/>
    <d v="2025-01-01T00:00:00"/>
    <x v="3"/>
    <n v="1"/>
    <x v="0"/>
    <x v="0"/>
    <x v="4"/>
    <n v="52635.144811755803"/>
    <n v="73"/>
    <n v="27768.517243213038"/>
    <n v="24866.62756854275"/>
  </r>
  <r>
    <s v="ORD102049"/>
    <d v="2025-01-01T00:00:00"/>
    <x v="3"/>
    <n v="1"/>
    <x v="0"/>
    <x v="1"/>
    <x v="4"/>
    <n v="86940.092544346553"/>
    <n v="121"/>
    <n v="47515.133671780983"/>
    <n v="39424.958872565578"/>
  </r>
  <r>
    <s v="ORD102050"/>
    <d v="2025-01-01T00:00:00"/>
    <x v="3"/>
    <n v="1"/>
    <x v="1"/>
    <x v="0"/>
    <x v="4"/>
    <n v="41029.61461295122"/>
    <n v="57"/>
    <n v="22473.789881561621"/>
    <n v="18555.824731389599"/>
  </r>
  <r>
    <s v="ORD102051"/>
    <d v="2025-01-01T00:00:00"/>
    <x v="3"/>
    <n v="1"/>
    <x v="1"/>
    <x v="1"/>
    <x v="4"/>
    <n v="61172.077985112352"/>
    <n v="85"/>
    <n v="34077.94806699438"/>
    <n v="27094.129918117971"/>
  </r>
  <r>
    <s v="ORD102052"/>
    <d v="2025-01-01T00:00:00"/>
    <x v="3"/>
    <n v="1"/>
    <x v="2"/>
    <x v="0"/>
    <x v="4"/>
    <n v="27886.346020298592"/>
    <n v="39"/>
    <n v="14951.239978101141"/>
    <n v="12935.106042197451"/>
  </r>
  <r>
    <s v="ORD102053"/>
    <d v="2025-01-01T00:00:00"/>
    <x v="3"/>
    <n v="1"/>
    <x v="2"/>
    <x v="1"/>
    <x v="4"/>
    <n v="47065.190494076807"/>
    <n v="65"/>
    <n v="25177.484155666159"/>
    <n v="21887.706338410651"/>
  </r>
  <r>
    <s v="ORD102054"/>
    <d v="2025-01-01T00:00:00"/>
    <x v="3"/>
    <n v="1"/>
    <x v="3"/>
    <x v="0"/>
    <x v="4"/>
    <n v="22201.056374466771"/>
    <n v="31"/>
    <n v="12309.69829004348"/>
    <n v="9891.3580844232838"/>
  </r>
  <r>
    <s v="ORD102055"/>
    <d v="2025-01-01T00:00:00"/>
    <x v="3"/>
    <n v="1"/>
    <x v="3"/>
    <x v="1"/>
    <x v="4"/>
    <n v="36358.416819434497"/>
    <n v="50"/>
    <n v="20359.500055076871"/>
    <n v="15998.916764357629"/>
  </r>
  <r>
    <s v="ORD102056"/>
    <d v="2025-01-01T00:00:00"/>
    <x v="3"/>
    <n v="1"/>
    <x v="0"/>
    <x v="0"/>
    <x v="5"/>
    <n v="50652.611009695756"/>
    <n v="9"/>
    <n v="33961.881123223531"/>
    <n v="16690.729886472229"/>
  </r>
  <r>
    <s v="ORD102057"/>
    <d v="2025-01-01T00:00:00"/>
    <x v="3"/>
    <n v="1"/>
    <x v="0"/>
    <x v="1"/>
    <x v="5"/>
    <n v="77499.589800887683"/>
    <n v="14"/>
    <n v="54515.722836419722"/>
    <n v="22983.866964467961"/>
  </r>
  <r>
    <s v="ORD102058"/>
    <d v="2025-01-01T00:00:00"/>
    <x v="3"/>
    <n v="1"/>
    <x v="1"/>
    <x v="0"/>
    <x v="5"/>
    <n v="38794.04966348286"/>
    <n v="7"/>
    <n v="26785.982756586851"/>
    <n v="12008.066906896011"/>
  </r>
  <r>
    <s v="ORD102059"/>
    <d v="2025-01-01T00:00:00"/>
    <x v="3"/>
    <n v="1"/>
    <x v="1"/>
    <x v="1"/>
    <x v="5"/>
    <n v="57426.324635066572"/>
    <n v="11"/>
    <n v="40402.877726768718"/>
    <n v="17023.44690829785"/>
  </r>
  <r>
    <s v="ORD102060"/>
    <d v="2025-01-01T00:00:00"/>
    <x v="3"/>
    <n v="1"/>
    <x v="2"/>
    <x v="0"/>
    <x v="5"/>
    <n v="26686.690965728019"/>
    <n v="5"/>
    <n v="18390.542318687789"/>
    <n v="8296.1486470402306"/>
  </r>
  <r>
    <s v="ORD102061"/>
    <d v="2025-01-01T00:00:00"/>
    <x v="3"/>
    <n v="1"/>
    <x v="2"/>
    <x v="1"/>
    <x v="5"/>
    <n v="43641.226826742663"/>
    <n v="8"/>
    <n v="28745.311250705108"/>
    <n v="14895.915576037551"/>
  </r>
  <r>
    <s v="ORD102062"/>
    <d v="2025-01-01T00:00:00"/>
    <x v="3"/>
    <n v="1"/>
    <x v="3"/>
    <x v="0"/>
    <x v="5"/>
    <n v="18824.581481727018"/>
    <n v="3"/>
    <n v="12953.431050544161"/>
    <n v="5871.1504311828612"/>
  </r>
  <r>
    <s v="ORD102063"/>
    <d v="2025-01-01T00:00:00"/>
    <x v="3"/>
    <n v="1"/>
    <x v="3"/>
    <x v="1"/>
    <x v="5"/>
    <n v="33705.742311753711"/>
    <n v="6"/>
    <n v="23700.76523992997"/>
    <n v="10004.97707182374"/>
  </r>
  <r>
    <s v="ORD102064"/>
    <d v="2025-01-01T00:00:00"/>
    <x v="3"/>
    <n v="1"/>
    <x v="0"/>
    <x v="0"/>
    <x v="6"/>
    <n v="91627.626659039277"/>
    <n v="26"/>
    <n v="53190.608530717072"/>
    <n v="38437.018128322197"/>
  </r>
  <r>
    <s v="ORD102065"/>
    <d v="2025-01-01T00:00:00"/>
    <x v="3"/>
    <n v="1"/>
    <x v="0"/>
    <x v="1"/>
    <x v="6"/>
    <n v="159606.615061661"/>
    <n v="46"/>
    <n v="93510.293631102919"/>
    <n v="66096.321430558106"/>
  </r>
  <r>
    <s v="ORD102066"/>
    <d v="2025-01-01T00:00:00"/>
    <x v="3"/>
    <n v="1"/>
    <x v="1"/>
    <x v="0"/>
    <x v="6"/>
    <n v="79840.207021806724"/>
    <n v="23"/>
    <n v="46956.37801705618"/>
    <n v="32883.829004750543"/>
  </r>
  <r>
    <s v="ORD102067"/>
    <d v="2025-01-01T00:00:00"/>
    <x v="3"/>
    <n v="1"/>
    <x v="1"/>
    <x v="1"/>
    <x v="6"/>
    <n v="118920.3852269894"/>
    <n v="34"/>
    <n v="66501.131197583847"/>
    <n v="52419.254029405522"/>
  </r>
  <r>
    <s v="ORD102068"/>
    <d v="2025-01-01T00:00:00"/>
    <x v="3"/>
    <n v="1"/>
    <x v="2"/>
    <x v="0"/>
    <x v="6"/>
    <n v="57774.536171182997"/>
    <n v="17"/>
    <n v="35112.457675705358"/>
    <n v="22662.078495477639"/>
  </r>
  <r>
    <s v="ORD102069"/>
    <d v="2025-01-01T00:00:00"/>
    <x v="3"/>
    <n v="1"/>
    <x v="2"/>
    <x v="1"/>
    <x v="6"/>
    <n v="83827.666040319076"/>
    <n v="24"/>
    <n v="48655.873433003202"/>
    <n v="35171.792607315867"/>
  </r>
  <r>
    <s v="ORD102070"/>
    <d v="2025-01-01T00:00:00"/>
    <x v="3"/>
    <n v="1"/>
    <x v="3"/>
    <x v="0"/>
    <x v="6"/>
    <n v="38295.43726146633"/>
    <n v="11"/>
    <n v="22799.98934242237"/>
    <n v="15495.44791904396"/>
  </r>
  <r>
    <s v="ORD102071"/>
    <d v="2025-01-01T00:00:00"/>
    <x v="3"/>
    <n v="1"/>
    <x v="3"/>
    <x v="1"/>
    <x v="6"/>
    <n v="68261.441393281959"/>
    <n v="20"/>
    <n v="40211.397603192418"/>
    <n v="28050.043790089541"/>
  </r>
  <r>
    <s v="ORD102072"/>
    <d v="2025-02-01T00:00:00"/>
    <x v="3"/>
    <n v="2"/>
    <x v="0"/>
    <x v="0"/>
    <x v="0"/>
    <n v="80665.28598649826"/>
    <n v="16"/>
    <n v="51144.616913040118"/>
    <n v="29520.669073458139"/>
  </r>
  <r>
    <s v="ORD102073"/>
    <d v="2025-02-01T00:00:00"/>
    <x v="3"/>
    <n v="2"/>
    <x v="0"/>
    <x v="1"/>
    <x v="0"/>
    <n v="133428.3724132285"/>
    <n v="26"/>
    <n v="83330.233084169551"/>
    <n v="50098.139329058919"/>
  </r>
  <r>
    <s v="ORD102074"/>
    <d v="2025-02-01T00:00:00"/>
    <x v="3"/>
    <n v="2"/>
    <x v="1"/>
    <x v="0"/>
    <x v="0"/>
    <n v="68449.499680762776"/>
    <n v="13"/>
    <n v="42259.231992923902"/>
    <n v="26190.26768783887"/>
  </r>
  <r>
    <s v="ORD102075"/>
    <d v="2025-02-01T00:00:00"/>
    <x v="3"/>
    <n v="2"/>
    <x v="1"/>
    <x v="1"/>
    <x v="0"/>
    <n v="105932.24944279381"/>
    <n v="20"/>
    <n v="64621.677624068077"/>
    <n v="41310.571818725693"/>
  </r>
  <r>
    <s v="ORD102076"/>
    <d v="2025-02-01T00:00:00"/>
    <x v="3"/>
    <n v="2"/>
    <x v="2"/>
    <x v="0"/>
    <x v="0"/>
    <n v="50544.290087430862"/>
    <n v="10"/>
    <n v="31787.50691204298"/>
    <n v="18756.783175387882"/>
  </r>
  <r>
    <s v="ORD102077"/>
    <d v="2025-02-01T00:00:00"/>
    <x v="3"/>
    <n v="2"/>
    <x v="2"/>
    <x v="1"/>
    <x v="0"/>
    <n v="73726.361695289714"/>
    <n v="14"/>
    <n v="44168.902606196403"/>
    <n v="29557.459089093321"/>
  </r>
  <r>
    <s v="ORD102078"/>
    <d v="2025-02-01T00:00:00"/>
    <x v="3"/>
    <n v="2"/>
    <x v="3"/>
    <x v="0"/>
    <x v="0"/>
    <n v="32336.150096583231"/>
    <n v="6"/>
    <n v="20281.496462749608"/>
    <n v="12054.653633833619"/>
  </r>
  <r>
    <s v="ORD102079"/>
    <d v="2025-02-01T00:00:00"/>
    <x v="3"/>
    <n v="2"/>
    <x v="3"/>
    <x v="1"/>
    <x v="0"/>
    <n v="56229.524485963382"/>
    <n v="11"/>
    <n v="34172.630977638342"/>
    <n v="22056.893508325051"/>
  </r>
  <r>
    <s v="ORD102080"/>
    <d v="2025-02-01T00:00:00"/>
    <x v="3"/>
    <n v="2"/>
    <x v="0"/>
    <x v="0"/>
    <x v="1"/>
    <n v="81566.494134450128"/>
    <n v="13"/>
    <n v="55047.361457792809"/>
    <n v="26519.132676657318"/>
  </r>
  <r>
    <s v="ORD102081"/>
    <d v="2025-02-01T00:00:00"/>
    <x v="3"/>
    <n v="2"/>
    <x v="0"/>
    <x v="1"/>
    <x v="1"/>
    <n v="138560.07285768399"/>
    <n v="23"/>
    <n v="91715.162241504469"/>
    <n v="46844.910616179521"/>
  </r>
  <r>
    <s v="ORD102082"/>
    <d v="2025-02-01T00:00:00"/>
    <x v="3"/>
    <n v="2"/>
    <x v="1"/>
    <x v="0"/>
    <x v="1"/>
    <n v="66262.903024222309"/>
    <n v="11"/>
    <n v="44240.572343870743"/>
    <n v="22022.33068035157"/>
  </r>
  <r>
    <s v="ORD102083"/>
    <d v="2025-02-01T00:00:00"/>
    <x v="3"/>
    <n v="2"/>
    <x v="1"/>
    <x v="1"/>
    <x v="1"/>
    <n v="103573.6855710501"/>
    <n v="17"/>
    <n v="68459.516054339372"/>
    <n v="35114.169516710768"/>
  </r>
  <r>
    <s v="ORD102084"/>
    <d v="2025-02-01T00:00:00"/>
    <x v="3"/>
    <n v="2"/>
    <x v="2"/>
    <x v="0"/>
    <x v="1"/>
    <n v="46637.652467774387"/>
    <n v="8"/>
    <n v="29809.936791737691"/>
    <n v="16827.7156760367"/>
  </r>
  <r>
    <s v="ORD102085"/>
    <d v="2025-02-01T00:00:00"/>
    <x v="3"/>
    <n v="2"/>
    <x v="2"/>
    <x v="1"/>
    <x v="1"/>
    <n v="74344.515567615948"/>
    <n v="12"/>
    <n v="48307.173221498473"/>
    <n v="26037.342346117479"/>
  </r>
  <r>
    <s v="ORD102086"/>
    <d v="2025-02-01T00:00:00"/>
    <x v="3"/>
    <n v="2"/>
    <x v="3"/>
    <x v="0"/>
    <x v="1"/>
    <n v="33758.430037986072"/>
    <n v="6"/>
    <n v="22550.22566900586"/>
    <n v="11208.204368980219"/>
  </r>
  <r>
    <s v="ORD102087"/>
    <d v="2025-02-01T00:00:00"/>
    <x v="3"/>
    <n v="2"/>
    <x v="3"/>
    <x v="1"/>
    <x v="1"/>
    <n v="54720.044229368723"/>
    <n v="9"/>
    <n v="36223.567826103863"/>
    <n v="18496.47640326486"/>
  </r>
  <r>
    <s v="ORD102088"/>
    <d v="2025-02-01T00:00:00"/>
    <x v="3"/>
    <n v="2"/>
    <x v="0"/>
    <x v="0"/>
    <x v="2"/>
    <n v="60847.432491107393"/>
    <n v="14"/>
    <n v="39770.18633904076"/>
    <n v="21077.246152066629"/>
  </r>
  <r>
    <s v="ORD102089"/>
    <d v="2025-02-01T00:00:00"/>
    <x v="3"/>
    <n v="2"/>
    <x v="0"/>
    <x v="1"/>
    <x v="2"/>
    <n v="91070.336226161045"/>
    <n v="21"/>
    <n v="58708.102737287431"/>
    <n v="32362.233488873611"/>
  </r>
  <r>
    <s v="ORD102090"/>
    <d v="2025-02-01T00:00:00"/>
    <x v="3"/>
    <n v="2"/>
    <x v="1"/>
    <x v="0"/>
    <x v="2"/>
    <n v="41191.7262592611"/>
    <n v="10"/>
    <n v="25903.977027488439"/>
    <n v="15287.749231772659"/>
  </r>
  <r>
    <s v="ORD102091"/>
    <d v="2025-02-01T00:00:00"/>
    <x v="3"/>
    <n v="2"/>
    <x v="1"/>
    <x v="1"/>
    <x v="2"/>
    <n v="69820.028909133049"/>
    <n v="16"/>
    <n v="44044.522834667412"/>
    <n v="25775.50607446564"/>
  </r>
  <r>
    <s v="ORD102092"/>
    <d v="2025-02-01T00:00:00"/>
    <x v="3"/>
    <n v="2"/>
    <x v="2"/>
    <x v="0"/>
    <x v="2"/>
    <n v="29104.9245070283"/>
    <n v="7"/>
    <n v="18661.65872569459"/>
    <n v="10443.265781333699"/>
  </r>
  <r>
    <s v="ORD102093"/>
    <d v="2025-02-01T00:00:00"/>
    <x v="3"/>
    <n v="2"/>
    <x v="2"/>
    <x v="1"/>
    <x v="2"/>
    <n v="48456.574101513492"/>
    <n v="11"/>
    <n v="29720.462362793001"/>
    <n v="18736.11173872049"/>
  </r>
  <r>
    <s v="ORD102094"/>
    <d v="2025-02-01T00:00:00"/>
    <x v="3"/>
    <n v="2"/>
    <x v="3"/>
    <x v="0"/>
    <x v="2"/>
    <n v="22233.836499512359"/>
    <n v="5"/>
    <n v="14658.28038303177"/>
    <n v="7575.5561164805858"/>
  </r>
  <r>
    <s v="ORD102095"/>
    <d v="2025-02-01T00:00:00"/>
    <x v="3"/>
    <n v="2"/>
    <x v="3"/>
    <x v="1"/>
    <x v="2"/>
    <n v="38973.350762558177"/>
    <n v="9"/>
    <n v="25141.2768458555"/>
    <n v="13832.07391670268"/>
  </r>
  <r>
    <s v="ORD102096"/>
    <d v="2025-02-01T00:00:00"/>
    <x v="3"/>
    <n v="2"/>
    <x v="0"/>
    <x v="0"/>
    <x v="3"/>
    <n v="50929.190301946379"/>
    <n v="60"/>
    <n v="24985.941175175769"/>
    <n v="25943.24912677061"/>
  </r>
  <r>
    <s v="ORD102097"/>
    <d v="2025-02-01T00:00:00"/>
    <x v="3"/>
    <n v="2"/>
    <x v="0"/>
    <x v="1"/>
    <x v="3"/>
    <n v="80294.741628133444"/>
    <n v="94"/>
    <n v="37444.937422726653"/>
    <n v="42849.804205406799"/>
  </r>
  <r>
    <s v="ORD102098"/>
    <d v="2025-02-01T00:00:00"/>
    <x v="3"/>
    <n v="2"/>
    <x v="1"/>
    <x v="0"/>
    <x v="3"/>
    <n v="41093.192367582022"/>
    <n v="48"/>
    <n v="20166.609200378141"/>
    <n v="20926.58316720388"/>
  </r>
  <r>
    <s v="ORD102099"/>
    <d v="2025-02-01T00:00:00"/>
    <x v="3"/>
    <n v="2"/>
    <x v="1"/>
    <x v="1"/>
    <x v="3"/>
    <n v="68730.577641646625"/>
    <n v="81"/>
    <n v="34315.813155146971"/>
    <n v="34414.764486499647"/>
  </r>
  <r>
    <s v="ORD102100"/>
    <d v="2025-02-01T00:00:00"/>
    <x v="3"/>
    <n v="2"/>
    <x v="2"/>
    <x v="0"/>
    <x v="3"/>
    <n v="28646.111540256828"/>
    <n v="34"/>
    <n v="13423.21297136176"/>
    <n v="15222.898568895071"/>
  </r>
  <r>
    <s v="ORD102101"/>
    <d v="2025-02-01T00:00:00"/>
    <x v="3"/>
    <n v="2"/>
    <x v="2"/>
    <x v="1"/>
    <x v="3"/>
    <n v="47378.64122425556"/>
    <n v="56"/>
    <n v="23057.522238770121"/>
    <n v="24321.118985485438"/>
  </r>
  <r>
    <s v="ORD102102"/>
    <d v="2025-02-01T00:00:00"/>
    <x v="3"/>
    <n v="2"/>
    <x v="3"/>
    <x v="0"/>
    <x v="3"/>
    <n v="23018.630952380929"/>
    <n v="27"/>
    <n v="11049.163604020479"/>
    <n v="11969.46734836044"/>
  </r>
  <r>
    <s v="ORD102103"/>
    <d v="2025-02-01T00:00:00"/>
    <x v="3"/>
    <n v="2"/>
    <x v="3"/>
    <x v="1"/>
    <x v="3"/>
    <n v="33110.437486081682"/>
    <n v="39"/>
    <n v="15451.18734680307"/>
    <n v="17659.250139278611"/>
  </r>
  <r>
    <s v="ORD102104"/>
    <d v="2025-02-01T00:00:00"/>
    <x v="3"/>
    <n v="2"/>
    <x v="0"/>
    <x v="0"/>
    <x v="4"/>
    <n v="45485.081046664789"/>
    <n v="63"/>
    <n v="25238.74136298785"/>
    <n v="20246.339683676939"/>
  </r>
  <r>
    <s v="ORD102105"/>
    <d v="2025-02-01T00:00:00"/>
    <x v="3"/>
    <n v="2"/>
    <x v="0"/>
    <x v="1"/>
    <x v="4"/>
    <n v="68958.346785494723"/>
    <n v="96"/>
    <n v="38496.181330940773"/>
    <n v="30462.16545455395"/>
  </r>
  <r>
    <s v="ORD102106"/>
    <d v="2025-02-01T00:00:00"/>
    <x v="3"/>
    <n v="2"/>
    <x v="1"/>
    <x v="0"/>
    <x v="4"/>
    <n v="36529.926021170097"/>
    <n v="51"/>
    <n v="19874.064137509849"/>
    <n v="16655.861883660251"/>
  </r>
  <r>
    <s v="ORD102107"/>
    <d v="2025-02-01T00:00:00"/>
    <x v="3"/>
    <n v="2"/>
    <x v="1"/>
    <x v="1"/>
    <x v="4"/>
    <n v="62796.623259973618"/>
    <n v="87"/>
    <n v="35262.977435688452"/>
    <n v="27533.64582428517"/>
  </r>
  <r>
    <s v="ORD102108"/>
    <d v="2025-02-01T00:00:00"/>
    <x v="3"/>
    <n v="2"/>
    <x v="2"/>
    <x v="0"/>
    <x v="4"/>
    <n v="27960.183007165651"/>
    <n v="39"/>
    <n v="14916.730856094729"/>
    <n v="13043.45215107092"/>
  </r>
  <r>
    <s v="ORD102109"/>
    <d v="2025-02-01T00:00:00"/>
    <x v="3"/>
    <n v="2"/>
    <x v="2"/>
    <x v="1"/>
    <x v="4"/>
    <n v="40558.093219121183"/>
    <n v="56"/>
    <n v="21706.76912515382"/>
    <n v="18851.324093967371"/>
  </r>
  <r>
    <s v="ORD102110"/>
    <d v="2025-02-01T00:00:00"/>
    <x v="3"/>
    <n v="2"/>
    <x v="3"/>
    <x v="0"/>
    <x v="4"/>
    <n v="17817.285398971409"/>
    <n v="25"/>
    <n v="9823.6015377756903"/>
    <n v="7993.6838611957191"/>
  </r>
  <r>
    <s v="ORD102111"/>
    <d v="2025-02-01T00:00:00"/>
    <x v="3"/>
    <n v="2"/>
    <x v="3"/>
    <x v="1"/>
    <x v="4"/>
    <n v="30177.023984808191"/>
    <n v="42"/>
    <n v="16604.947107852578"/>
    <n v="13572.076876955611"/>
  </r>
  <r>
    <s v="ORD102112"/>
    <d v="2025-02-01T00:00:00"/>
    <x v="3"/>
    <n v="2"/>
    <x v="0"/>
    <x v="0"/>
    <x v="5"/>
    <n v="42505.669408830327"/>
    <n v="8"/>
    <n v="28950.618119381321"/>
    <n v="13555.051289449009"/>
  </r>
  <r>
    <s v="ORD102113"/>
    <d v="2025-02-01T00:00:00"/>
    <x v="3"/>
    <n v="2"/>
    <x v="0"/>
    <x v="1"/>
    <x v="5"/>
    <n v="65576.405671808345"/>
    <n v="12"/>
    <n v="45907.101354631362"/>
    <n v="19669.304317176979"/>
  </r>
  <r>
    <s v="ORD102114"/>
    <d v="2025-02-01T00:00:00"/>
    <x v="3"/>
    <n v="2"/>
    <x v="1"/>
    <x v="0"/>
    <x v="5"/>
    <n v="34112.221666709607"/>
    <n v="6"/>
    <n v="23762.358957869012"/>
    <n v="10349.862708840599"/>
  </r>
  <r>
    <s v="ORD102115"/>
    <d v="2025-02-01T00:00:00"/>
    <x v="3"/>
    <n v="2"/>
    <x v="1"/>
    <x v="1"/>
    <x v="5"/>
    <n v="53162.463308378123"/>
    <n v="10"/>
    <n v="37248.709855731329"/>
    <n v="15913.75345264679"/>
  </r>
  <r>
    <s v="ORD102116"/>
    <d v="2025-02-01T00:00:00"/>
    <x v="3"/>
    <n v="2"/>
    <x v="2"/>
    <x v="0"/>
    <x v="5"/>
    <n v="22727.82777645723"/>
    <n v="4"/>
    <n v="15647.44225945498"/>
    <n v="7080.3855170022507"/>
  </r>
  <r>
    <s v="ORD102117"/>
    <d v="2025-02-01T00:00:00"/>
    <x v="3"/>
    <n v="2"/>
    <x v="2"/>
    <x v="1"/>
    <x v="5"/>
    <n v="33991.098807386683"/>
    <n v="6"/>
    <n v="23708.249155715461"/>
    <n v="10282.849651671209"/>
  </r>
  <r>
    <s v="ORD102118"/>
    <d v="2025-02-01T00:00:00"/>
    <x v="3"/>
    <n v="2"/>
    <x v="3"/>
    <x v="0"/>
    <x v="5"/>
    <n v="17718.250874424932"/>
    <n v="3"/>
    <n v="12127.522996471051"/>
    <n v="5590.7278779538847"/>
  </r>
  <r>
    <s v="ORD102119"/>
    <d v="2025-02-01T00:00:00"/>
    <x v="3"/>
    <n v="2"/>
    <x v="3"/>
    <x v="1"/>
    <x v="5"/>
    <n v="28718.196509167021"/>
    <n v="5"/>
    <n v="20548.111643027689"/>
    <n v="8170.084866139332"/>
  </r>
  <r>
    <s v="ORD102120"/>
    <d v="2025-02-01T00:00:00"/>
    <x v="3"/>
    <n v="2"/>
    <x v="0"/>
    <x v="0"/>
    <x v="6"/>
    <n v="81833.345319686036"/>
    <n v="23"/>
    <n v="47575.514482741783"/>
    <n v="34257.830836944253"/>
  </r>
  <r>
    <s v="ORD102121"/>
    <d v="2025-02-01T00:00:00"/>
    <x v="3"/>
    <n v="2"/>
    <x v="0"/>
    <x v="1"/>
    <x v="6"/>
    <n v="126545.7360184811"/>
    <n v="36"/>
    <n v="77491.326554294166"/>
    <n v="49054.409464186901"/>
  </r>
  <r>
    <s v="ORD102122"/>
    <d v="2025-02-01T00:00:00"/>
    <x v="3"/>
    <n v="2"/>
    <x v="1"/>
    <x v="0"/>
    <x v="6"/>
    <n v="69484.256782124299"/>
    <n v="20"/>
    <n v="41021.456113300927"/>
    <n v="28462.800668823369"/>
  </r>
  <r>
    <s v="ORD102123"/>
    <d v="2025-02-01T00:00:00"/>
    <x v="3"/>
    <n v="2"/>
    <x v="1"/>
    <x v="1"/>
    <x v="6"/>
    <n v="111432.69886485201"/>
    <n v="32"/>
    <n v="64117.491750575849"/>
    <n v="47315.207114276112"/>
  </r>
  <r>
    <s v="ORD102124"/>
    <d v="2025-02-01T00:00:00"/>
    <x v="3"/>
    <n v="2"/>
    <x v="2"/>
    <x v="0"/>
    <x v="6"/>
    <n v="48309.81550915695"/>
    <n v="14"/>
    <n v="29204.684590477391"/>
    <n v="19105.130918679559"/>
  </r>
  <r>
    <s v="ORD102125"/>
    <d v="2025-02-01T00:00:00"/>
    <x v="3"/>
    <n v="2"/>
    <x v="2"/>
    <x v="1"/>
    <x v="6"/>
    <n v="78825.011171454884"/>
    <n v="23"/>
    <n v="46612.151365200712"/>
    <n v="32212.859806254179"/>
  </r>
  <r>
    <s v="ORD102126"/>
    <d v="2025-02-01T00:00:00"/>
    <x v="3"/>
    <n v="2"/>
    <x v="3"/>
    <x v="0"/>
    <x v="6"/>
    <n v="34587.31436110958"/>
    <n v="10"/>
    <n v="20719.1480605502"/>
    <n v="13868.16630055938"/>
  </r>
  <r>
    <s v="ORD102127"/>
    <d v="2025-02-01T00:00:00"/>
    <x v="3"/>
    <n v="2"/>
    <x v="3"/>
    <x v="1"/>
    <x v="6"/>
    <n v="58966.495011893952"/>
    <n v="17"/>
    <n v="35556.640222405556"/>
    <n v="23409.8547894884"/>
  </r>
  <r>
    <s v="ORD102128"/>
    <d v="2025-03-01T00:00:00"/>
    <x v="3"/>
    <n v="3"/>
    <x v="0"/>
    <x v="0"/>
    <x v="0"/>
    <n v="93279.071196582212"/>
    <n v="18"/>
    <n v="58184.833992872511"/>
    <n v="35094.237203709701"/>
  </r>
  <r>
    <s v="ORD102129"/>
    <d v="2025-03-01T00:00:00"/>
    <x v="3"/>
    <n v="3"/>
    <x v="0"/>
    <x v="1"/>
    <x v="0"/>
    <n v="152543.37398438569"/>
    <n v="29"/>
    <n v="93568.670500180277"/>
    <n v="58974.703484205442"/>
  </r>
  <r>
    <s v="ORD102130"/>
    <d v="2025-03-01T00:00:00"/>
    <x v="3"/>
    <n v="3"/>
    <x v="1"/>
    <x v="0"/>
    <x v="0"/>
    <n v="77717.77996307172"/>
    <n v="15"/>
    <n v="49031.289475039273"/>
    <n v="28686.49048803245"/>
  </r>
  <r>
    <s v="ORD102131"/>
    <d v="2025-03-01T00:00:00"/>
    <x v="3"/>
    <n v="3"/>
    <x v="1"/>
    <x v="1"/>
    <x v="0"/>
    <n v="117852.4195465997"/>
    <n v="23"/>
    <n v="73069.493787229454"/>
    <n v="44782.92575937025"/>
  </r>
  <r>
    <s v="ORD102132"/>
    <d v="2025-03-01T00:00:00"/>
    <x v="3"/>
    <n v="3"/>
    <x v="2"/>
    <x v="0"/>
    <x v="0"/>
    <n v="48154.401960852061"/>
    <n v="9"/>
    <n v="30224.311351359811"/>
    <n v="17930.09060949225"/>
  </r>
  <r>
    <s v="ORD102133"/>
    <d v="2025-03-01T00:00:00"/>
    <x v="3"/>
    <n v="3"/>
    <x v="2"/>
    <x v="1"/>
    <x v="0"/>
    <n v="85273.757367489321"/>
    <n v="16"/>
    <n v="50820.120813873073"/>
    <n v="34453.636553616263"/>
  </r>
  <r>
    <s v="ORD102134"/>
    <d v="2025-03-01T00:00:00"/>
    <x v="3"/>
    <n v="3"/>
    <x v="3"/>
    <x v="0"/>
    <x v="0"/>
    <n v="43756.147216624857"/>
    <n v="8"/>
    <n v="27347.08076189629"/>
    <n v="16409.066454728581"/>
  </r>
  <r>
    <s v="ORD102135"/>
    <d v="2025-03-01T00:00:00"/>
    <x v="3"/>
    <n v="3"/>
    <x v="3"/>
    <x v="1"/>
    <x v="0"/>
    <n v="64091.510983771332"/>
    <n v="12"/>
    <n v="39279.981106380008"/>
    <n v="24811.52987739132"/>
  </r>
  <r>
    <s v="ORD102136"/>
    <d v="2025-03-01T00:00:00"/>
    <x v="3"/>
    <n v="3"/>
    <x v="0"/>
    <x v="0"/>
    <x v="1"/>
    <n v="96727.758264412871"/>
    <n v="16"/>
    <n v="65740.181161376691"/>
    <n v="30987.577103036179"/>
  </r>
  <r>
    <s v="ORD102137"/>
    <d v="2025-03-01T00:00:00"/>
    <x v="3"/>
    <n v="3"/>
    <x v="0"/>
    <x v="1"/>
    <x v="1"/>
    <n v="159535.00493620569"/>
    <n v="26"/>
    <n v="106474.02566617529"/>
    <n v="53060.979270030381"/>
  </r>
  <r>
    <s v="ORD102138"/>
    <d v="2025-03-01T00:00:00"/>
    <x v="3"/>
    <n v="3"/>
    <x v="1"/>
    <x v="0"/>
    <x v="1"/>
    <n v="79217.174921657745"/>
    <n v="13"/>
    <n v="52509.065582044102"/>
    <n v="26708.109339613649"/>
  </r>
  <r>
    <s v="ORD102139"/>
    <d v="2025-03-01T00:00:00"/>
    <x v="3"/>
    <n v="3"/>
    <x v="1"/>
    <x v="1"/>
    <x v="1"/>
    <n v="124209.7812772395"/>
    <n v="20"/>
    <n v="82696.06060291281"/>
    <n v="41513.720674326672"/>
  </r>
  <r>
    <s v="ORD102140"/>
    <d v="2025-03-01T00:00:00"/>
    <x v="3"/>
    <n v="3"/>
    <x v="2"/>
    <x v="0"/>
    <x v="1"/>
    <n v="51459.820927568973"/>
    <n v="8"/>
    <n v="33353.092312745357"/>
    <n v="18106.72861482362"/>
  </r>
  <r>
    <s v="ORD102141"/>
    <d v="2025-03-01T00:00:00"/>
    <x v="3"/>
    <n v="3"/>
    <x v="2"/>
    <x v="1"/>
    <x v="1"/>
    <n v="86412.155027150249"/>
    <n v="14"/>
    <n v="58698.419330353499"/>
    <n v="27713.73569679675"/>
  </r>
  <r>
    <s v="ORD102142"/>
    <d v="2025-03-01T00:00:00"/>
    <x v="3"/>
    <n v="3"/>
    <x v="3"/>
    <x v="0"/>
    <x v="1"/>
    <n v="37771.519987715437"/>
    <n v="6"/>
    <n v="25822.782192130879"/>
    <n v="11948.73779558457"/>
  </r>
  <r>
    <s v="ORD102143"/>
    <d v="2025-03-01T00:00:00"/>
    <x v="3"/>
    <n v="3"/>
    <x v="3"/>
    <x v="1"/>
    <x v="1"/>
    <n v="63967.996438883951"/>
    <n v="10"/>
    <n v="42517.46826338063"/>
    <n v="21450.528175503321"/>
  </r>
  <r>
    <s v="ORD102144"/>
    <d v="2025-03-01T00:00:00"/>
    <x v="3"/>
    <n v="3"/>
    <x v="0"/>
    <x v="0"/>
    <x v="2"/>
    <n v="64685.488739549932"/>
    <n v="15"/>
    <n v="42583.844683407049"/>
    <n v="22101.644056142879"/>
  </r>
  <r>
    <s v="ORD102145"/>
    <d v="2025-03-01T00:00:00"/>
    <x v="3"/>
    <n v="3"/>
    <x v="0"/>
    <x v="1"/>
    <x v="2"/>
    <n v="108148.5477826217"/>
    <n v="25"/>
    <n v="68505.985191520114"/>
    <n v="39642.56259110161"/>
  </r>
  <r>
    <s v="ORD102146"/>
    <d v="2025-03-01T00:00:00"/>
    <x v="3"/>
    <n v="3"/>
    <x v="1"/>
    <x v="0"/>
    <x v="2"/>
    <n v="58199.113916156282"/>
    <n v="14"/>
    <n v="36713.005092959451"/>
    <n v="21486.108823196832"/>
  </r>
  <r>
    <s v="ORD102147"/>
    <d v="2025-03-01T00:00:00"/>
    <x v="3"/>
    <n v="3"/>
    <x v="1"/>
    <x v="1"/>
    <x v="2"/>
    <n v="84687.878215595279"/>
    <n v="20"/>
    <n v="54240.168421151837"/>
    <n v="30447.709794443439"/>
  </r>
  <r>
    <s v="ORD102148"/>
    <d v="2025-03-01T00:00:00"/>
    <x v="3"/>
    <n v="3"/>
    <x v="2"/>
    <x v="0"/>
    <x v="2"/>
    <n v="36640.736625320002"/>
    <n v="9"/>
    <n v="23633.660611800871"/>
    <n v="13007.07601351913"/>
  </r>
  <r>
    <s v="ORD102149"/>
    <d v="2025-03-01T00:00:00"/>
    <x v="3"/>
    <n v="3"/>
    <x v="2"/>
    <x v="1"/>
    <x v="2"/>
    <n v="57650.511138790731"/>
    <n v="13"/>
    <n v="36634.667222266216"/>
    <n v="21015.843916524511"/>
  </r>
  <r>
    <s v="ORD102150"/>
    <d v="2025-03-01T00:00:00"/>
    <x v="3"/>
    <n v="3"/>
    <x v="3"/>
    <x v="0"/>
    <x v="2"/>
    <n v="28796.83813338992"/>
    <n v="7"/>
    <n v="18608.375396450439"/>
    <n v="10188.46273693948"/>
  </r>
  <r>
    <s v="ORD102151"/>
    <d v="2025-03-01T00:00:00"/>
    <x v="3"/>
    <n v="3"/>
    <x v="3"/>
    <x v="1"/>
    <x v="2"/>
    <n v="44649.488206973663"/>
    <n v="10"/>
    <n v="28733.26759115011"/>
    <n v="15916.22061582354"/>
  </r>
  <r>
    <s v="ORD102152"/>
    <d v="2025-03-01T00:00:00"/>
    <x v="3"/>
    <n v="3"/>
    <x v="0"/>
    <x v="0"/>
    <x v="3"/>
    <n v="65846.050429632378"/>
    <n v="77"/>
    <n v="31038.157622770239"/>
    <n v="34807.892806862154"/>
  </r>
  <r>
    <s v="ORD102153"/>
    <d v="2025-03-01T00:00:00"/>
    <x v="3"/>
    <n v="3"/>
    <x v="0"/>
    <x v="1"/>
    <x v="3"/>
    <n v="102028.4709926213"/>
    <n v="120"/>
    <n v="49430.995604448828"/>
    <n v="52597.475388172439"/>
  </r>
  <r>
    <s v="ORD102154"/>
    <d v="2025-03-01T00:00:00"/>
    <x v="3"/>
    <n v="3"/>
    <x v="1"/>
    <x v="0"/>
    <x v="3"/>
    <n v="50191.115469386168"/>
    <n v="59"/>
    <n v="24466.2055164253"/>
    <n v="25724.909952960868"/>
  </r>
  <r>
    <s v="ORD102155"/>
    <d v="2025-03-01T00:00:00"/>
    <x v="3"/>
    <n v="3"/>
    <x v="1"/>
    <x v="1"/>
    <x v="3"/>
    <n v="75905.384290152069"/>
    <n v="89"/>
    <n v="36547.037899283569"/>
    <n v="39358.346390868501"/>
  </r>
  <r>
    <s v="ORD102156"/>
    <d v="2025-03-01T00:00:00"/>
    <x v="3"/>
    <n v="3"/>
    <x v="2"/>
    <x v="0"/>
    <x v="3"/>
    <n v="35010.553986785737"/>
    <n v="41"/>
    <n v="17153.73180596732"/>
    <n v="17856.822180818421"/>
  </r>
  <r>
    <s v="ORD102157"/>
    <d v="2025-03-01T00:00:00"/>
    <x v="3"/>
    <n v="3"/>
    <x v="2"/>
    <x v="1"/>
    <x v="3"/>
    <n v="58713.144552686368"/>
    <n v="69"/>
    <n v="27564.74287889665"/>
    <n v="31148.401673789718"/>
  </r>
  <r>
    <s v="ORD102158"/>
    <d v="2025-03-01T00:00:00"/>
    <x v="3"/>
    <n v="3"/>
    <x v="3"/>
    <x v="0"/>
    <x v="3"/>
    <n v="26982.169425111071"/>
    <n v="32"/>
    <n v="13060.532707879829"/>
    <n v="13921.63671723124"/>
  </r>
  <r>
    <s v="ORD102159"/>
    <d v="2025-03-01T00:00:00"/>
    <x v="3"/>
    <n v="3"/>
    <x v="3"/>
    <x v="1"/>
    <x v="3"/>
    <n v="41283.925122058114"/>
    <n v="49"/>
    <n v="19398.852990275511"/>
    <n v="21885.072131782599"/>
  </r>
  <r>
    <s v="ORD102160"/>
    <d v="2025-03-01T00:00:00"/>
    <x v="3"/>
    <n v="3"/>
    <x v="0"/>
    <x v="0"/>
    <x v="4"/>
    <n v="59059.508872102917"/>
    <n v="82"/>
    <n v="31831.338610834569"/>
    <n v="27228.17026126834"/>
  </r>
  <r>
    <s v="ORD102161"/>
    <d v="2025-03-01T00:00:00"/>
    <x v="3"/>
    <n v="3"/>
    <x v="0"/>
    <x v="1"/>
    <x v="4"/>
    <n v="81405.166773932215"/>
    <n v="113"/>
    <n v="44264.36753120464"/>
    <n v="37140.799242727568"/>
  </r>
  <r>
    <s v="ORD102162"/>
    <d v="2025-03-01T00:00:00"/>
    <x v="3"/>
    <n v="3"/>
    <x v="1"/>
    <x v="0"/>
    <x v="4"/>
    <n v="38634.710789575678"/>
    <n v="54"/>
    <n v="20888.768329152841"/>
    <n v="17745.94246042283"/>
  </r>
  <r>
    <s v="ORD102163"/>
    <d v="2025-03-01T00:00:00"/>
    <x v="3"/>
    <n v="3"/>
    <x v="1"/>
    <x v="1"/>
    <x v="4"/>
    <n v="67421.760781782825"/>
    <n v="94"/>
    <n v="36716.1946842748"/>
    <n v="30705.566097508021"/>
  </r>
  <r>
    <s v="ORD102164"/>
    <d v="2025-03-01T00:00:00"/>
    <x v="3"/>
    <n v="3"/>
    <x v="2"/>
    <x v="0"/>
    <x v="4"/>
    <n v="30087.012777942469"/>
    <n v="42"/>
    <n v="16484.069910834151"/>
    <n v="13602.94286710831"/>
  </r>
  <r>
    <s v="ORD102165"/>
    <d v="2025-03-01T00:00:00"/>
    <x v="3"/>
    <n v="3"/>
    <x v="2"/>
    <x v="1"/>
    <x v="4"/>
    <n v="45924.182926197223"/>
    <n v="64"/>
    <n v="25638.912403509388"/>
    <n v="20285.270522687839"/>
  </r>
  <r>
    <s v="ORD102166"/>
    <d v="2025-03-01T00:00:00"/>
    <x v="3"/>
    <n v="3"/>
    <x v="3"/>
    <x v="0"/>
    <x v="4"/>
    <n v="22761.52515779412"/>
    <n v="32"/>
    <n v="12446.46914834915"/>
    <n v="10315.056009444959"/>
  </r>
  <r>
    <s v="ORD102167"/>
    <d v="2025-03-01T00:00:00"/>
    <x v="3"/>
    <n v="3"/>
    <x v="3"/>
    <x v="1"/>
    <x v="4"/>
    <n v="33191.243153709169"/>
    <n v="46"/>
    <n v="17734.157739536851"/>
    <n v="15457.085414172319"/>
  </r>
  <r>
    <s v="ORD102168"/>
    <d v="2025-03-01T00:00:00"/>
    <x v="3"/>
    <n v="3"/>
    <x v="0"/>
    <x v="0"/>
    <x v="5"/>
    <n v="45581.444384665629"/>
    <n v="8"/>
    <n v="32096.613589535151"/>
    <n v="13484.830795130471"/>
  </r>
  <r>
    <s v="ORD102169"/>
    <d v="2025-03-01T00:00:00"/>
    <x v="3"/>
    <n v="3"/>
    <x v="0"/>
    <x v="1"/>
    <x v="5"/>
    <n v="75674.152010049424"/>
    <n v="14"/>
    <n v="51428.406498599274"/>
    <n v="24245.745511450161"/>
  </r>
  <r>
    <s v="ORD102170"/>
    <d v="2025-03-01T00:00:00"/>
    <x v="3"/>
    <n v="3"/>
    <x v="1"/>
    <x v="0"/>
    <x v="5"/>
    <n v="41946.900535876252"/>
    <n v="8"/>
    <n v="28912.769172008051"/>
    <n v="13034.1313638682"/>
  </r>
  <r>
    <s v="ORD102171"/>
    <d v="2025-03-01T00:00:00"/>
    <x v="3"/>
    <n v="3"/>
    <x v="1"/>
    <x v="1"/>
    <x v="5"/>
    <n v="59157.319889720668"/>
    <n v="11"/>
    <n v="41146.636238962703"/>
    <n v="18010.683650757968"/>
  </r>
  <r>
    <s v="ORD102172"/>
    <d v="2025-03-01T00:00:00"/>
    <x v="3"/>
    <n v="3"/>
    <x v="2"/>
    <x v="0"/>
    <x v="5"/>
    <n v="24114.080297214019"/>
    <n v="4"/>
    <n v="16698.498102064139"/>
    <n v="7415.5821951498838"/>
  </r>
  <r>
    <s v="ORD102173"/>
    <d v="2025-03-01T00:00:00"/>
    <x v="3"/>
    <n v="3"/>
    <x v="2"/>
    <x v="1"/>
    <x v="5"/>
    <n v="39890.312850769376"/>
    <n v="7"/>
    <n v="28066.413649692931"/>
    <n v="11823.89920107645"/>
  </r>
  <r>
    <s v="ORD102174"/>
    <d v="2025-03-01T00:00:00"/>
    <x v="3"/>
    <n v="3"/>
    <x v="3"/>
    <x v="0"/>
    <x v="5"/>
    <n v="19267.143362922419"/>
    <n v="4"/>
    <n v="13408.95337657565"/>
    <n v="5858.1899863467679"/>
  </r>
  <r>
    <s v="ORD102175"/>
    <d v="2025-03-01T00:00:00"/>
    <x v="3"/>
    <n v="3"/>
    <x v="3"/>
    <x v="1"/>
    <x v="5"/>
    <n v="31543.766431358781"/>
    <n v="6"/>
    <n v="21427.760500905912"/>
    <n v="10116.00593045288"/>
  </r>
  <r>
    <s v="ORD102176"/>
    <d v="2025-03-01T00:00:00"/>
    <x v="3"/>
    <n v="3"/>
    <x v="0"/>
    <x v="0"/>
    <x v="6"/>
    <n v="92083.281043922732"/>
    <n v="26"/>
    <n v="56459.605020130148"/>
    <n v="35623.676023792577"/>
  </r>
  <r>
    <s v="ORD102177"/>
    <d v="2025-03-01T00:00:00"/>
    <x v="3"/>
    <n v="3"/>
    <x v="0"/>
    <x v="1"/>
    <x v="6"/>
    <n v="166428.829140544"/>
    <n v="48"/>
    <n v="98536.488568858127"/>
    <n v="67892.340571685898"/>
  </r>
  <r>
    <s v="ORD102178"/>
    <d v="2025-03-01T00:00:00"/>
    <x v="3"/>
    <n v="3"/>
    <x v="1"/>
    <x v="0"/>
    <x v="6"/>
    <n v="77913.144225851589"/>
    <n v="22"/>
    <n v="45846.840250979367"/>
    <n v="32066.303974872211"/>
  </r>
  <r>
    <s v="ORD102179"/>
    <d v="2025-03-01T00:00:00"/>
    <x v="3"/>
    <n v="3"/>
    <x v="1"/>
    <x v="1"/>
    <x v="6"/>
    <n v="130047.0720917357"/>
    <n v="37"/>
    <n v="78059.049844925263"/>
    <n v="51988.022246810418"/>
  </r>
  <r>
    <s v="ORD102180"/>
    <d v="2025-03-01T00:00:00"/>
    <x v="3"/>
    <n v="3"/>
    <x v="2"/>
    <x v="0"/>
    <x v="6"/>
    <n v="57343.890138606039"/>
    <n v="16"/>
    <n v="33984.808840497222"/>
    <n v="23359.08129810882"/>
  </r>
  <r>
    <s v="ORD102181"/>
    <d v="2025-03-01T00:00:00"/>
    <x v="3"/>
    <n v="3"/>
    <x v="2"/>
    <x v="1"/>
    <x v="6"/>
    <n v="83669.901548304144"/>
    <n v="24"/>
    <n v="49719.985847315947"/>
    <n v="33949.915700988196"/>
  </r>
  <r>
    <s v="ORD102182"/>
    <d v="2025-03-01T00:00:00"/>
    <x v="3"/>
    <n v="3"/>
    <x v="3"/>
    <x v="0"/>
    <x v="6"/>
    <n v="40865.710364421029"/>
    <n v="12"/>
    <n v="25192.36162869124"/>
    <n v="15673.348735729791"/>
  </r>
  <r>
    <s v="ORD102183"/>
    <d v="2025-03-01T00:00:00"/>
    <x v="3"/>
    <n v="3"/>
    <x v="3"/>
    <x v="1"/>
    <x v="6"/>
    <n v="62019.254715577517"/>
    <n v="18"/>
    <n v="36410.153070743378"/>
    <n v="25609.10164483414"/>
  </r>
  <r>
    <s v="ORD102184"/>
    <d v="2025-04-01T00:00:00"/>
    <x v="3"/>
    <n v="4"/>
    <x v="0"/>
    <x v="0"/>
    <x v="0"/>
    <n v="99940.725285721011"/>
    <n v="19"/>
    <n v="61608.838720101623"/>
    <n v="38331.886565619388"/>
  </r>
  <r>
    <s v="ORD102185"/>
    <d v="2025-04-01T00:00:00"/>
    <x v="3"/>
    <n v="4"/>
    <x v="0"/>
    <x v="1"/>
    <x v="0"/>
    <n v="156251.3489690623"/>
    <n v="30"/>
    <n v="97079.121896170938"/>
    <n v="59172.227072891357"/>
  </r>
  <r>
    <s v="ORD102186"/>
    <d v="2025-04-01T00:00:00"/>
    <x v="3"/>
    <n v="4"/>
    <x v="1"/>
    <x v="0"/>
    <x v="0"/>
    <n v="81835.174612783172"/>
    <n v="16"/>
    <n v="51716.402921490953"/>
    <n v="30118.77169129223"/>
  </r>
  <r>
    <s v="ORD102187"/>
    <d v="2025-04-01T00:00:00"/>
    <x v="3"/>
    <n v="4"/>
    <x v="1"/>
    <x v="1"/>
    <x v="0"/>
    <n v="122997.14228277"/>
    <n v="24"/>
    <n v="74190.287129326171"/>
    <n v="48806.855153443823"/>
  </r>
  <r>
    <s v="ORD102188"/>
    <d v="2025-04-01T00:00:00"/>
    <x v="3"/>
    <n v="4"/>
    <x v="2"/>
    <x v="0"/>
    <x v="0"/>
    <n v="51446.143788319103"/>
    <n v="10"/>
    <n v="30768.106924209482"/>
    <n v="20678.036864109621"/>
  </r>
  <r>
    <s v="ORD102189"/>
    <d v="2025-04-01T00:00:00"/>
    <x v="3"/>
    <n v="4"/>
    <x v="2"/>
    <x v="1"/>
    <x v="0"/>
    <n v="85445.532793752514"/>
    <n v="16"/>
    <n v="52416.37356358469"/>
    <n v="33029.159230167817"/>
  </r>
  <r>
    <s v="ORD102190"/>
    <d v="2025-04-01T00:00:00"/>
    <x v="3"/>
    <n v="4"/>
    <x v="3"/>
    <x v="0"/>
    <x v="0"/>
    <n v="37235.098969798397"/>
    <n v="7"/>
    <n v="22406.794961995089"/>
    <n v="14828.30400780331"/>
  </r>
  <r>
    <s v="ORD102191"/>
    <d v="2025-04-01T00:00:00"/>
    <x v="3"/>
    <n v="4"/>
    <x v="3"/>
    <x v="1"/>
    <x v="0"/>
    <n v="62693.017292154997"/>
    <n v="12"/>
    <n v="38572.435738510023"/>
    <n v="24120.581553644992"/>
  </r>
  <r>
    <s v="ORD102192"/>
    <d v="2025-04-01T00:00:00"/>
    <x v="3"/>
    <n v="4"/>
    <x v="0"/>
    <x v="0"/>
    <x v="1"/>
    <n v="108301.2125360155"/>
    <n v="18"/>
    <n v="72125.325631280852"/>
    <n v="36175.886904734682"/>
  </r>
  <r>
    <s v="ORD102193"/>
    <d v="2025-04-01T00:00:00"/>
    <x v="3"/>
    <n v="4"/>
    <x v="0"/>
    <x v="1"/>
    <x v="1"/>
    <n v="188630.92658354781"/>
    <n v="31"/>
    <n v="122500.30087733841"/>
    <n v="66130.625706209306"/>
  </r>
  <r>
    <s v="ORD102194"/>
    <d v="2025-04-01T00:00:00"/>
    <x v="3"/>
    <n v="4"/>
    <x v="1"/>
    <x v="0"/>
    <x v="1"/>
    <n v="85741.372861379336"/>
    <n v="14"/>
    <n v="55135.929822513739"/>
    <n v="30605.4430388656"/>
  </r>
  <r>
    <s v="ORD102195"/>
    <d v="2025-04-01T00:00:00"/>
    <x v="3"/>
    <n v="4"/>
    <x v="1"/>
    <x v="1"/>
    <x v="1"/>
    <n v="132859.47879891051"/>
    <n v="22"/>
    <n v="87796.695745383622"/>
    <n v="45062.783053526829"/>
  </r>
  <r>
    <s v="ORD102196"/>
    <d v="2025-04-01T00:00:00"/>
    <x v="3"/>
    <n v="4"/>
    <x v="2"/>
    <x v="0"/>
    <x v="1"/>
    <n v="63351.349552818843"/>
    <n v="10"/>
    <n v="42461.053035184967"/>
    <n v="20890.296517633869"/>
  </r>
  <r>
    <s v="ORD102197"/>
    <d v="2025-04-01T00:00:00"/>
    <x v="3"/>
    <n v="4"/>
    <x v="2"/>
    <x v="1"/>
    <x v="1"/>
    <n v="97752.393174293509"/>
    <n v="16"/>
    <n v="62548.209500449208"/>
    <n v="35204.183673844302"/>
  </r>
  <r>
    <s v="ORD102198"/>
    <d v="2025-04-01T00:00:00"/>
    <x v="3"/>
    <n v="4"/>
    <x v="3"/>
    <x v="0"/>
    <x v="1"/>
    <n v="45016.003181067477"/>
    <n v="7"/>
    <n v="30149.214280410652"/>
    <n v="14866.788900656829"/>
  </r>
  <r>
    <s v="ORD102199"/>
    <d v="2025-04-01T00:00:00"/>
    <x v="3"/>
    <n v="4"/>
    <x v="3"/>
    <x v="1"/>
    <x v="1"/>
    <n v="72482.995337689048"/>
    <n v="12"/>
    <n v="48542.557647724512"/>
    <n v="23940.437689964539"/>
  </r>
  <r>
    <s v="ORD102200"/>
    <d v="2025-04-01T00:00:00"/>
    <x v="3"/>
    <n v="4"/>
    <x v="0"/>
    <x v="0"/>
    <x v="2"/>
    <n v="64486.425311050691"/>
    <n v="15"/>
    <n v="41980.086393153062"/>
    <n v="22506.338917897629"/>
  </r>
  <r>
    <s v="ORD102201"/>
    <d v="2025-04-01T00:00:00"/>
    <x v="3"/>
    <n v="4"/>
    <x v="0"/>
    <x v="1"/>
    <x v="2"/>
    <n v="118864.4451810286"/>
    <n v="28"/>
    <n v="77741.73230445743"/>
    <n v="41122.712876571197"/>
  </r>
  <r>
    <s v="ORD102202"/>
    <d v="2025-04-01T00:00:00"/>
    <x v="3"/>
    <n v="4"/>
    <x v="1"/>
    <x v="0"/>
    <x v="2"/>
    <n v="54372.309074537603"/>
    <n v="13"/>
    <n v="36177.551068865338"/>
    <n v="18194.758005672262"/>
  </r>
  <r>
    <s v="ORD102203"/>
    <d v="2025-04-01T00:00:00"/>
    <x v="3"/>
    <n v="4"/>
    <x v="1"/>
    <x v="1"/>
    <x v="2"/>
    <n v="91699.929178096354"/>
    <n v="21"/>
    <n v="58311.785021817501"/>
    <n v="33388.144156278853"/>
  </r>
  <r>
    <s v="ORD102204"/>
    <d v="2025-04-01T00:00:00"/>
    <x v="3"/>
    <n v="4"/>
    <x v="2"/>
    <x v="0"/>
    <x v="2"/>
    <n v="43914.408648959332"/>
    <n v="10"/>
    <n v="28160.653138911141"/>
    <n v="15753.75551004819"/>
  </r>
  <r>
    <s v="ORD102205"/>
    <d v="2025-04-01T00:00:00"/>
    <x v="3"/>
    <n v="4"/>
    <x v="2"/>
    <x v="1"/>
    <x v="2"/>
    <n v="58264.665702190148"/>
    <n v="14"/>
    <n v="37009.868846344223"/>
    <n v="21254.796855845929"/>
  </r>
  <r>
    <s v="ORD102206"/>
    <d v="2025-04-01T00:00:00"/>
    <x v="3"/>
    <n v="4"/>
    <x v="3"/>
    <x v="0"/>
    <x v="2"/>
    <n v="29338.727404938181"/>
    <n v="7"/>
    <n v="18777.453677380869"/>
    <n v="10561.27372755732"/>
  </r>
  <r>
    <s v="ORD102207"/>
    <d v="2025-04-01T00:00:00"/>
    <x v="3"/>
    <n v="4"/>
    <x v="3"/>
    <x v="1"/>
    <x v="2"/>
    <n v="47808.142500510527"/>
    <n v="11"/>
    <n v="31441.44089683038"/>
    <n v="16366.701603680151"/>
  </r>
  <r>
    <s v="ORD102208"/>
    <d v="2025-04-01T00:00:00"/>
    <x v="3"/>
    <n v="4"/>
    <x v="0"/>
    <x v="0"/>
    <x v="3"/>
    <n v="68132.405760384441"/>
    <n v="80"/>
    <n v="31911.7931779559"/>
    <n v="36220.612582428541"/>
  </r>
  <r>
    <s v="ORD102209"/>
    <d v="2025-04-01T00:00:00"/>
    <x v="3"/>
    <n v="4"/>
    <x v="0"/>
    <x v="1"/>
    <x v="3"/>
    <n v="105985.0462555463"/>
    <n v="125"/>
    <n v="50084.349718826932"/>
    <n v="55900.696536719413"/>
  </r>
  <r>
    <s v="ORD102210"/>
    <d v="2025-04-01T00:00:00"/>
    <x v="3"/>
    <n v="4"/>
    <x v="1"/>
    <x v="0"/>
    <x v="3"/>
    <n v="58576.65661954914"/>
    <n v="69"/>
    <n v="28813.789635033711"/>
    <n v="29762.866984515429"/>
  </r>
  <r>
    <s v="ORD102211"/>
    <d v="2025-04-01T00:00:00"/>
    <x v="3"/>
    <n v="4"/>
    <x v="1"/>
    <x v="1"/>
    <x v="3"/>
    <n v="82284.030461584713"/>
    <n v="97"/>
    <n v="40221.513279211293"/>
    <n v="42062.517182373427"/>
  </r>
  <r>
    <s v="ORD102212"/>
    <d v="2025-04-01T00:00:00"/>
    <x v="3"/>
    <n v="4"/>
    <x v="2"/>
    <x v="0"/>
    <x v="3"/>
    <n v="35822.557335680183"/>
    <n v="42"/>
    <n v="17082.4357725058"/>
    <n v="18740.121563174369"/>
  </r>
  <r>
    <s v="ORD102213"/>
    <d v="2025-04-01T00:00:00"/>
    <x v="3"/>
    <n v="4"/>
    <x v="2"/>
    <x v="1"/>
    <x v="3"/>
    <n v="55537.167068432907"/>
    <n v="65"/>
    <n v="27067.817408961659"/>
    <n v="28469.349659471249"/>
  </r>
  <r>
    <s v="ORD102214"/>
    <d v="2025-04-01T00:00:00"/>
    <x v="3"/>
    <n v="4"/>
    <x v="3"/>
    <x v="0"/>
    <x v="3"/>
    <n v="27151.934041520191"/>
    <n v="32"/>
    <n v="13112.975089155339"/>
    <n v="14038.95895236485"/>
  </r>
  <r>
    <s v="ORD102215"/>
    <d v="2025-04-01T00:00:00"/>
    <x v="3"/>
    <n v="4"/>
    <x v="3"/>
    <x v="1"/>
    <x v="3"/>
    <n v="41878.51970125224"/>
    <n v="49"/>
    <n v="20644.534433816782"/>
    <n v="21233.985267435459"/>
  </r>
  <r>
    <s v="ORD102216"/>
    <d v="2025-04-01T00:00:00"/>
    <x v="3"/>
    <n v="4"/>
    <x v="0"/>
    <x v="0"/>
    <x v="4"/>
    <n v="51103.137794862647"/>
    <n v="71"/>
    <n v="28144.421760174111"/>
    <n v="22958.716034688539"/>
  </r>
  <r>
    <s v="ORD102217"/>
    <d v="2025-04-01T00:00:00"/>
    <x v="3"/>
    <n v="4"/>
    <x v="0"/>
    <x v="1"/>
    <x v="4"/>
    <n v="83176.094679907037"/>
    <n v="116"/>
    <n v="46591.402004670053"/>
    <n v="36584.692675236991"/>
  </r>
  <r>
    <s v="ORD102218"/>
    <d v="2025-04-01T00:00:00"/>
    <x v="3"/>
    <n v="4"/>
    <x v="1"/>
    <x v="0"/>
    <x v="4"/>
    <n v="45269.968064183769"/>
    <n v="63"/>
    <n v="26082.560003951701"/>
    <n v="19187.408060232068"/>
  </r>
  <r>
    <s v="ORD102219"/>
    <d v="2025-04-01T00:00:00"/>
    <x v="3"/>
    <n v="4"/>
    <x v="1"/>
    <x v="1"/>
    <x v="4"/>
    <n v="68252.097845879733"/>
    <n v="95"/>
    <n v="37942.786883547051"/>
    <n v="30309.310962332682"/>
  </r>
  <r>
    <s v="ORD102220"/>
    <d v="2025-04-01T00:00:00"/>
    <x v="3"/>
    <n v="4"/>
    <x v="2"/>
    <x v="0"/>
    <x v="4"/>
    <n v="27935.47192739377"/>
    <n v="39"/>
    <n v="15378.151815415409"/>
    <n v="12557.320111978361"/>
  </r>
  <r>
    <s v="ORD102221"/>
    <d v="2025-04-01T00:00:00"/>
    <x v="3"/>
    <n v="4"/>
    <x v="2"/>
    <x v="1"/>
    <x v="4"/>
    <n v="44469.228357692438"/>
    <n v="62"/>
    <n v="24776.129530355811"/>
    <n v="19693.09882733662"/>
  </r>
  <r>
    <s v="ORD102222"/>
    <d v="2025-04-01T00:00:00"/>
    <x v="3"/>
    <n v="4"/>
    <x v="3"/>
    <x v="0"/>
    <x v="4"/>
    <n v="20271.823260294332"/>
    <n v="28"/>
    <n v="11076.194194082889"/>
    <n v="9195.629066211437"/>
  </r>
  <r>
    <s v="ORD102223"/>
    <d v="2025-04-01T00:00:00"/>
    <x v="3"/>
    <n v="4"/>
    <x v="3"/>
    <x v="1"/>
    <x v="4"/>
    <n v="35097.151164331823"/>
    <n v="49"/>
    <n v="20133.160689392309"/>
    <n v="14963.99047493951"/>
  </r>
  <r>
    <s v="ORD102224"/>
    <d v="2025-04-01T00:00:00"/>
    <x v="3"/>
    <n v="4"/>
    <x v="0"/>
    <x v="0"/>
    <x v="5"/>
    <n v="52041.669421010803"/>
    <n v="10"/>
    <n v="36025.142172405067"/>
    <n v="16016.527248605729"/>
  </r>
  <r>
    <s v="ORD102225"/>
    <d v="2025-04-01T00:00:00"/>
    <x v="3"/>
    <n v="4"/>
    <x v="0"/>
    <x v="1"/>
    <x v="5"/>
    <n v="71455.191358300159"/>
    <n v="13"/>
    <n v="49061.86095462746"/>
    <n v="22393.330403672699"/>
  </r>
  <r>
    <s v="ORD102226"/>
    <d v="2025-04-01T00:00:00"/>
    <x v="3"/>
    <n v="4"/>
    <x v="1"/>
    <x v="0"/>
    <x v="5"/>
    <n v="37196.277159180769"/>
    <n v="7"/>
    <n v="25279.361503302629"/>
    <n v="11916.91565587814"/>
  </r>
  <r>
    <s v="ORD102227"/>
    <d v="2025-04-01T00:00:00"/>
    <x v="3"/>
    <n v="4"/>
    <x v="1"/>
    <x v="1"/>
    <x v="5"/>
    <n v="64897.131013098253"/>
    <n v="12"/>
    <n v="45663.404415197052"/>
    <n v="19233.726597901201"/>
  </r>
  <r>
    <s v="ORD102228"/>
    <d v="2025-04-01T00:00:00"/>
    <x v="3"/>
    <n v="4"/>
    <x v="2"/>
    <x v="0"/>
    <x v="5"/>
    <n v="27216.691061097441"/>
    <n v="5"/>
    <n v="19072.65332324223"/>
    <n v="8144.0377378552039"/>
  </r>
  <r>
    <s v="ORD102229"/>
    <d v="2025-04-01T00:00:00"/>
    <x v="3"/>
    <n v="4"/>
    <x v="2"/>
    <x v="1"/>
    <x v="5"/>
    <n v="40770.519443859353"/>
    <n v="8"/>
    <n v="27879.81315707073"/>
    <n v="12890.70628678862"/>
  </r>
  <r>
    <s v="ORD102230"/>
    <d v="2025-04-01T00:00:00"/>
    <x v="3"/>
    <n v="4"/>
    <x v="3"/>
    <x v="0"/>
    <x v="5"/>
    <n v="20163.115844986409"/>
    <n v="4"/>
    <n v="14056.90827925433"/>
    <n v="6106.2075657320747"/>
  </r>
  <r>
    <s v="ORD102231"/>
    <d v="2025-04-01T00:00:00"/>
    <x v="3"/>
    <n v="4"/>
    <x v="3"/>
    <x v="1"/>
    <x v="5"/>
    <n v="35657.879897307554"/>
    <n v="7"/>
    <n v="23935.841637583591"/>
    <n v="11722.03825972397"/>
  </r>
  <r>
    <s v="ORD102232"/>
    <d v="2025-04-01T00:00:00"/>
    <x v="3"/>
    <n v="4"/>
    <x v="0"/>
    <x v="0"/>
    <x v="6"/>
    <n v="105169.1777890332"/>
    <n v="30"/>
    <n v="62256.407914528972"/>
    <n v="42912.769874504243"/>
  </r>
  <r>
    <s v="ORD102233"/>
    <d v="2025-04-01T00:00:00"/>
    <x v="3"/>
    <n v="4"/>
    <x v="0"/>
    <x v="1"/>
    <x v="6"/>
    <n v="163912.91267643179"/>
    <n v="47"/>
    <n v="97496.756422800274"/>
    <n v="66416.156253631547"/>
  </r>
  <r>
    <s v="ORD102234"/>
    <d v="2025-04-01T00:00:00"/>
    <x v="3"/>
    <n v="4"/>
    <x v="1"/>
    <x v="0"/>
    <x v="6"/>
    <n v="77525.477739493494"/>
    <n v="22"/>
    <n v="47145.711624420597"/>
    <n v="30379.766115072889"/>
  </r>
  <r>
    <s v="ORD102235"/>
    <d v="2025-04-01T00:00:00"/>
    <x v="3"/>
    <n v="4"/>
    <x v="1"/>
    <x v="1"/>
    <x v="6"/>
    <n v="119730.61338656209"/>
    <n v="34"/>
    <n v="69660.935640468029"/>
    <n v="50069.677746094021"/>
  </r>
  <r>
    <s v="ORD102236"/>
    <d v="2025-04-01T00:00:00"/>
    <x v="3"/>
    <n v="4"/>
    <x v="2"/>
    <x v="0"/>
    <x v="6"/>
    <n v="49039.833082073739"/>
    <n v="14"/>
    <n v="28267.73159934592"/>
    <n v="20772.10148272782"/>
  </r>
  <r>
    <s v="ORD102237"/>
    <d v="2025-04-01T00:00:00"/>
    <x v="3"/>
    <n v="4"/>
    <x v="2"/>
    <x v="1"/>
    <x v="6"/>
    <n v="78319.607288331506"/>
    <n v="22"/>
    <n v="45463.792306491297"/>
    <n v="32855.814981840202"/>
  </r>
  <r>
    <s v="ORD102238"/>
    <d v="2025-04-01T00:00:00"/>
    <x v="3"/>
    <n v="4"/>
    <x v="3"/>
    <x v="0"/>
    <x v="6"/>
    <n v="42452.788059167622"/>
    <n v="12"/>
    <n v="24444.554905456949"/>
    <n v="18008.23315371068"/>
  </r>
  <r>
    <s v="ORD102239"/>
    <d v="2025-04-01T00:00:00"/>
    <x v="3"/>
    <n v="4"/>
    <x v="3"/>
    <x v="1"/>
    <x v="6"/>
    <n v="63981.44143931337"/>
    <n v="18"/>
    <n v="38657.28627775886"/>
    <n v="25324.15516155451"/>
  </r>
  <r>
    <s v="ORD102240"/>
    <d v="2025-05-01T00:00:00"/>
    <x v="3"/>
    <n v="5"/>
    <x v="0"/>
    <x v="0"/>
    <x v="0"/>
    <n v="95237.820411367633"/>
    <n v="18"/>
    <n v="60693.42624169412"/>
    <n v="34544.394169673513"/>
  </r>
  <r>
    <s v="ORD102241"/>
    <d v="2025-05-01T00:00:00"/>
    <x v="3"/>
    <n v="5"/>
    <x v="0"/>
    <x v="1"/>
    <x v="0"/>
    <n v="149696.0456979447"/>
    <n v="29"/>
    <n v="93346.504667947986"/>
    <n v="56349.54102999669"/>
  </r>
  <r>
    <s v="ORD102242"/>
    <d v="2025-05-01T00:00:00"/>
    <x v="3"/>
    <n v="5"/>
    <x v="1"/>
    <x v="0"/>
    <x v="0"/>
    <n v="74837.027393526529"/>
    <n v="14"/>
    <n v="47418.959593679348"/>
    <n v="27418.06779984718"/>
  </r>
  <r>
    <s v="ORD102243"/>
    <d v="2025-05-01T00:00:00"/>
    <x v="3"/>
    <n v="5"/>
    <x v="1"/>
    <x v="1"/>
    <x v="0"/>
    <n v="122685.47620544241"/>
    <n v="24"/>
    <n v="76248.407031853523"/>
    <n v="46437.069173588839"/>
  </r>
  <r>
    <s v="ORD102244"/>
    <d v="2025-05-01T00:00:00"/>
    <x v="3"/>
    <n v="5"/>
    <x v="2"/>
    <x v="0"/>
    <x v="0"/>
    <n v="53580.903722084433"/>
    <n v="10"/>
    <n v="33163.287072384883"/>
    <n v="20417.61664969955"/>
  </r>
  <r>
    <s v="ORD102245"/>
    <d v="2025-05-01T00:00:00"/>
    <x v="3"/>
    <n v="5"/>
    <x v="2"/>
    <x v="1"/>
    <x v="0"/>
    <n v="82147.001094262829"/>
    <n v="16"/>
    <n v="50625.82493355262"/>
    <n v="31521.176160710209"/>
  </r>
  <r>
    <s v="ORD102246"/>
    <d v="2025-05-01T00:00:00"/>
    <x v="3"/>
    <n v="5"/>
    <x v="3"/>
    <x v="0"/>
    <x v="0"/>
    <n v="41444.440212356421"/>
    <n v="8"/>
    <n v="25551.99090498883"/>
    <n v="15892.449307367589"/>
  </r>
  <r>
    <s v="ORD102247"/>
    <d v="2025-05-01T00:00:00"/>
    <x v="3"/>
    <n v="5"/>
    <x v="3"/>
    <x v="1"/>
    <x v="0"/>
    <n v="67196.55038341289"/>
    <n v="13"/>
    <n v="40501.143951791579"/>
    <n v="26695.406431621312"/>
  </r>
  <r>
    <s v="ORD102248"/>
    <d v="2025-05-01T00:00:00"/>
    <x v="3"/>
    <n v="5"/>
    <x v="0"/>
    <x v="0"/>
    <x v="1"/>
    <n v="96400.326608588366"/>
    <n v="16"/>
    <n v="63926.849598441433"/>
    <n v="32473.477010146929"/>
  </r>
  <r>
    <s v="ORD102249"/>
    <d v="2025-05-01T00:00:00"/>
    <x v="3"/>
    <n v="5"/>
    <x v="0"/>
    <x v="1"/>
    <x v="1"/>
    <n v="156948.1564335505"/>
    <n v="26"/>
    <n v="103510.5788918871"/>
    <n v="53437.577541663377"/>
  </r>
  <r>
    <s v="ORD102250"/>
    <d v="2025-05-01T00:00:00"/>
    <x v="3"/>
    <n v="5"/>
    <x v="1"/>
    <x v="0"/>
    <x v="1"/>
    <n v="91060.924640807643"/>
    <n v="15"/>
    <n v="60906.544315231658"/>
    <n v="30154.380325575981"/>
  </r>
  <r>
    <s v="ORD102251"/>
    <d v="2025-05-01T00:00:00"/>
    <x v="3"/>
    <n v="5"/>
    <x v="1"/>
    <x v="1"/>
    <x v="1"/>
    <n v="123547.54007774709"/>
    <n v="20"/>
    <n v="81678.645074655651"/>
    <n v="41868.895003091427"/>
  </r>
  <r>
    <s v="ORD102252"/>
    <d v="2025-05-01T00:00:00"/>
    <x v="3"/>
    <n v="5"/>
    <x v="2"/>
    <x v="0"/>
    <x v="1"/>
    <n v="57990.55501050919"/>
    <n v="10"/>
    <n v="38161.675204815743"/>
    <n v="19828.87980569345"/>
  </r>
  <r>
    <s v="ORD102253"/>
    <d v="2025-05-01T00:00:00"/>
    <x v="3"/>
    <n v="5"/>
    <x v="2"/>
    <x v="1"/>
    <x v="1"/>
    <n v="84505.454851108574"/>
    <n v="14"/>
    <n v="54898.987910156393"/>
    <n v="29606.466940952181"/>
  </r>
  <r>
    <s v="ORD102254"/>
    <d v="2025-05-01T00:00:00"/>
    <x v="3"/>
    <n v="5"/>
    <x v="3"/>
    <x v="0"/>
    <x v="1"/>
    <n v="44790.055815539621"/>
    <n v="7"/>
    <n v="29599.829998609832"/>
    <n v="15190.225816929789"/>
  </r>
  <r>
    <s v="ORD102255"/>
    <d v="2025-05-01T00:00:00"/>
    <x v="3"/>
    <n v="5"/>
    <x v="3"/>
    <x v="1"/>
    <x v="1"/>
    <n v="70289.484930844803"/>
    <n v="12"/>
    <n v="47007.51699312235"/>
    <n v="23281.967937722449"/>
  </r>
  <r>
    <s v="ORD102256"/>
    <d v="2025-05-01T00:00:00"/>
    <x v="3"/>
    <n v="5"/>
    <x v="0"/>
    <x v="0"/>
    <x v="2"/>
    <n v="75403.549402961042"/>
    <n v="18"/>
    <n v="47265.111473400073"/>
    <n v="28138.437929560969"/>
  </r>
  <r>
    <s v="ORD102257"/>
    <d v="2025-05-01T00:00:00"/>
    <x v="3"/>
    <n v="5"/>
    <x v="0"/>
    <x v="1"/>
    <x v="2"/>
    <n v="117524.6394823298"/>
    <n v="27"/>
    <n v="75334.198570821609"/>
    <n v="42190.440911508238"/>
  </r>
  <r>
    <s v="ORD102258"/>
    <d v="2025-05-01T00:00:00"/>
    <x v="3"/>
    <n v="5"/>
    <x v="1"/>
    <x v="0"/>
    <x v="2"/>
    <n v="61765.967132071492"/>
    <n v="14"/>
    <n v="39696.039264763553"/>
    <n v="22069.927867307939"/>
  </r>
  <r>
    <s v="ORD102259"/>
    <d v="2025-05-01T00:00:00"/>
    <x v="3"/>
    <n v="5"/>
    <x v="1"/>
    <x v="1"/>
    <x v="2"/>
    <n v="91365.12517917341"/>
    <n v="21"/>
    <n v="57717.8980864107"/>
    <n v="33647.227092762711"/>
  </r>
  <r>
    <s v="ORD102260"/>
    <d v="2025-05-01T00:00:00"/>
    <x v="3"/>
    <n v="5"/>
    <x v="2"/>
    <x v="0"/>
    <x v="2"/>
    <n v="41266.833122420947"/>
    <n v="10"/>
    <n v="26131.3098865908"/>
    <n v="15135.523235830149"/>
  </r>
  <r>
    <s v="ORD102261"/>
    <d v="2025-05-01T00:00:00"/>
    <x v="3"/>
    <n v="5"/>
    <x v="2"/>
    <x v="1"/>
    <x v="2"/>
    <n v="68597.923677077939"/>
    <n v="16"/>
    <n v="44084.910933969797"/>
    <n v="24513.012743108138"/>
  </r>
  <r>
    <s v="ORD102262"/>
    <d v="2025-05-01T00:00:00"/>
    <x v="3"/>
    <n v="5"/>
    <x v="3"/>
    <x v="0"/>
    <x v="2"/>
    <n v="28909.90657606463"/>
    <n v="7"/>
    <n v="18124.8632656392"/>
    <n v="10785.04331042543"/>
  </r>
  <r>
    <s v="ORD102263"/>
    <d v="2025-05-01T00:00:00"/>
    <x v="3"/>
    <n v="5"/>
    <x v="3"/>
    <x v="1"/>
    <x v="2"/>
    <n v="46779.335855509293"/>
    <n v="11"/>
    <n v="30127.348119999711"/>
    <n v="16651.98773550957"/>
  </r>
  <r>
    <s v="ORD102264"/>
    <d v="2025-05-01T00:00:00"/>
    <x v="3"/>
    <n v="5"/>
    <x v="0"/>
    <x v="0"/>
    <x v="3"/>
    <n v="66450.248980122633"/>
    <n v="78"/>
    <n v="31382.06956854284"/>
    <n v="35068.179411579797"/>
  </r>
  <r>
    <s v="ORD102265"/>
    <d v="2025-05-01T00:00:00"/>
    <x v="3"/>
    <n v="5"/>
    <x v="0"/>
    <x v="1"/>
    <x v="3"/>
    <n v="98209.256748996399"/>
    <n v="116"/>
    <n v="48042.304334908469"/>
    <n v="50166.952414087929"/>
  </r>
  <r>
    <s v="ORD102266"/>
    <d v="2025-05-01T00:00:00"/>
    <x v="3"/>
    <n v="5"/>
    <x v="1"/>
    <x v="0"/>
    <x v="3"/>
    <n v="50277.901938982963"/>
    <n v="59"/>
    <n v="25148.947811219779"/>
    <n v="25128.954127763169"/>
  </r>
  <r>
    <s v="ORD102267"/>
    <d v="2025-05-01T00:00:00"/>
    <x v="3"/>
    <n v="5"/>
    <x v="1"/>
    <x v="1"/>
    <x v="3"/>
    <n v="80532.300571943008"/>
    <n v="95"/>
    <n v="38056.590486437322"/>
    <n v="42475.710085505692"/>
  </r>
  <r>
    <s v="ORD102268"/>
    <d v="2025-05-01T00:00:00"/>
    <x v="3"/>
    <n v="5"/>
    <x v="2"/>
    <x v="0"/>
    <x v="3"/>
    <n v="36538.147755538812"/>
    <n v="43"/>
    <n v="17706.954787236431"/>
    <n v="18831.192968302381"/>
  </r>
  <r>
    <s v="ORD102269"/>
    <d v="2025-05-01T00:00:00"/>
    <x v="3"/>
    <n v="5"/>
    <x v="2"/>
    <x v="1"/>
    <x v="3"/>
    <n v="55329.382150627876"/>
    <n v="65"/>
    <n v="26210.687472089379"/>
    <n v="29118.694678538501"/>
  </r>
  <r>
    <s v="ORD102270"/>
    <d v="2025-05-01T00:00:00"/>
    <x v="3"/>
    <n v="5"/>
    <x v="3"/>
    <x v="0"/>
    <x v="3"/>
    <n v="23814.573028159379"/>
    <n v="28"/>
    <n v="11645.179609725659"/>
    <n v="12169.393418433719"/>
  </r>
  <r>
    <s v="ORD102271"/>
    <d v="2025-05-01T00:00:00"/>
    <x v="3"/>
    <n v="5"/>
    <x v="3"/>
    <x v="1"/>
    <x v="3"/>
    <n v="39538.991709957758"/>
    <n v="47"/>
    <n v="18546.482380078949"/>
    <n v="20992.509329878809"/>
  </r>
  <r>
    <s v="ORD102272"/>
    <d v="2025-05-01T00:00:00"/>
    <x v="3"/>
    <n v="5"/>
    <x v="0"/>
    <x v="0"/>
    <x v="4"/>
    <n v="55508.573775638783"/>
    <n v="77"/>
    <n v="30793.814763405549"/>
    <n v="24714.759012233229"/>
  </r>
  <r>
    <s v="ORD102273"/>
    <d v="2025-05-01T00:00:00"/>
    <x v="3"/>
    <n v="5"/>
    <x v="0"/>
    <x v="1"/>
    <x v="4"/>
    <n v="91486.70899352766"/>
    <n v="127"/>
    <n v="49527.007759513377"/>
    <n v="41959.701234014283"/>
  </r>
  <r>
    <s v="ORD102274"/>
    <d v="2025-05-01T00:00:00"/>
    <x v="3"/>
    <n v="5"/>
    <x v="1"/>
    <x v="0"/>
    <x v="4"/>
    <n v="41864.700067586477"/>
    <n v="58"/>
    <n v="22939.79809453453"/>
    <n v="18924.90197305195"/>
  </r>
  <r>
    <s v="ORD102275"/>
    <d v="2025-05-01T00:00:00"/>
    <x v="3"/>
    <n v="5"/>
    <x v="1"/>
    <x v="1"/>
    <x v="4"/>
    <n v="64311.205663772751"/>
    <n v="89"/>
    <n v="34714.728977781007"/>
    <n v="29596.47668599174"/>
  </r>
  <r>
    <s v="ORD102276"/>
    <d v="2025-05-01T00:00:00"/>
    <x v="3"/>
    <n v="5"/>
    <x v="2"/>
    <x v="0"/>
    <x v="4"/>
    <n v="28134.86039001252"/>
    <n v="39"/>
    <n v="15703.22669984099"/>
    <n v="12431.633690171529"/>
  </r>
  <r>
    <s v="ORD102277"/>
    <d v="2025-05-01T00:00:00"/>
    <x v="3"/>
    <n v="5"/>
    <x v="2"/>
    <x v="1"/>
    <x v="4"/>
    <n v="48494.520610665677"/>
    <n v="67"/>
    <n v="26270.155621480109"/>
    <n v="22224.364989185571"/>
  </r>
  <r>
    <s v="ORD102278"/>
    <d v="2025-05-01T00:00:00"/>
    <x v="3"/>
    <n v="5"/>
    <x v="3"/>
    <x v="0"/>
    <x v="4"/>
    <n v="21976.321314131452"/>
    <n v="31"/>
    <n v="12207.065147550529"/>
    <n v="9769.2561665809226"/>
  </r>
  <r>
    <s v="ORD102279"/>
    <d v="2025-05-01T00:00:00"/>
    <x v="3"/>
    <n v="5"/>
    <x v="3"/>
    <x v="1"/>
    <x v="4"/>
    <n v="35518.3793800637"/>
    <n v="49"/>
    <n v="19414.11279634868"/>
    <n v="16104.26658371502"/>
  </r>
  <r>
    <s v="ORD102280"/>
    <d v="2025-05-01T00:00:00"/>
    <x v="3"/>
    <n v="5"/>
    <x v="0"/>
    <x v="0"/>
    <x v="5"/>
    <n v="45736.550799865159"/>
    <n v="8"/>
    <n v="31493.1942545233"/>
    <n v="14243.35654534186"/>
  </r>
  <r>
    <s v="ORD102281"/>
    <d v="2025-05-01T00:00:00"/>
    <x v="3"/>
    <n v="5"/>
    <x v="0"/>
    <x v="1"/>
    <x v="5"/>
    <n v="69047.896187295089"/>
    <n v="13"/>
    <n v="47769.760122409483"/>
    <n v="21278.13606488561"/>
  </r>
  <r>
    <s v="ORD102282"/>
    <d v="2025-05-01T00:00:00"/>
    <x v="3"/>
    <n v="5"/>
    <x v="1"/>
    <x v="0"/>
    <x v="5"/>
    <n v="41321.337231437923"/>
    <n v="8"/>
    <n v="28120.745881715109"/>
    <n v="13200.59134972281"/>
  </r>
  <r>
    <s v="ORD102283"/>
    <d v="2025-05-01T00:00:00"/>
    <x v="3"/>
    <n v="5"/>
    <x v="1"/>
    <x v="1"/>
    <x v="5"/>
    <n v="63349.840987781157"/>
    <n v="12"/>
    <n v="43876.908183612068"/>
    <n v="19472.932804169101"/>
  </r>
  <r>
    <s v="ORD102284"/>
    <d v="2025-05-01T00:00:00"/>
    <x v="3"/>
    <n v="5"/>
    <x v="2"/>
    <x v="0"/>
    <x v="5"/>
    <n v="25344.956410375711"/>
    <n v="5"/>
    <n v="17969.745307468758"/>
    <n v="7375.2111029069492"/>
  </r>
  <r>
    <s v="ORD102285"/>
    <d v="2025-05-01T00:00:00"/>
    <x v="3"/>
    <n v="5"/>
    <x v="2"/>
    <x v="1"/>
    <x v="5"/>
    <n v="41006.983126090898"/>
    <n v="8"/>
    <n v="27898.529445668701"/>
    <n v="13108.453680422201"/>
  </r>
  <r>
    <s v="ORD102286"/>
    <d v="2025-05-01T00:00:00"/>
    <x v="3"/>
    <n v="5"/>
    <x v="3"/>
    <x v="0"/>
    <x v="5"/>
    <n v="20414.50846080418"/>
    <n v="4"/>
    <n v="14383.12118476214"/>
    <n v="6031.38727604204"/>
  </r>
  <r>
    <s v="ORD102287"/>
    <d v="2025-05-01T00:00:00"/>
    <x v="3"/>
    <n v="5"/>
    <x v="3"/>
    <x v="1"/>
    <x v="5"/>
    <n v="31401.343079237209"/>
    <n v="6"/>
    <n v="22251.191814395039"/>
    <n v="9150.1512648421703"/>
  </r>
  <r>
    <s v="ORD102288"/>
    <d v="2025-05-01T00:00:00"/>
    <x v="3"/>
    <n v="5"/>
    <x v="0"/>
    <x v="0"/>
    <x v="6"/>
    <n v="102008.6545155191"/>
    <n v="29"/>
    <n v="59300.939420257208"/>
    <n v="42707.715095261869"/>
  </r>
  <r>
    <s v="ORD102289"/>
    <d v="2025-05-01T00:00:00"/>
    <x v="3"/>
    <n v="5"/>
    <x v="0"/>
    <x v="1"/>
    <x v="6"/>
    <n v="162105.14327260311"/>
    <n v="46"/>
    <n v="93137.075640718074"/>
    <n v="68968.06763188506"/>
  </r>
  <r>
    <s v="ORD102290"/>
    <d v="2025-05-01T00:00:00"/>
    <x v="3"/>
    <n v="5"/>
    <x v="1"/>
    <x v="0"/>
    <x v="6"/>
    <n v="90262.779975868092"/>
    <n v="26"/>
    <n v="53544.497103479349"/>
    <n v="36718.282872388743"/>
  </r>
  <r>
    <s v="ORD102291"/>
    <d v="2025-05-01T00:00:00"/>
    <x v="3"/>
    <n v="5"/>
    <x v="1"/>
    <x v="1"/>
    <x v="6"/>
    <n v="131601.7645185467"/>
    <n v="38"/>
    <n v="76879.97843341183"/>
    <n v="54721.786085134838"/>
  </r>
  <r>
    <s v="ORD102292"/>
    <d v="2025-05-01T00:00:00"/>
    <x v="3"/>
    <n v="5"/>
    <x v="2"/>
    <x v="0"/>
    <x v="6"/>
    <n v="61236.992926907267"/>
    <n v="17"/>
    <n v="37345.047386137448"/>
    <n v="23891.945540769819"/>
  </r>
  <r>
    <s v="ORD102293"/>
    <d v="2025-05-01T00:00:00"/>
    <x v="3"/>
    <n v="5"/>
    <x v="2"/>
    <x v="1"/>
    <x v="6"/>
    <n v="93076.164210918199"/>
    <n v="27"/>
    <n v="54949.343054455458"/>
    <n v="38126.821156462727"/>
  </r>
  <r>
    <s v="ORD102294"/>
    <d v="2025-05-01T00:00:00"/>
    <x v="3"/>
    <n v="5"/>
    <x v="3"/>
    <x v="0"/>
    <x v="6"/>
    <n v="46009.9272659325"/>
    <n v="13"/>
    <n v="26753.88205815724"/>
    <n v="19256.04520777526"/>
  </r>
  <r>
    <s v="ORD102295"/>
    <d v="2025-05-01T00:00:00"/>
    <x v="3"/>
    <n v="5"/>
    <x v="3"/>
    <x v="1"/>
    <x v="6"/>
    <n v="67271.242445619137"/>
    <n v="19"/>
    <n v="38870.478662759408"/>
    <n v="28400.763782859729"/>
  </r>
  <r>
    <s v="ORD102296"/>
    <d v="2025-06-01T00:00:00"/>
    <x v="3"/>
    <n v="6"/>
    <x v="0"/>
    <x v="0"/>
    <x v="0"/>
    <n v="112428.9717976262"/>
    <n v="22"/>
    <n v="71073.474250538333"/>
    <n v="41355.497547087827"/>
  </r>
  <r>
    <s v="ORD102297"/>
    <d v="2025-06-01T00:00:00"/>
    <x v="3"/>
    <n v="6"/>
    <x v="0"/>
    <x v="1"/>
    <x v="0"/>
    <n v="171864.1080360981"/>
    <n v="33"/>
    <n v="105460.2141519685"/>
    <n v="66403.893884129575"/>
  </r>
  <r>
    <s v="ORD102298"/>
    <d v="2025-06-01T00:00:00"/>
    <x v="3"/>
    <n v="6"/>
    <x v="1"/>
    <x v="0"/>
    <x v="0"/>
    <n v="81193.450783398002"/>
    <n v="16"/>
    <n v="50379.653589733003"/>
    <n v="30813.79719366501"/>
  </r>
  <r>
    <s v="ORD102299"/>
    <d v="2025-06-01T00:00:00"/>
    <x v="3"/>
    <n v="6"/>
    <x v="1"/>
    <x v="1"/>
    <x v="0"/>
    <n v="133713.4214017347"/>
    <n v="26"/>
    <n v="84328.610061488711"/>
    <n v="49384.811340245957"/>
  </r>
  <r>
    <s v="ORD102300"/>
    <d v="2025-06-01T00:00:00"/>
    <x v="3"/>
    <n v="6"/>
    <x v="2"/>
    <x v="0"/>
    <x v="0"/>
    <n v="59618.695468828482"/>
    <n v="11"/>
    <n v="36641.392491147722"/>
    <n v="22977.30297768076"/>
  </r>
  <r>
    <s v="ORD102301"/>
    <d v="2025-06-01T00:00:00"/>
    <x v="3"/>
    <n v="6"/>
    <x v="2"/>
    <x v="1"/>
    <x v="0"/>
    <n v="92490.079573847644"/>
    <n v="18"/>
    <n v="57296.442090747543"/>
    <n v="35193.637483100109"/>
  </r>
  <r>
    <s v="ORD102302"/>
    <d v="2025-06-01T00:00:00"/>
    <x v="3"/>
    <n v="6"/>
    <x v="3"/>
    <x v="0"/>
    <x v="0"/>
    <n v="44301.240266820329"/>
    <n v="9"/>
    <n v="27458.57751310365"/>
    <n v="16842.662753716679"/>
  </r>
  <r>
    <s v="ORD102303"/>
    <d v="2025-06-01T00:00:00"/>
    <x v="3"/>
    <n v="6"/>
    <x v="3"/>
    <x v="1"/>
    <x v="0"/>
    <n v="69387.989903015026"/>
    <n v="13"/>
    <n v="43549.699719519384"/>
    <n v="25838.290183495639"/>
  </r>
  <r>
    <s v="ORD102304"/>
    <d v="2025-06-01T00:00:00"/>
    <x v="3"/>
    <n v="6"/>
    <x v="0"/>
    <x v="0"/>
    <x v="1"/>
    <n v="122634.9288599837"/>
    <n v="20"/>
    <n v="81799.71021555904"/>
    <n v="40835.218644424647"/>
  </r>
  <r>
    <s v="ORD102305"/>
    <d v="2025-06-01T00:00:00"/>
    <x v="3"/>
    <n v="6"/>
    <x v="0"/>
    <x v="1"/>
    <x v="1"/>
    <n v="193548.94223550311"/>
    <n v="32"/>
    <n v="127236.1808507441"/>
    <n v="66312.761384758924"/>
  </r>
  <r>
    <s v="ORD102306"/>
    <d v="2025-06-01T00:00:00"/>
    <x v="3"/>
    <n v="6"/>
    <x v="1"/>
    <x v="0"/>
    <x v="1"/>
    <n v="93702.613049669104"/>
    <n v="15"/>
    <n v="61914.577923340563"/>
    <n v="31788.035126328548"/>
  </r>
  <r>
    <s v="ORD102307"/>
    <d v="2025-06-01T00:00:00"/>
    <x v="3"/>
    <n v="6"/>
    <x v="1"/>
    <x v="1"/>
    <x v="1"/>
    <n v="159882.05316105421"/>
    <n v="26"/>
    <n v="104815.99848108309"/>
    <n v="55066.054679971028"/>
  </r>
  <r>
    <s v="ORD102308"/>
    <d v="2025-06-01T00:00:00"/>
    <x v="3"/>
    <n v="6"/>
    <x v="2"/>
    <x v="0"/>
    <x v="1"/>
    <n v="70750.35817100179"/>
    <n v="12"/>
    <n v="45453.282101374869"/>
    <n v="25297.076069626921"/>
  </r>
  <r>
    <s v="ORD102309"/>
    <d v="2025-06-01T00:00:00"/>
    <x v="3"/>
    <n v="6"/>
    <x v="2"/>
    <x v="1"/>
    <x v="1"/>
    <n v="100915.64768502989"/>
    <n v="17"/>
    <n v="66913.159445658137"/>
    <n v="34002.488239371771"/>
  </r>
  <r>
    <s v="ORD102310"/>
    <d v="2025-06-01T00:00:00"/>
    <x v="3"/>
    <n v="6"/>
    <x v="3"/>
    <x v="0"/>
    <x v="1"/>
    <n v="46912.407517893247"/>
    <n v="8"/>
    <n v="32016.744141125611"/>
    <n v="14895.663376767639"/>
  </r>
  <r>
    <s v="ORD102311"/>
    <d v="2025-06-01T00:00:00"/>
    <x v="3"/>
    <n v="6"/>
    <x v="3"/>
    <x v="1"/>
    <x v="1"/>
    <n v="79099.507109696904"/>
    <n v="13"/>
    <n v="51375.241920789384"/>
    <n v="27724.26518890752"/>
  </r>
  <r>
    <s v="ORD102312"/>
    <d v="2025-06-01T00:00:00"/>
    <x v="3"/>
    <n v="6"/>
    <x v="0"/>
    <x v="0"/>
    <x v="2"/>
    <n v="70633.996752425388"/>
    <n v="16"/>
    <n v="44576.74083101983"/>
    <n v="26057.255921405558"/>
  </r>
  <r>
    <s v="ORD102313"/>
    <d v="2025-06-01T00:00:00"/>
    <x v="3"/>
    <n v="6"/>
    <x v="0"/>
    <x v="1"/>
    <x v="2"/>
    <n v="118617.3150954889"/>
    <n v="28"/>
    <n v="74725.25700311207"/>
    <n v="43892.058092376777"/>
  </r>
  <r>
    <s v="ORD102314"/>
    <d v="2025-06-01T00:00:00"/>
    <x v="3"/>
    <n v="6"/>
    <x v="1"/>
    <x v="0"/>
    <x v="2"/>
    <n v="56931.721492183337"/>
    <n v="13"/>
    <n v="36911.527759574761"/>
    <n v="20020.193732608579"/>
  </r>
  <r>
    <s v="ORD102315"/>
    <d v="2025-06-01T00:00:00"/>
    <x v="3"/>
    <n v="6"/>
    <x v="1"/>
    <x v="1"/>
    <x v="2"/>
    <n v="99509.996097969954"/>
    <n v="23"/>
    <n v="64200.521115083167"/>
    <n v="35309.474982886779"/>
  </r>
  <r>
    <s v="ORD102316"/>
    <d v="2025-06-01T00:00:00"/>
    <x v="3"/>
    <n v="6"/>
    <x v="2"/>
    <x v="0"/>
    <x v="2"/>
    <n v="43586.915198211347"/>
    <n v="10"/>
    <n v="27816.02058049279"/>
    <n v="15770.894617718561"/>
  </r>
  <r>
    <s v="ORD102317"/>
    <d v="2025-06-01T00:00:00"/>
    <x v="3"/>
    <n v="6"/>
    <x v="2"/>
    <x v="1"/>
    <x v="2"/>
    <n v="65781.163713646718"/>
    <n v="15"/>
    <n v="41404.27084435209"/>
    <n v="24376.892869294628"/>
  </r>
  <r>
    <s v="ORD102318"/>
    <d v="2025-06-01T00:00:00"/>
    <x v="3"/>
    <n v="6"/>
    <x v="3"/>
    <x v="0"/>
    <x v="2"/>
    <n v="32368.916916377289"/>
    <n v="8"/>
    <n v="20750.553201191669"/>
    <n v="11618.36371518562"/>
  </r>
  <r>
    <s v="ORD102319"/>
    <d v="2025-06-01T00:00:00"/>
    <x v="3"/>
    <n v="6"/>
    <x v="3"/>
    <x v="1"/>
    <x v="2"/>
    <n v="47007.663544062292"/>
    <n v="11"/>
    <n v="29237.617532432101"/>
    <n v="17770.046011630191"/>
  </r>
  <r>
    <s v="ORD102320"/>
    <d v="2025-06-01T00:00:00"/>
    <x v="3"/>
    <n v="6"/>
    <x v="0"/>
    <x v="0"/>
    <x v="3"/>
    <n v="72675.261012945281"/>
    <n v="86"/>
    <n v="34974.184872111036"/>
    <n v="37701.076140834237"/>
  </r>
  <r>
    <s v="ORD102321"/>
    <d v="2025-06-01T00:00:00"/>
    <x v="3"/>
    <n v="6"/>
    <x v="0"/>
    <x v="1"/>
    <x v="3"/>
    <n v="121056.9924168513"/>
    <n v="142"/>
    <n v="59018.911965509149"/>
    <n v="62038.080451342103"/>
  </r>
  <r>
    <s v="ORD102322"/>
    <d v="2025-06-01T00:00:00"/>
    <x v="3"/>
    <n v="6"/>
    <x v="1"/>
    <x v="0"/>
    <x v="3"/>
    <n v="57185.622133140612"/>
    <n v="67"/>
    <n v="26830.90143091459"/>
    <n v="30354.720702226019"/>
  </r>
  <r>
    <s v="ORD102323"/>
    <d v="2025-06-01T00:00:00"/>
    <x v="3"/>
    <n v="6"/>
    <x v="1"/>
    <x v="1"/>
    <x v="3"/>
    <n v="97948.305268442287"/>
    <n v="115"/>
    <n v="45718.257141259899"/>
    <n v="52230.048127182388"/>
  </r>
  <r>
    <s v="ORD102324"/>
    <d v="2025-06-01T00:00:00"/>
    <x v="3"/>
    <n v="6"/>
    <x v="2"/>
    <x v="0"/>
    <x v="3"/>
    <n v="41516.845179795127"/>
    <n v="49"/>
    <n v="20494.638811855621"/>
    <n v="21022.2063679395"/>
  </r>
  <r>
    <s v="ORD102325"/>
    <d v="2025-06-01T00:00:00"/>
    <x v="3"/>
    <n v="6"/>
    <x v="2"/>
    <x v="1"/>
    <x v="3"/>
    <n v="65601.951780098767"/>
    <n v="77"/>
    <n v="31142.19096259513"/>
    <n v="34459.760817503629"/>
  </r>
  <r>
    <s v="ORD102326"/>
    <d v="2025-06-01T00:00:00"/>
    <x v="3"/>
    <n v="6"/>
    <x v="3"/>
    <x v="0"/>
    <x v="3"/>
    <n v="29176.26629492607"/>
    <n v="34"/>
    <n v="14290.960895152009"/>
    <n v="14885.305399774061"/>
  </r>
  <r>
    <s v="ORD102327"/>
    <d v="2025-06-01T00:00:00"/>
    <x v="3"/>
    <n v="6"/>
    <x v="3"/>
    <x v="1"/>
    <x v="3"/>
    <n v="50243.87565777362"/>
    <n v="59"/>
    <n v="24050.20883809029"/>
    <n v="26193.666819683331"/>
  </r>
  <r>
    <s v="ORD102328"/>
    <d v="2025-06-01T00:00:00"/>
    <x v="3"/>
    <n v="6"/>
    <x v="0"/>
    <x v="0"/>
    <x v="4"/>
    <n v="56935.991941746761"/>
    <n v="79"/>
    <n v="31223.50709225297"/>
    <n v="25712.484849493791"/>
  </r>
  <r>
    <s v="ORD102329"/>
    <d v="2025-06-01T00:00:00"/>
    <x v="3"/>
    <n v="6"/>
    <x v="0"/>
    <x v="1"/>
    <x v="4"/>
    <n v="96623.51378158413"/>
    <n v="134"/>
    <n v="53562.306237438454"/>
    <n v="43061.207544145676"/>
  </r>
  <r>
    <s v="ORD102330"/>
    <d v="2025-06-01T00:00:00"/>
    <x v="3"/>
    <n v="6"/>
    <x v="1"/>
    <x v="0"/>
    <x v="4"/>
    <n v="44880.868585438133"/>
    <n v="62"/>
    <n v="24291.698820449761"/>
    <n v="20589.169764988379"/>
  </r>
  <r>
    <s v="ORD102331"/>
    <d v="2025-06-01T00:00:00"/>
    <x v="3"/>
    <n v="6"/>
    <x v="1"/>
    <x v="1"/>
    <x v="4"/>
    <n v="78251.473729056364"/>
    <n v="109"/>
    <n v="43140.954708740908"/>
    <n v="35110.519020315463"/>
  </r>
  <r>
    <s v="ORD102332"/>
    <d v="2025-06-01T00:00:00"/>
    <x v="3"/>
    <n v="6"/>
    <x v="2"/>
    <x v="0"/>
    <x v="4"/>
    <n v="31536.460693299461"/>
    <n v="44"/>
    <n v="17225.948204553159"/>
    <n v="14310.512488746301"/>
  </r>
  <r>
    <s v="ORD102333"/>
    <d v="2025-06-01T00:00:00"/>
    <x v="3"/>
    <n v="6"/>
    <x v="2"/>
    <x v="1"/>
    <x v="4"/>
    <n v="54508.328461271172"/>
    <n v="76"/>
    <n v="29266.999539292789"/>
    <n v="25241.32892197838"/>
  </r>
  <r>
    <s v="ORD102334"/>
    <d v="2025-06-01T00:00:00"/>
    <x v="3"/>
    <n v="6"/>
    <x v="3"/>
    <x v="0"/>
    <x v="4"/>
    <n v="25195.083717927992"/>
    <n v="35"/>
    <n v="13941.47464720811"/>
    <n v="11253.60907071988"/>
  </r>
  <r>
    <s v="ORD102335"/>
    <d v="2025-06-01T00:00:00"/>
    <x v="3"/>
    <n v="6"/>
    <x v="3"/>
    <x v="1"/>
    <x v="4"/>
    <n v="38689.490897638942"/>
    <n v="54"/>
    <n v="21178.36626822636"/>
    <n v="17511.124629412581"/>
  </r>
  <r>
    <s v="ORD102336"/>
    <d v="2025-06-01T00:00:00"/>
    <x v="3"/>
    <n v="6"/>
    <x v="0"/>
    <x v="0"/>
    <x v="5"/>
    <n v="53992.679021199459"/>
    <n v="10"/>
    <n v="37149.649390413288"/>
    <n v="16843.029630786161"/>
  </r>
  <r>
    <s v="ORD102337"/>
    <d v="2025-06-01T00:00:00"/>
    <x v="3"/>
    <n v="6"/>
    <x v="0"/>
    <x v="1"/>
    <x v="5"/>
    <n v="84839.303536703097"/>
    <n v="16"/>
    <n v="57263.967832171453"/>
    <n v="27575.335704531641"/>
  </r>
  <r>
    <s v="ORD102338"/>
    <d v="2025-06-01T00:00:00"/>
    <x v="3"/>
    <n v="6"/>
    <x v="1"/>
    <x v="0"/>
    <x v="5"/>
    <n v="39774.913491233383"/>
    <n v="7"/>
    <n v="28230.849133465439"/>
    <n v="11544.064357767929"/>
  </r>
  <r>
    <s v="ORD102339"/>
    <d v="2025-06-01T00:00:00"/>
    <x v="3"/>
    <n v="6"/>
    <x v="1"/>
    <x v="1"/>
    <x v="5"/>
    <n v="67762.147792604155"/>
    <n v="13"/>
    <n v="47493.729787367389"/>
    <n v="20268.41800523677"/>
  </r>
  <r>
    <s v="ORD102340"/>
    <d v="2025-06-01T00:00:00"/>
    <x v="3"/>
    <n v="6"/>
    <x v="2"/>
    <x v="0"/>
    <x v="5"/>
    <n v="27471.94408244397"/>
    <n v="5"/>
    <n v="19284.612894672551"/>
    <n v="8187.3311877714223"/>
  </r>
  <r>
    <s v="ORD102341"/>
    <d v="2025-06-01T00:00:00"/>
    <x v="3"/>
    <n v="6"/>
    <x v="2"/>
    <x v="1"/>
    <x v="5"/>
    <n v="42924.759607990891"/>
    <n v="8"/>
    <n v="29455.243765424741"/>
    <n v="13469.51584256615"/>
  </r>
  <r>
    <s v="ORD102342"/>
    <d v="2025-06-01T00:00:00"/>
    <x v="3"/>
    <n v="6"/>
    <x v="3"/>
    <x v="0"/>
    <x v="5"/>
    <n v="20707.591837139829"/>
    <n v="4"/>
    <n v="13843.51277611045"/>
    <n v="6864.0790610293752"/>
  </r>
  <r>
    <s v="ORD102343"/>
    <d v="2025-06-01T00:00:00"/>
    <x v="3"/>
    <n v="6"/>
    <x v="3"/>
    <x v="1"/>
    <x v="5"/>
    <n v="32879.301268792253"/>
    <n v="6"/>
    <n v="23484.21301789807"/>
    <n v="9395.0882508941795"/>
  </r>
  <r>
    <s v="ORD102344"/>
    <d v="2025-06-01T00:00:00"/>
    <x v="3"/>
    <n v="6"/>
    <x v="0"/>
    <x v="0"/>
    <x v="6"/>
    <n v="113116.6492785242"/>
    <n v="32"/>
    <n v="66665.426710341766"/>
    <n v="46451.222568182478"/>
  </r>
  <r>
    <s v="ORD102345"/>
    <d v="2025-06-01T00:00:00"/>
    <x v="3"/>
    <n v="6"/>
    <x v="0"/>
    <x v="1"/>
    <x v="6"/>
    <n v="184191.5542305517"/>
    <n v="53"/>
    <n v="107208.2790027544"/>
    <n v="76983.27522779732"/>
  </r>
  <r>
    <s v="ORD102346"/>
    <d v="2025-06-01T00:00:00"/>
    <x v="3"/>
    <n v="6"/>
    <x v="1"/>
    <x v="0"/>
    <x v="6"/>
    <n v="91566.014968888965"/>
    <n v="26"/>
    <n v="54429.259636435338"/>
    <n v="37136.75533245362"/>
  </r>
  <r>
    <s v="ORD102347"/>
    <d v="2025-06-01T00:00:00"/>
    <x v="3"/>
    <n v="6"/>
    <x v="1"/>
    <x v="1"/>
    <x v="6"/>
    <n v="139674.1068661302"/>
    <n v="40"/>
    <n v="84138.958850984302"/>
    <n v="55535.148015145867"/>
  </r>
  <r>
    <s v="ORD102348"/>
    <d v="2025-06-01T00:00:00"/>
    <x v="3"/>
    <n v="6"/>
    <x v="2"/>
    <x v="0"/>
    <x v="6"/>
    <n v="63616.962747210957"/>
    <n v="18"/>
    <n v="37518.434785228521"/>
    <n v="26098.52796198244"/>
  </r>
  <r>
    <s v="ORD102349"/>
    <d v="2025-06-01T00:00:00"/>
    <x v="3"/>
    <n v="6"/>
    <x v="2"/>
    <x v="1"/>
    <x v="6"/>
    <n v="99611.294290619888"/>
    <n v="28"/>
    <n v="60123.23243167092"/>
    <n v="39488.061858948968"/>
  </r>
  <r>
    <s v="ORD102350"/>
    <d v="2025-06-01T00:00:00"/>
    <x v="3"/>
    <n v="6"/>
    <x v="3"/>
    <x v="0"/>
    <x v="6"/>
    <n v="44518.097954230761"/>
    <n v="13"/>
    <n v="26777.700886824688"/>
    <n v="17740.397067406069"/>
  </r>
  <r>
    <s v="ORD102351"/>
    <d v="2025-06-01T00:00:00"/>
    <x v="3"/>
    <n v="6"/>
    <x v="3"/>
    <x v="1"/>
    <x v="6"/>
    <n v="78471.482630422979"/>
    <n v="22"/>
    <n v="45401.154034296633"/>
    <n v="33070.328596126346"/>
  </r>
  <r>
    <s v="ORD102352"/>
    <d v="2025-07-01T00:00:00"/>
    <x v="3"/>
    <n v="7"/>
    <x v="0"/>
    <x v="0"/>
    <x v="0"/>
    <n v="106785.28263947459"/>
    <n v="21"/>
    <n v="65403.903562176827"/>
    <n v="41381.379077297774"/>
  </r>
  <r>
    <s v="ORD102353"/>
    <d v="2025-07-01T00:00:00"/>
    <x v="3"/>
    <n v="7"/>
    <x v="0"/>
    <x v="1"/>
    <x v="0"/>
    <n v="173242.04379334679"/>
    <n v="33"/>
    <n v="109261.3515100244"/>
    <n v="63980.692283322467"/>
  </r>
  <r>
    <s v="ORD102354"/>
    <d v="2025-07-01T00:00:00"/>
    <x v="3"/>
    <n v="7"/>
    <x v="1"/>
    <x v="0"/>
    <x v="0"/>
    <n v="89456.634183427232"/>
    <n v="17"/>
    <n v="52755.01431553279"/>
    <n v="36701.619867894442"/>
  </r>
  <r>
    <s v="ORD102355"/>
    <d v="2025-07-01T00:00:00"/>
    <x v="3"/>
    <n v="7"/>
    <x v="1"/>
    <x v="1"/>
    <x v="0"/>
    <n v="144122.24453032509"/>
    <n v="28"/>
    <n v="89115.406436883975"/>
    <n v="55006.83809344114"/>
  </r>
  <r>
    <s v="ORD102356"/>
    <d v="2025-07-01T00:00:00"/>
    <x v="3"/>
    <n v="7"/>
    <x v="2"/>
    <x v="0"/>
    <x v="0"/>
    <n v="66334.253805880013"/>
    <n v="13"/>
    <n v="40068.006939531122"/>
    <n v="26266.246866348891"/>
  </r>
  <r>
    <s v="ORD102357"/>
    <d v="2025-07-01T00:00:00"/>
    <x v="3"/>
    <n v="7"/>
    <x v="2"/>
    <x v="1"/>
    <x v="0"/>
    <n v="96861.484935220855"/>
    <n v="19"/>
    <n v="59538.978308977457"/>
    <n v="37322.506626243397"/>
  </r>
  <r>
    <s v="ORD102358"/>
    <d v="2025-07-01T00:00:00"/>
    <x v="3"/>
    <n v="7"/>
    <x v="3"/>
    <x v="0"/>
    <x v="0"/>
    <n v="45870.535183821237"/>
    <n v="9"/>
    <n v="28286.76127650206"/>
    <n v="17583.773907319181"/>
  </r>
  <r>
    <s v="ORD102359"/>
    <d v="2025-07-01T00:00:00"/>
    <x v="3"/>
    <n v="7"/>
    <x v="3"/>
    <x v="1"/>
    <x v="0"/>
    <n v="79693.211736822181"/>
    <n v="15"/>
    <n v="49091.177237936623"/>
    <n v="30602.034498885561"/>
  </r>
  <r>
    <s v="ORD102360"/>
    <d v="2025-07-01T00:00:00"/>
    <x v="3"/>
    <n v="7"/>
    <x v="0"/>
    <x v="0"/>
    <x v="1"/>
    <n v="125377.9401286596"/>
    <n v="21"/>
    <n v="81926.852911866619"/>
    <n v="43451.087216792977"/>
  </r>
  <r>
    <s v="ORD102361"/>
    <d v="2025-07-01T00:00:00"/>
    <x v="3"/>
    <n v="7"/>
    <x v="0"/>
    <x v="1"/>
    <x v="1"/>
    <n v="195444.11074181911"/>
    <n v="32"/>
    <n v="126445.6815419027"/>
    <n v="68998.429199916412"/>
  </r>
  <r>
    <s v="ORD102362"/>
    <d v="2025-07-01T00:00:00"/>
    <x v="3"/>
    <n v="7"/>
    <x v="1"/>
    <x v="0"/>
    <x v="1"/>
    <n v="106446.2460065935"/>
    <n v="17"/>
    <n v="73152.830728684537"/>
    <n v="33293.415277908993"/>
  </r>
  <r>
    <s v="ORD102363"/>
    <d v="2025-07-01T00:00:00"/>
    <x v="3"/>
    <n v="7"/>
    <x v="1"/>
    <x v="1"/>
    <x v="1"/>
    <n v="149937.0237566361"/>
    <n v="25"/>
    <n v="102284.8558145846"/>
    <n v="47652.167942051543"/>
  </r>
  <r>
    <s v="ORD102364"/>
    <d v="2025-07-01T00:00:00"/>
    <x v="3"/>
    <n v="7"/>
    <x v="2"/>
    <x v="0"/>
    <x v="1"/>
    <n v="68579.521062773565"/>
    <n v="11"/>
    <n v="44315.720162758997"/>
    <n v="24263.800900014568"/>
  </r>
  <r>
    <s v="ORD102365"/>
    <d v="2025-07-01T00:00:00"/>
    <x v="3"/>
    <n v="7"/>
    <x v="2"/>
    <x v="1"/>
    <x v="1"/>
    <n v="107835.5289045313"/>
    <n v="18"/>
    <n v="73198.276829377224"/>
    <n v="34637.252075154029"/>
  </r>
  <r>
    <s v="ORD102366"/>
    <d v="2025-07-01T00:00:00"/>
    <x v="3"/>
    <n v="7"/>
    <x v="3"/>
    <x v="0"/>
    <x v="1"/>
    <n v="51264.405749735663"/>
    <n v="8"/>
    <n v="33591.22486630451"/>
    <n v="17673.180883431149"/>
  </r>
  <r>
    <s v="ORD102367"/>
    <d v="2025-07-01T00:00:00"/>
    <x v="3"/>
    <n v="7"/>
    <x v="3"/>
    <x v="1"/>
    <x v="1"/>
    <n v="81142.460718290647"/>
    <n v="13"/>
    <n v="53678.557237095571"/>
    <n v="27463.903481195081"/>
  </r>
  <r>
    <s v="ORD102368"/>
    <d v="2025-07-01T00:00:00"/>
    <x v="3"/>
    <n v="7"/>
    <x v="0"/>
    <x v="0"/>
    <x v="2"/>
    <n v="83374.321346836907"/>
    <n v="19"/>
    <n v="53298.792783654993"/>
    <n v="30075.52856318191"/>
  </r>
  <r>
    <s v="ORD102369"/>
    <d v="2025-07-01T00:00:00"/>
    <x v="3"/>
    <n v="7"/>
    <x v="0"/>
    <x v="1"/>
    <x v="2"/>
    <n v="120748.7691686606"/>
    <n v="28"/>
    <n v="76361.484872705667"/>
    <n v="44387.284295954953"/>
  </r>
  <r>
    <s v="ORD102370"/>
    <d v="2025-07-01T00:00:00"/>
    <x v="3"/>
    <n v="7"/>
    <x v="1"/>
    <x v="0"/>
    <x v="2"/>
    <n v="65975.86328879463"/>
    <n v="15"/>
    <n v="42972.321553741298"/>
    <n v="23003.541735053332"/>
  </r>
  <r>
    <s v="ORD102371"/>
    <d v="2025-07-01T00:00:00"/>
    <x v="3"/>
    <n v="7"/>
    <x v="1"/>
    <x v="1"/>
    <x v="2"/>
    <n v="95735.42478984718"/>
    <n v="22"/>
    <n v="61409.50860703268"/>
    <n v="34325.916182814501"/>
  </r>
  <r>
    <s v="ORD102372"/>
    <d v="2025-07-01T00:00:00"/>
    <x v="3"/>
    <n v="7"/>
    <x v="2"/>
    <x v="0"/>
    <x v="2"/>
    <n v="42524.63007822488"/>
    <n v="10"/>
    <n v="26982.308457269239"/>
    <n v="15542.321620955639"/>
  </r>
  <r>
    <s v="ORD102373"/>
    <d v="2025-07-01T00:00:00"/>
    <x v="3"/>
    <n v="7"/>
    <x v="2"/>
    <x v="1"/>
    <x v="2"/>
    <n v="74297.936574572363"/>
    <n v="17"/>
    <n v="46434.065348510827"/>
    <n v="27863.871226061539"/>
  </r>
  <r>
    <s v="ORD102374"/>
    <d v="2025-07-01T00:00:00"/>
    <x v="3"/>
    <n v="7"/>
    <x v="3"/>
    <x v="0"/>
    <x v="2"/>
    <n v="30831.68649761039"/>
    <n v="7"/>
    <n v="19414.891362477891"/>
    <n v="11416.795135132499"/>
  </r>
  <r>
    <s v="ORD102375"/>
    <d v="2025-07-01T00:00:00"/>
    <x v="3"/>
    <n v="7"/>
    <x v="3"/>
    <x v="1"/>
    <x v="2"/>
    <n v="56386.760961947439"/>
    <n v="13"/>
    <n v="35021.326728881118"/>
    <n v="21365.43423306632"/>
  </r>
  <r>
    <s v="ORD102376"/>
    <d v="2025-07-01T00:00:00"/>
    <x v="3"/>
    <n v="7"/>
    <x v="0"/>
    <x v="0"/>
    <x v="3"/>
    <n v="75085.474711460571"/>
    <n v="88"/>
    <n v="36048.957747983033"/>
    <n v="39036.516963477538"/>
  </r>
  <r>
    <s v="ORD102377"/>
    <d v="2025-07-01T00:00:00"/>
    <x v="3"/>
    <n v="7"/>
    <x v="0"/>
    <x v="1"/>
    <x v="3"/>
    <n v="124549.05848822869"/>
    <n v="147"/>
    <n v="58495.811604975177"/>
    <n v="66053.246883253509"/>
  </r>
  <r>
    <s v="ORD102378"/>
    <d v="2025-07-01T00:00:00"/>
    <x v="3"/>
    <n v="7"/>
    <x v="1"/>
    <x v="0"/>
    <x v="3"/>
    <n v="64905.488669875427"/>
    <n v="76"/>
    <n v="31005.71262855337"/>
    <n v="33899.77604132206"/>
  </r>
  <r>
    <s v="ORD102379"/>
    <d v="2025-07-01T00:00:00"/>
    <x v="3"/>
    <n v="7"/>
    <x v="1"/>
    <x v="1"/>
    <x v="3"/>
    <n v="91752.855855274945"/>
    <n v="108"/>
    <n v="45127.511758626897"/>
    <n v="46625.344096648048"/>
  </r>
  <r>
    <s v="ORD102380"/>
    <d v="2025-07-01T00:00:00"/>
    <x v="3"/>
    <n v="7"/>
    <x v="2"/>
    <x v="0"/>
    <x v="3"/>
    <n v="39004.847481716482"/>
    <n v="46"/>
    <n v="19126.493004670541"/>
    <n v="19878.35447704593"/>
  </r>
  <r>
    <s v="ORD102381"/>
    <d v="2025-07-01T00:00:00"/>
    <x v="3"/>
    <n v="7"/>
    <x v="2"/>
    <x v="1"/>
    <x v="3"/>
    <n v="66666.016615875691"/>
    <n v="78"/>
    <n v="31981.096665898429"/>
    <n v="34684.919949977273"/>
  </r>
  <r>
    <s v="ORD102382"/>
    <d v="2025-07-01T00:00:00"/>
    <x v="3"/>
    <n v="7"/>
    <x v="3"/>
    <x v="0"/>
    <x v="3"/>
    <n v="35171.468398739024"/>
    <n v="41"/>
    <n v="16855.841395322401"/>
    <n v="18315.627003416619"/>
  </r>
  <r>
    <s v="ORD102383"/>
    <d v="2025-07-01T00:00:00"/>
    <x v="3"/>
    <n v="7"/>
    <x v="3"/>
    <x v="1"/>
    <x v="3"/>
    <n v="49693.818663840117"/>
    <n v="58"/>
    <n v="24660.165731181431"/>
    <n v="25033.65293265869"/>
  </r>
  <r>
    <s v="ORD102384"/>
    <d v="2025-07-01T00:00:00"/>
    <x v="3"/>
    <n v="7"/>
    <x v="0"/>
    <x v="0"/>
    <x v="4"/>
    <n v="66649.79664601793"/>
    <n v="93"/>
    <n v="37001.000221598217"/>
    <n v="29648.79642441971"/>
  </r>
  <r>
    <s v="ORD102385"/>
    <d v="2025-07-01T00:00:00"/>
    <x v="3"/>
    <n v="7"/>
    <x v="0"/>
    <x v="1"/>
    <x v="4"/>
    <n v="97867.987680624938"/>
    <n v="136"/>
    <n v="53509.783814433147"/>
    <n v="44358.203866191783"/>
  </r>
  <r>
    <s v="ORD102386"/>
    <d v="2025-07-01T00:00:00"/>
    <x v="3"/>
    <n v="7"/>
    <x v="1"/>
    <x v="0"/>
    <x v="4"/>
    <n v="47090.674842697663"/>
    <n v="65"/>
    <n v="25235.064824299869"/>
    <n v="21855.61001839778"/>
  </r>
  <r>
    <s v="ORD102387"/>
    <d v="2025-07-01T00:00:00"/>
    <x v="3"/>
    <n v="7"/>
    <x v="1"/>
    <x v="1"/>
    <x v="4"/>
    <n v="77580.042672475989"/>
    <n v="108"/>
    <n v="42971.534810482182"/>
    <n v="34608.507861993807"/>
  </r>
  <r>
    <s v="ORD102388"/>
    <d v="2025-07-01T00:00:00"/>
    <x v="3"/>
    <n v="7"/>
    <x v="2"/>
    <x v="0"/>
    <x v="4"/>
    <n v="37776.770918423957"/>
    <n v="52"/>
    <n v="21087.38282945643"/>
    <n v="16689.388088967531"/>
  </r>
  <r>
    <s v="ORD102389"/>
    <d v="2025-07-01T00:00:00"/>
    <x v="3"/>
    <n v="7"/>
    <x v="2"/>
    <x v="1"/>
    <x v="4"/>
    <n v="54299.88790160502"/>
    <n v="75"/>
    <n v="29525.382136840472"/>
    <n v="24774.505764764552"/>
  </r>
  <r>
    <s v="ORD102390"/>
    <d v="2025-07-01T00:00:00"/>
    <x v="3"/>
    <n v="7"/>
    <x v="3"/>
    <x v="0"/>
    <x v="4"/>
    <n v="25100.267775794931"/>
    <n v="35"/>
    <n v="13877.50902128425"/>
    <n v="11222.75875451068"/>
  </r>
  <r>
    <s v="ORD102391"/>
    <d v="2025-07-01T00:00:00"/>
    <x v="3"/>
    <n v="7"/>
    <x v="3"/>
    <x v="1"/>
    <x v="4"/>
    <n v="42409.360470315893"/>
    <n v="59"/>
    <n v="23172.501040551571"/>
    <n v="19236.859429764321"/>
  </r>
  <r>
    <s v="ORD102392"/>
    <d v="2025-07-01T00:00:00"/>
    <x v="3"/>
    <n v="7"/>
    <x v="0"/>
    <x v="0"/>
    <x v="5"/>
    <n v="55971.617939294323"/>
    <n v="10"/>
    <n v="38492.483036198762"/>
    <n v="17479.13490309555"/>
  </r>
  <r>
    <s v="ORD102393"/>
    <d v="2025-07-01T00:00:00"/>
    <x v="3"/>
    <n v="7"/>
    <x v="0"/>
    <x v="1"/>
    <x v="5"/>
    <n v="91332.605695212435"/>
    <n v="17"/>
    <n v="60197.434583588532"/>
    <n v="31135.171111623909"/>
  </r>
  <r>
    <s v="ORD102394"/>
    <d v="2025-07-01T00:00:00"/>
    <x v="3"/>
    <n v="7"/>
    <x v="1"/>
    <x v="0"/>
    <x v="5"/>
    <n v="49960.047507447547"/>
    <n v="9"/>
    <n v="34334.816578571998"/>
    <n v="15625.23092887555"/>
  </r>
  <r>
    <s v="ORD102395"/>
    <d v="2025-07-01T00:00:00"/>
    <x v="3"/>
    <n v="7"/>
    <x v="1"/>
    <x v="1"/>
    <x v="5"/>
    <n v="72397.360044426969"/>
    <n v="13"/>
    <n v="50825.81127841305"/>
    <n v="21571.548766013919"/>
  </r>
  <r>
    <s v="ORD102396"/>
    <d v="2025-07-01T00:00:00"/>
    <x v="3"/>
    <n v="7"/>
    <x v="2"/>
    <x v="0"/>
    <x v="5"/>
    <n v="33597.301637216617"/>
    <n v="6"/>
    <n v="22918.667427025091"/>
    <n v="10678.63421019154"/>
  </r>
  <r>
    <s v="ORD102397"/>
    <d v="2025-07-01T00:00:00"/>
    <x v="3"/>
    <n v="7"/>
    <x v="2"/>
    <x v="1"/>
    <x v="5"/>
    <n v="52280.326057496903"/>
    <n v="10"/>
    <n v="36107.531487731707"/>
    <n v="16172.794569765179"/>
  </r>
  <r>
    <s v="ORD102398"/>
    <d v="2025-07-01T00:00:00"/>
    <x v="3"/>
    <n v="7"/>
    <x v="3"/>
    <x v="0"/>
    <x v="5"/>
    <n v="24509.410040253289"/>
    <n v="5"/>
    <n v="16681.376337235371"/>
    <n v="7828.0337030179217"/>
  </r>
  <r>
    <s v="ORD102399"/>
    <d v="2025-07-01T00:00:00"/>
    <x v="3"/>
    <n v="7"/>
    <x v="3"/>
    <x v="1"/>
    <x v="5"/>
    <n v="39043.64888376731"/>
    <n v="7"/>
    <n v="27114.903871292401"/>
    <n v="11928.745012474899"/>
  </r>
  <r>
    <s v="ORD102400"/>
    <d v="2025-07-01T00:00:00"/>
    <x v="3"/>
    <n v="7"/>
    <x v="0"/>
    <x v="0"/>
    <x v="6"/>
    <n v="106166.7742415495"/>
    <n v="30"/>
    <n v="62394.268815158277"/>
    <n v="43772.505426391268"/>
  </r>
  <r>
    <s v="ORD102401"/>
    <d v="2025-07-01T00:00:00"/>
    <x v="3"/>
    <n v="7"/>
    <x v="0"/>
    <x v="1"/>
    <x v="6"/>
    <n v="172815.0322856204"/>
    <n v="49"/>
    <n v="100237.0831412968"/>
    <n v="72577.949144323647"/>
  </r>
  <r>
    <s v="ORD102402"/>
    <d v="2025-07-01T00:00:00"/>
    <x v="3"/>
    <n v="7"/>
    <x v="1"/>
    <x v="0"/>
    <x v="6"/>
    <n v="91436.306295222515"/>
    <n v="26"/>
    <n v="55241.399577871038"/>
    <n v="36194.906717351478"/>
  </r>
  <r>
    <s v="ORD102403"/>
    <d v="2025-07-01T00:00:00"/>
    <x v="3"/>
    <n v="7"/>
    <x v="1"/>
    <x v="1"/>
    <x v="6"/>
    <n v="157211.11324074009"/>
    <n v="45"/>
    <n v="94305.485002063186"/>
    <n v="62905.62823867696"/>
  </r>
  <r>
    <s v="ORD102404"/>
    <d v="2025-07-01T00:00:00"/>
    <x v="3"/>
    <n v="7"/>
    <x v="2"/>
    <x v="0"/>
    <x v="6"/>
    <n v="65823.835525789662"/>
    <n v="19"/>
    <n v="38413.203411174349"/>
    <n v="27410.63211461531"/>
  </r>
  <r>
    <s v="ORD102405"/>
    <d v="2025-07-01T00:00:00"/>
    <x v="3"/>
    <n v="7"/>
    <x v="2"/>
    <x v="1"/>
    <x v="6"/>
    <n v="106520.1287282331"/>
    <n v="30"/>
    <n v="63409.995872018597"/>
    <n v="43110.132856214543"/>
  </r>
  <r>
    <s v="ORD102406"/>
    <d v="2025-07-01T00:00:00"/>
    <x v="3"/>
    <n v="7"/>
    <x v="3"/>
    <x v="0"/>
    <x v="6"/>
    <n v="55311.30964710594"/>
    <n v="16"/>
    <n v="32949.351785004757"/>
    <n v="22361.957862101179"/>
  </r>
  <r>
    <s v="ORD102407"/>
    <d v="2025-07-01T00:00:00"/>
    <x v="3"/>
    <n v="7"/>
    <x v="3"/>
    <x v="1"/>
    <x v="6"/>
    <n v="80058.113851080489"/>
    <n v="23"/>
    <n v="47780.382709877158"/>
    <n v="32277.73114120333"/>
  </r>
  <r>
    <s v="ORD102408"/>
    <d v="2025-08-01T00:00:00"/>
    <x v="3"/>
    <n v="8"/>
    <x v="0"/>
    <x v="0"/>
    <x v="0"/>
    <n v="98877.944414255631"/>
    <n v="19"/>
    <n v="59434.751667004268"/>
    <n v="39443.192747251363"/>
  </r>
  <r>
    <s v="ORD102409"/>
    <d v="2025-08-01T00:00:00"/>
    <x v="3"/>
    <n v="8"/>
    <x v="0"/>
    <x v="1"/>
    <x v="0"/>
    <n v="162548.2337005015"/>
    <n v="31"/>
    <n v="102605.9277007936"/>
    <n v="59942.305999707904"/>
  </r>
  <r>
    <s v="ORD102410"/>
    <d v="2025-08-01T00:00:00"/>
    <x v="3"/>
    <n v="8"/>
    <x v="1"/>
    <x v="0"/>
    <x v="0"/>
    <n v="79425.735210594547"/>
    <n v="15"/>
    <n v="48738.979680361983"/>
    <n v="30686.755530232571"/>
  </r>
  <r>
    <s v="ORD102411"/>
    <d v="2025-08-01T00:00:00"/>
    <x v="3"/>
    <n v="8"/>
    <x v="1"/>
    <x v="1"/>
    <x v="0"/>
    <n v="133155.25306079109"/>
    <n v="26"/>
    <n v="82024.520071320236"/>
    <n v="51130.732989470853"/>
  </r>
  <r>
    <s v="ORD102412"/>
    <d v="2025-08-01T00:00:00"/>
    <x v="3"/>
    <n v="8"/>
    <x v="2"/>
    <x v="0"/>
    <x v="0"/>
    <n v="55149.127000437657"/>
    <n v="11"/>
    <n v="35815.980673837039"/>
    <n v="19333.146326600621"/>
  </r>
  <r>
    <s v="ORD102413"/>
    <d v="2025-08-01T00:00:00"/>
    <x v="3"/>
    <n v="8"/>
    <x v="2"/>
    <x v="1"/>
    <x v="0"/>
    <n v="84702.355297858652"/>
    <n v="16"/>
    <n v="52800.81463632494"/>
    <n v="31901.540661533709"/>
  </r>
  <r>
    <s v="ORD102414"/>
    <d v="2025-08-01T00:00:00"/>
    <x v="3"/>
    <n v="8"/>
    <x v="3"/>
    <x v="0"/>
    <x v="0"/>
    <n v="41625.734712290003"/>
    <n v="8"/>
    <n v="25628.492042879629"/>
    <n v="15997.242669410371"/>
  </r>
  <r>
    <s v="ORD102415"/>
    <d v="2025-08-01T00:00:00"/>
    <x v="3"/>
    <n v="8"/>
    <x v="3"/>
    <x v="1"/>
    <x v="0"/>
    <n v="69990.781006554302"/>
    <n v="13"/>
    <n v="41671.735149499902"/>
    <n v="28319.0458570544"/>
  </r>
  <r>
    <s v="ORD102416"/>
    <d v="2025-08-01T00:00:00"/>
    <x v="3"/>
    <n v="8"/>
    <x v="0"/>
    <x v="0"/>
    <x v="1"/>
    <n v="107950.8362358749"/>
    <n v="18"/>
    <n v="73029.863176787432"/>
    <n v="34920.973059087468"/>
  </r>
  <r>
    <s v="ORD102417"/>
    <d v="2025-08-01T00:00:00"/>
    <x v="3"/>
    <n v="8"/>
    <x v="0"/>
    <x v="1"/>
    <x v="1"/>
    <n v="169702.2921556998"/>
    <n v="28"/>
    <n v="109291.485067715"/>
    <n v="60410.807087984787"/>
  </r>
  <r>
    <s v="ORD102418"/>
    <d v="2025-08-01T00:00:00"/>
    <x v="3"/>
    <n v="8"/>
    <x v="1"/>
    <x v="0"/>
    <x v="1"/>
    <n v="90467.247483995627"/>
    <n v="15"/>
    <n v="58629.936474695751"/>
    <n v="31837.31100929988"/>
  </r>
  <r>
    <s v="ORD102419"/>
    <d v="2025-08-01T00:00:00"/>
    <x v="3"/>
    <n v="8"/>
    <x v="1"/>
    <x v="1"/>
    <x v="1"/>
    <n v="144820.74466378809"/>
    <n v="24"/>
    <n v="95011.609640104623"/>
    <n v="49809.135023683499"/>
  </r>
  <r>
    <s v="ORD102420"/>
    <d v="2025-08-01T00:00:00"/>
    <x v="3"/>
    <n v="8"/>
    <x v="2"/>
    <x v="0"/>
    <x v="1"/>
    <n v="60454.558088812868"/>
    <n v="10"/>
    <n v="40917.275500012103"/>
    <n v="19537.282588800761"/>
  </r>
  <r>
    <s v="ORD102421"/>
    <d v="2025-08-01T00:00:00"/>
    <x v="3"/>
    <n v="8"/>
    <x v="2"/>
    <x v="1"/>
    <x v="1"/>
    <n v="99794.582662313813"/>
    <n v="16"/>
    <n v="66781.146678920515"/>
    <n v="33013.435983393298"/>
  </r>
  <r>
    <s v="ORD102422"/>
    <d v="2025-08-01T00:00:00"/>
    <x v="3"/>
    <n v="8"/>
    <x v="3"/>
    <x v="0"/>
    <x v="1"/>
    <n v="44871.022119724301"/>
    <n v="7"/>
    <n v="29530.7365139211"/>
    <n v="15340.285605803199"/>
  </r>
  <r>
    <s v="ORD102423"/>
    <d v="2025-08-01T00:00:00"/>
    <x v="3"/>
    <n v="8"/>
    <x v="3"/>
    <x v="1"/>
    <x v="1"/>
    <n v="72619.419049153308"/>
    <n v="12"/>
    <n v="48194.785900281087"/>
    <n v="24424.63314887221"/>
  </r>
  <r>
    <s v="ORD102424"/>
    <d v="2025-08-01T00:00:00"/>
    <x v="3"/>
    <n v="8"/>
    <x v="0"/>
    <x v="0"/>
    <x v="2"/>
    <n v="67041.200049771302"/>
    <n v="16"/>
    <n v="42442.681380864669"/>
    <n v="24598.518668906629"/>
  </r>
  <r>
    <s v="ORD102425"/>
    <d v="2025-08-01T00:00:00"/>
    <x v="3"/>
    <n v="8"/>
    <x v="0"/>
    <x v="1"/>
    <x v="2"/>
    <n v="118272.8547399185"/>
    <n v="28"/>
    <n v="75884.905644567014"/>
    <n v="42387.94909535152"/>
  </r>
  <r>
    <s v="ORD102426"/>
    <d v="2025-08-01T00:00:00"/>
    <x v="3"/>
    <n v="8"/>
    <x v="1"/>
    <x v="0"/>
    <x v="2"/>
    <n v="56205.931318824623"/>
    <n v="13"/>
    <n v="36019.281023710253"/>
    <n v="20186.650295114381"/>
  </r>
  <r>
    <s v="ORD102427"/>
    <d v="2025-08-01T00:00:00"/>
    <x v="3"/>
    <n v="8"/>
    <x v="1"/>
    <x v="1"/>
    <x v="2"/>
    <n v="91422.030094070127"/>
    <n v="21"/>
    <n v="59530.39006982393"/>
    <n v="31891.6400242462"/>
  </r>
  <r>
    <s v="ORD102428"/>
    <d v="2025-08-01T00:00:00"/>
    <x v="3"/>
    <n v="8"/>
    <x v="2"/>
    <x v="0"/>
    <x v="2"/>
    <n v="39153.875896932943"/>
    <n v="9"/>
    <n v="25494.728829506941"/>
    <n v="13659.147067425991"/>
  </r>
  <r>
    <s v="ORD102429"/>
    <d v="2025-08-01T00:00:00"/>
    <x v="3"/>
    <n v="8"/>
    <x v="2"/>
    <x v="1"/>
    <x v="2"/>
    <n v="63510.471013052069"/>
    <n v="15"/>
    <n v="41008.115369534862"/>
    <n v="22502.35564351721"/>
  </r>
  <r>
    <s v="ORD102430"/>
    <d v="2025-08-01T00:00:00"/>
    <x v="3"/>
    <n v="8"/>
    <x v="3"/>
    <x v="0"/>
    <x v="2"/>
    <n v="30405.41583542373"/>
    <n v="7"/>
    <n v="19332.546514220299"/>
    <n v="11072.86932120343"/>
  </r>
  <r>
    <s v="ORD102431"/>
    <d v="2025-08-01T00:00:00"/>
    <x v="3"/>
    <n v="8"/>
    <x v="3"/>
    <x v="1"/>
    <x v="2"/>
    <n v="47121.522706950083"/>
    <n v="11"/>
    <n v="30560.46530340055"/>
    <n v="16561.057403549541"/>
  </r>
  <r>
    <s v="ORD102432"/>
    <d v="2025-08-01T00:00:00"/>
    <x v="3"/>
    <n v="8"/>
    <x v="0"/>
    <x v="0"/>
    <x v="3"/>
    <n v="64273.997384098213"/>
    <n v="76"/>
    <n v="30800.44614090597"/>
    <n v="33473.55124319224"/>
  </r>
  <r>
    <s v="ORD102433"/>
    <d v="2025-08-01T00:00:00"/>
    <x v="3"/>
    <n v="8"/>
    <x v="0"/>
    <x v="1"/>
    <x v="3"/>
    <n v="110882.4253401321"/>
    <n v="130"/>
    <n v="52187.064064460901"/>
    <n v="58695.361275671159"/>
  </r>
  <r>
    <s v="ORD102434"/>
    <d v="2025-08-01T00:00:00"/>
    <x v="3"/>
    <n v="8"/>
    <x v="1"/>
    <x v="0"/>
    <x v="3"/>
    <n v="52542.956895566211"/>
    <n v="62"/>
    <n v="25037.538288173899"/>
    <n v="27505.418607392308"/>
  </r>
  <r>
    <s v="ORD102435"/>
    <d v="2025-08-01T00:00:00"/>
    <x v="3"/>
    <n v="8"/>
    <x v="1"/>
    <x v="1"/>
    <x v="3"/>
    <n v="86572.944397911488"/>
    <n v="102"/>
    <n v="41618.238669850842"/>
    <n v="44954.705728060653"/>
  </r>
  <r>
    <s v="ORD102436"/>
    <d v="2025-08-01T00:00:00"/>
    <x v="3"/>
    <n v="8"/>
    <x v="2"/>
    <x v="0"/>
    <x v="3"/>
    <n v="36727.742415662557"/>
    <n v="43"/>
    <n v="17918.153035619769"/>
    <n v="18809.589380042791"/>
  </r>
  <r>
    <s v="ORD102437"/>
    <d v="2025-08-01T00:00:00"/>
    <x v="3"/>
    <n v="8"/>
    <x v="2"/>
    <x v="1"/>
    <x v="3"/>
    <n v="61619.390031758943"/>
    <n v="72"/>
    <n v="29479.598370894491"/>
    <n v="32139.791660864448"/>
  </r>
  <r>
    <s v="ORD102438"/>
    <d v="2025-08-01T00:00:00"/>
    <x v="3"/>
    <n v="8"/>
    <x v="3"/>
    <x v="0"/>
    <x v="3"/>
    <n v="26959.80658967837"/>
    <n v="32"/>
    <n v="12659.045207412109"/>
    <n v="14300.761382266261"/>
  </r>
  <r>
    <s v="ORD102439"/>
    <d v="2025-08-01T00:00:00"/>
    <x v="3"/>
    <n v="8"/>
    <x v="3"/>
    <x v="1"/>
    <x v="3"/>
    <n v="44332.598214892161"/>
    <n v="52"/>
    <n v="21301.381117127799"/>
    <n v="23031.217097764358"/>
  </r>
  <r>
    <s v="ORD102440"/>
    <d v="2025-08-01T00:00:00"/>
    <x v="3"/>
    <n v="8"/>
    <x v="0"/>
    <x v="0"/>
    <x v="4"/>
    <n v="56452.714946174427"/>
    <n v="78"/>
    <n v="31112.40174512946"/>
    <n v="25340.313201044981"/>
  </r>
  <r>
    <s v="ORD102441"/>
    <d v="2025-08-01T00:00:00"/>
    <x v="3"/>
    <n v="8"/>
    <x v="0"/>
    <x v="1"/>
    <x v="4"/>
    <n v="93432.896411419846"/>
    <n v="130"/>
    <n v="51559.990170794001"/>
    <n v="41872.906240625853"/>
  </r>
  <r>
    <s v="ORD102442"/>
    <d v="2025-08-01T00:00:00"/>
    <x v="3"/>
    <n v="8"/>
    <x v="1"/>
    <x v="0"/>
    <x v="4"/>
    <n v="43258.414341087322"/>
    <n v="60"/>
    <n v="24186.07050105746"/>
    <n v="19072.343840029858"/>
  </r>
  <r>
    <s v="ORD102443"/>
    <d v="2025-08-01T00:00:00"/>
    <x v="3"/>
    <n v="8"/>
    <x v="1"/>
    <x v="1"/>
    <x v="4"/>
    <n v="73309.814352476576"/>
    <n v="102"/>
    <n v="41059.89892220922"/>
    <n v="32249.91543026736"/>
  </r>
  <r>
    <s v="ORD102444"/>
    <d v="2025-08-01T00:00:00"/>
    <x v="3"/>
    <n v="8"/>
    <x v="2"/>
    <x v="0"/>
    <x v="4"/>
    <n v="30333.306883884041"/>
    <n v="42"/>
    <n v="16504.877416753861"/>
    <n v="13828.42946713018"/>
  </r>
  <r>
    <s v="ORD102445"/>
    <d v="2025-08-01T00:00:00"/>
    <x v="3"/>
    <n v="8"/>
    <x v="2"/>
    <x v="1"/>
    <x v="4"/>
    <n v="51147.918990387552"/>
    <n v="71"/>
    <n v="27819.36233349358"/>
    <n v="23328.556656893968"/>
  </r>
  <r>
    <s v="ORD102446"/>
    <d v="2025-08-01T00:00:00"/>
    <x v="3"/>
    <n v="8"/>
    <x v="3"/>
    <x v="0"/>
    <x v="4"/>
    <n v="22354.378141032441"/>
    <n v="31"/>
    <n v="12064.703323835371"/>
    <n v="10289.674817197079"/>
  </r>
  <r>
    <s v="ORD102447"/>
    <d v="2025-08-01T00:00:00"/>
    <x v="3"/>
    <n v="8"/>
    <x v="3"/>
    <x v="1"/>
    <x v="4"/>
    <n v="40051.063266481848"/>
    <n v="56"/>
    <n v="22305.169071722939"/>
    <n v="17745.894194758908"/>
  </r>
  <r>
    <s v="ORD102448"/>
    <d v="2025-08-01T00:00:00"/>
    <x v="3"/>
    <n v="8"/>
    <x v="0"/>
    <x v="0"/>
    <x v="5"/>
    <n v="51082.98523961757"/>
    <n v="9"/>
    <n v="36166.46471345285"/>
    <n v="14916.520526164721"/>
  </r>
  <r>
    <s v="ORD102449"/>
    <d v="2025-08-01T00:00:00"/>
    <x v="3"/>
    <n v="8"/>
    <x v="0"/>
    <x v="1"/>
    <x v="5"/>
    <n v="80656.524381528041"/>
    <n v="15"/>
    <n v="55337.367231303331"/>
    <n v="25319.15715022471"/>
  </r>
  <r>
    <s v="ORD102450"/>
    <d v="2025-08-01T00:00:00"/>
    <x v="3"/>
    <n v="8"/>
    <x v="1"/>
    <x v="0"/>
    <x v="5"/>
    <n v="44845.321929051301"/>
    <n v="8"/>
    <n v="30808.800401074721"/>
    <n v="14036.52152797658"/>
  </r>
  <r>
    <s v="ORD102451"/>
    <d v="2025-08-01T00:00:00"/>
    <x v="3"/>
    <n v="8"/>
    <x v="1"/>
    <x v="1"/>
    <x v="5"/>
    <n v="70069.903266024907"/>
    <n v="13"/>
    <n v="49624.727467034798"/>
    <n v="20445.175798990109"/>
  </r>
  <r>
    <s v="ORD102452"/>
    <d v="2025-08-01T00:00:00"/>
    <x v="3"/>
    <n v="8"/>
    <x v="2"/>
    <x v="0"/>
    <x v="5"/>
    <n v="26803.802807872431"/>
    <n v="5"/>
    <n v="18662.925780160858"/>
    <n v="8140.8770277115727"/>
  </r>
  <r>
    <s v="ORD102453"/>
    <d v="2025-08-01T00:00:00"/>
    <x v="3"/>
    <n v="8"/>
    <x v="2"/>
    <x v="1"/>
    <x v="5"/>
    <n v="43076.375600296968"/>
    <n v="8"/>
    <n v="29956.08901133767"/>
    <n v="13120.286588959299"/>
  </r>
  <r>
    <s v="ORD102454"/>
    <d v="2025-08-01T00:00:00"/>
    <x v="3"/>
    <n v="8"/>
    <x v="3"/>
    <x v="0"/>
    <x v="5"/>
    <n v="19551.108063688651"/>
    <n v="4"/>
    <n v="13201.080546640391"/>
    <n v="6350.0275170482691"/>
  </r>
  <r>
    <s v="ORD102455"/>
    <d v="2025-08-01T00:00:00"/>
    <x v="3"/>
    <n v="8"/>
    <x v="3"/>
    <x v="1"/>
    <x v="5"/>
    <n v="31390.961636013861"/>
    <n v="6"/>
    <n v="21924.383139507281"/>
    <n v="9466.5784965065723"/>
  </r>
  <r>
    <s v="ORD102456"/>
    <d v="2025-08-01T00:00:00"/>
    <x v="3"/>
    <n v="8"/>
    <x v="0"/>
    <x v="0"/>
    <x v="6"/>
    <n v="105733.6729652545"/>
    <n v="30"/>
    <n v="61339.547651084329"/>
    <n v="44394.12531417016"/>
  </r>
  <r>
    <s v="ORD102457"/>
    <d v="2025-08-01T00:00:00"/>
    <x v="3"/>
    <n v="8"/>
    <x v="0"/>
    <x v="1"/>
    <x v="6"/>
    <n v="174907.9665672892"/>
    <n v="50"/>
    <n v="101089.23214486289"/>
    <n v="73818.734422426234"/>
  </r>
  <r>
    <s v="ORD102458"/>
    <d v="2025-08-01T00:00:00"/>
    <x v="3"/>
    <n v="8"/>
    <x v="1"/>
    <x v="0"/>
    <x v="6"/>
    <n v="81911.423411400217"/>
    <n v="23"/>
    <n v="48026.08345507038"/>
    <n v="33885.339956329837"/>
  </r>
  <r>
    <s v="ORD102459"/>
    <d v="2025-08-01T00:00:00"/>
    <x v="3"/>
    <n v="8"/>
    <x v="1"/>
    <x v="1"/>
    <x v="6"/>
    <n v="136247.57221602579"/>
    <n v="39"/>
    <n v="79538.455284975396"/>
    <n v="56709.11693105039"/>
  </r>
  <r>
    <s v="ORD102460"/>
    <d v="2025-08-01T00:00:00"/>
    <x v="3"/>
    <n v="8"/>
    <x v="2"/>
    <x v="0"/>
    <x v="6"/>
    <n v="60930.178090580332"/>
    <n v="17"/>
    <n v="35805.412677522319"/>
    <n v="25124.765413058009"/>
  </r>
  <r>
    <s v="ORD102461"/>
    <d v="2025-08-01T00:00:00"/>
    <x v="3"/>
    <n v="8"/>
    <x v="2"/>
    <x v="1"/>
    <x v="6"/>
    <n v="99335.907363110135"/>
    <n v="28"/>
    <n v="57088.025607385243"/>
    <n v="42247.881755724891"/>
  </r>
  <r>
    <s v="ORD102462"/>
    <d v="2025-08-01T00:00:00"/>
    <x v="3"/>
    <n v="8"/>
    <x v="3"/>
    <x v="0"/>
    <x v="6"/>
    <n v="47892.347651523727"/>
    <n v="14"/>
    <n v="28744.155130839641"/>
    <n v="19148.192520684079"/>
  </r>
  <r>
    <s v="ORD102463"/>
    <d v="2025-08-01T00:00:00"/>
    <x v="3"/>
    <n v="8"/>
    <x v="3"/>
    <x v="1"/>
    <x v="6"/>
    <n v="72678.819185888497"/>
    <n v="21"/>
    <n v="43750.906925794348"/>
    <n v="28927.912260094148"/>
  </r>
  <r>
    <s v="ORD102464"/>
    <d v="2025-09-01T00:00:00"/>
    <x v="3"/>
    <n v="9"/>
    <x v="0"/>
    <x v="0"/>
    <x v="0"/>
    <n v="105276.90927998901"/>
    <n v="20"/>
    <n v="62983.769955216128"/>
    <n v="42293.139324772892"/>
  </r>
  <r>
    <s v="ORD102465"/>
    <d v="2025-09-01T00:00:00"/>
    <x v="3"/>
    <n v="9"/>
    <x v="0"/>
    <x v="1"/>
    <x v="0"/>
    <n v="190374.22879474849"/>
    <n v="37"/>
    <n v="120110.8302085516"/>
    <n v="70263.398586196825"/>
  </r>
  <r>
    <s v="ORD102466"/>
    <d v="2025-09-01T00:00:00"/>
    <x v="3"/>
    <n v="9"/>
    <x v="1"/>
    <x v="0"/>
    <x v="0"/>
    <n v="92512.630175823942"/>
    <n v="18"/>
    <n v="56521.007758196763"/>
    <n v="35991.622417627179"/>
  </r>
  <r>
    <s v="ORD102467"/>
    <d v="2025-09-01T00:00:00"/>
    <x v="3"/>
    <n v="9"/>
    <x v="1"/>
    <x v="1"/>
    <x v="0"/>
    <n v="140119.74283643931"/>
    <n v="27"/>
    <n v="88214.324339740459"/>
    <n v="51905.418496698847"/>
  </r>
  <r>
    <s v="ORD102468"/>
    <d v="2025-09-01T00:00:00"/>
    <x v="3"/>
    <n v="9"/>
    <x v="2"/>
    <x v="0"/>
    <x v="0"/>
    <n v="58860.871713155953"/>
    <n v="11"/>
    <n v="36448.778828456263"/>
    <n v="22412.092884699701"/>
  </r>
  <r>
    <s v="ORD102469"/>
    <d v="2025-09-01T00:00:00"/>
    <x v="3"/>
    <n v="9"/>
    <x v="2"/>
    <x v="1"/>
    <x v="0"/>
    <n v="102879.410766175"/>
    <n v="20"/>
    <n v="63818.272884969127"/>
    <n v="39061.137881205883"/>
  </r>
  <r>
    <s v="ORD102470"/>
    <d v="2025-09-01T00:00:00"/>
    <x v="3"/>
    <n v="9"/>
    <x v="3"/>
    <x v="0"/>
    <x v="0"/>
    <n v="49797.135728695168"/>
    <n v="10"/>
    <n v="30771.358718063399"/>
    <n v="19025.777010631769"/>
  </r>
  <r>
    <s v="ORD102471"/>
    <d v="2025-09-01T00:00:00"/>
    <x v="3"/>
    <n v="9"/>
    <x v="3"/>
    <x v="1"/>
    <x v="0"/>
    <n v="71493.159860811604"/>
    <n v="14"/>
    <n v="45292.872961890876"/>
    <n v="26200.28689892072"/>
  </r>
  <r>
    <s v="ORD102472"/>
    <d v="2025-09-01T00:00:00"/>
    <x v="3"/>
    <n v="9"/>
    <x v="0"/>
    <x v="0"/>
    <x v="1"/>
    <n v="125310.3261931539"/>
    <n v="21"/>
    <n v="80859.457130529321"/>
    <n v="44450.869062624603"/>
  </r>
  <r>
    <s v="ORD102473"/>
    <d v="2025-09-01T00:00:00"/>
    <x v="3"/>
    <n v="9"/>
    <x v="0"/>
    <x v="1"/>
    <x v="1"/>
    <n v="188536.8958969478"/>
    <n v="31"/>
    <n v="125795.8032202982"/>
    <n v="62741.092676649627"/>
  </r>
  <r>
    <s v="ORD102474"/>
    <d v="2025-09-01T00:00:00"/>
    <x v="3"/>
    <n v="9"/>
    <x v="1"/>
    <x v="0"/>
    <x v="1"/>
    <n v="89903.98941524906"/>
    <n v="15"/>
    <n v="60512.919042849033"/>
    <n v="29391.07037240003"/>
  </r>
  <r>
    <s v="ORD102475"/>
    <d v="2025-09-01T00:00:00"/>
    <x v="3"/>
    <n v="9"/>
    <x v="1"/>
    <x v="1"/>
    <x v="1"/>
    <n v="160217.05340885749"/>
    <n v="26"/>
    <n v="107106.721625527"/>
    <n v="53110.331783330526"/>
  </r>
  <r>
    <s v="ORD102476"/>
    <d v="2025-09-01T00:00:00"/>
    <x v="3"/>
    <n v="9"/>
    <x v="2"/>
    <x v="0"/>
    <x v="1"/>
    <n v="69061.589073956944"/>
    <n v="11"/>
    <n v="47487.951914374717"/>
    <n v="21573.637159582231"/>
  </r>
  <r>
    <s v="ORD102477"/>
    <d v="2025-09-01T00:00:00"/>
    <x v="3"/>
    <n v="9"/>
    <x v="2"/>
    <x v="1"/>
    <x v="1"/>
    <n v="100023.2845011826"/>
    <n v="16"/>
    <n v="65386.832699476683"/>
    <n v="34636.451801705924"/>
  </r>
  <r>
    <s v="ORD102478"/>
    <d v="2025-09-01T00:00:00"/>
    <x v="3"/>
    <n v="9"/>
    <x v="3"/>
    <x v="0"/>
    <x v="1"/>
    <n v="49498.103544869649"/>
    <n v="8"/>
    <n v="33231.679445618887"/>
    <n v="16266.42409925076"/>
  </r>
  <r>
    <s v="ORD102479"/>
    <d v="2025-09-01T00:00:00"/>
    <x v="3"/>
    <n v="9"/>
    <x v="3"/>
    <x v="1"/>
    <x v="1"/>
    <n v="80299.201163836842"/>
    <n v="13"/>
    <n v="52896.267128098021"/>
    <n v="27402.934035738821"/>
  </r>
  <r>
    <s v="ORD102480"/>
    <d v="2025-09-01T00:00:00"/>
    <x v="3"/>
    <n v="9"/>
    <x v="0"/>
    <x v="0"/>
    <x v="2"/>
    <n v="90450.08590447114"/>
    <n v="21"/>
    <n v="59173.245596526504"/>
    <n v="31276.84030794464"/>
  </r>
  <r>
    <s v="ORD102481"/>
    <d v="2025-09-01T00:00:00"/>
    <x v="3"/>
    <n v="9"/>
    <x v="0"/>
    <x v="1"/>
    <x v="2"/>
    <n v="130488.9259484338"/>
    <n v="30"/>
    <n v="83501.35425929878"/>
    <n v="46987.571689135031"/>
  </r>
  <r>
    <s v="ORD102482"/>
    <d v="2025-09-01T00:00:00"/>
    <x v="3"/>
    <n v="9"/>
    <x v="1"/>
    <x v="0"/>
    <x v="2"/>
    <n v="68800.246239269589"/>
    <n v="16"/>
    <n v="43724.735457169038"/>
    <n v="25075.510782100551"/>
  </r>
  <r>
    <s v="ORD102483"/>
    <d v="2025-09-01T00:00:00"/>
    <x v="3"/>
    <n v="9"/>
    <x v="1"/>
    <x v="1"/>
    <x v="2"/>
    <n v="111015.93499432541"/>
    <n v="26"/>
    <n v="72720.538802059324"/>
    <n v="38295.396192266038"/>
  </r>
  <r>
    <s v="ORD102484"/>
    <d v="2025-09-01T00:00:00"/>
    <x v="3"/>
    <n v="9"/>
    <x v="2"/>
    <x v="0"/>
    <x v="2"/>
    <n v="42117.192360144079"/>
    <n v="10"/>
    <n v="26716.502145777631"/>
    <n v="15400.69021436645"/>
  </r>
  <r>
    <s v="ORD102485"/>
    <d v="2025-09-01T00:00:00"/>
    <x v="3"/>
    <n v="9"/>
    <x v="2"/>
    <x v="1"/>
    <x v="2"/>
    <n v="74148.232898976319"/>
    <n v="17"/>
    <n v="46248.136169149548"/>
    <n v="27900.096729826761"/>
  </r>
  <r>
    <s v="ORD102486"/>
    <d v="2025-09-01T00:00:00"/>
    <x v="3"/>
    <n v="9"/>
    <x v="3"/>
    <x v="0"/>
    <x v="2"/>
    <n v="33355.528797866697"/>
    <n v="8"/>
    <n v="21148.937074011159"/>
    <n v="12206.591723855539"/>
  </r>
  <r>
    <s v="ORD102487"/>
    <d v="2025-09-01T00:00:00"/>
    <x v="3"/>
    <n v="9"/>
    <x v="3"/>
    <x v="1"/>
    <x v="2"/>
    <n v="57411.937878612487"/>
    <n v="13"/>
    <n v="37153.059672288568"/>
    <n v="20258.87820632392"/>
  </r>
  <r>
    <s v="ORD102488"/>
    <d v="2025-09-01T00:00:00"/>
    <x v="3"/>
    <n v="9"/>
    <x v="0"/>
    <x v="0"/>
    <x v="3"/>
    <n v="70061.282114561909"/>
    <n v="82"/>
    <n v="34472.057505105658"/>
    <n v="35589.224609456251"/>
  </r>
  <r>
    <s v="ORD102489"/>
    <d v="2025-09-01T00:00:00"/>
    <x v="3"/>
    <n v="9"/>
    <x v="0"/>
    <x v="1"/>
    <x v="3"/>
    <n v="116189.1932375138"/>
    <n v="137"/>
    <n v="55882.372714466997"/>
    <n v="60306.82052304683"/>
  </r>
  <r>
    <s v="ORD102490"/>
    <d v="2025-09-01T00:00:00"/>
    <x v="3"/>
    <n v="9"/>
    <x v="1"/>
    <x v="0"/>
    <x v="3"/>
    <n v="56929.254086916168"/>
    <n v="67"/>
    <n v="27974.421912434718"/>
    <n v="28954.83217448146"/>
  </r>
  <r>
    <s v="ORD102491"/>
    <d v="2025-09-01T00:00:00"/>
    <x v="3"/>
    <n v="9"/>
    <x v="1"/>
    <x v="1"/>
    <x v="3"/>
    <n v="94525.919640539258"/>
    <n v="111"/>
    <n v="44263.2146101451"/>
    <n v="50262.705030394158"/>
  </r>
  <r>
    <s v="ORD102492"/>
    <d v="2025-09-01T00:00:00"/>
    <x v="3"/>
    <n v="9"/>
    <x v="2"/>
    <x v="0"/>
    <x v="3"/>
    <n v="39778.006646297174"/>
    <n v="47"/>
    <n v="18941.101526114209"/>
    <n v="20836.905120182961"/>
  </r>
  <r>
    <s v="ORD102493"/>
    <d v="2025-09-01T00:00:00"/>
    <x v="3"/>
    <n v="9"/>
    <x v="2"/>
    <x v="1"/>
    <x v="3"/>
    <n v="65796.684991839429"/>
    <n v="77"/>
    <n v="31418.358644352829"/>
    <n v="34378.326347486603"/>
  </r>
  <r>
    <s v="ORD102494"/>
    <d v="2025-09-01T00:00:00"/>
    <x v="3"/>
    <n v="9"/>
    <x v="3"/>
    <x v="0"/>
    <x v="3"/>
    <n v="30600.70666326549"/>
    <n v="36"/>
    <n v="14658.050819243859"/>
    <n v="15942.655844021619"/>
  </r>
  <r>
    <s v="ORD102495"/>
    <d v="2025-09-01T00:00:00"/>
    <x v="3"/>
    <n v="9"/>
    <x v="3"/>
    <x v="1"/>
    <x v="3"/>
    <n v="52457.000392067879"/>
    <n v="62"/>
    <n v="25217.474160240621"/>
    <n v="27239.526231827262"/>
  </r>
  <r>
    <s v="ORD102496"/>
    <d v="2025-09-01T00:00:00"/>
    <x v="3"/>
    <n v="9"/>
    <x v="0"/>
    <x v="0"/>
    <x v="4"/>
    <n v="63501.454016854033"/>
    <n v="88"/>
    <n v="35360.150828136473"/>
    <n v="28141.303188717571"/>
  </r>
  <r>
    <s v="ORD102497"/>
    <d v="2025-09-01T00:00:00"/>
    <x v="3"/>
    <n v="9"/>
    <x v="0"/>
    <x v="1"/>
    <x v="4"/>
    <n v="104802.569918478"/>
    <n v="146"/>
    <n v="57179.906147562877"/>
    <n v="47622.663770915147"/>
  </r>
  <r>
    <s v="ORD102498"/>
    <d v="2025-09-01T00:00:00"/>
    <x v="3"/>
    <n v="9"/>
    <x v="1"/>
    <x v="0"/>
    <x v="4"/>
    <n v="48367.188843256132"/>
    <n v="67"/>
    <n v="26668.52568868014"/>
    <n v="21698.663154575988"/>
  </r>
  <r>
    <s v="ORD102499"/>
    <d v="2025-09-01T00:00:00"/>
    <x v="3"/>
    <n v="9"/>
    <x v="1"/>
    <x v="1"/>
    <x v="4"/>
    <n v="78400.433815791024"/>
    <n v="109"/>
    <n v="43085.215822338418"/>
    <n v="35315.217993452599"/>
  </r>
  <r>
    <s v="ORD102500"/>
    <d v="2025-09-01T00:00:00"/>
    <x v="3"/>
    <n v="9"/>
    <x v="2"/>
    <x v="0"/>
    <x v="4"/>
    <n v="36224.050712469092"/>
    <n v="50"/>
    <n v="19591.187011814109"/>
    <n v="16632.86370065498"/>
  </r>
  <r>
    <s v="ORD102501"/>
    <d v="2025-09-01T00:00:00"/>
    <x v="3"/>
    <n v="9"/>
    <x v="2"/>
    <x v="1"/>
    <x v="4"/>
    <n v="57158.176995494519"/>
    <n v="79"/>
    <n v="31372.677238265209"/>
    <n v="25785.49975722931"/>
  </r>
  <r>
    <s v="ORD102502"/>
    <d v="2025-09-01T00:00:00"/>
    <x v="3"/>
    <n v="9"/>
    <x v="3"/>
    <x v="0"/>
    <x v="4"/>
    <n v="25892.559586373081"/>
    <n v="36"/>
    <n v="14204.08261441888"/>
    <n v="11688.4769719542"/>
  </r>
  <r>
    <s v="ORD102503"/>
    <d v="2025-09-01T00:00:00"/>
    <x v="3"/>
    <n v="9"/>
    <x v="3"/>
    <x v="1"/>
    <x v="4"/>
    <n v="40116.418434093823"/>
    <n v="56"/>
    <n v="21998.46797264371"/>
    <n v="18117.950461450098"/>
  </r>
  <r>
    <s v="ORD102504"/>
    <d v="2025-09-01T00:00:00"/>
    <x v="3"/>
    <n v="9"/>
    <x v="0"/>
    <x v="0"/>
    <x v="5"/>
    <n v="56265.079111352337"/>
    <n v="10"/>
    <n v="38845.098485179762"/>
    <n v="17419.980626172579"/>
  </r>
  <r>
    <s v="ORD102505"/>
    <d v="2025-09-01T00:00:00"/>
    <x v="3"/>
    <n v="9"/>
    <x v="0"/>
    <x v="1"/>
    <x v="5"/>
    <n v="87587.878206654466"/>
    <n v="16"/>
    <n v="60517.956776536783"/>
    <n v="27069.92143011768"/>
  </r>
  <r>
    <s v="ORD102506"/>
    <d v="2025-09-01T00:00:00"/>
    <x v="3"/>
    <n v="9"/>
    <x v="1"/>
    <x v="0"/>
    <x v="5"/>
    <n v="41697.423825976577"/>
    <n v="8"/>
    <n v="28547.34454628337"/>
    <n v="13150.079279693209"/>
  </r>
  <r>
    <s v="ORD102507"/>
    <d v="2025-09-01T00:00:00"/>
    <x v="3"/>
    <n v="9"/>
    <x v="1"/>
    <x v="1"/>
    <x v="5"/>
    <n v="70265.650155442359"/>
    <n v="13"/>
    <n v="49593.995960056913"/>
    <n v="20671.65419538545"/>
  </r>
  <r>
    <s v="ORD102508"/>
    <d v="2025-09-01T00:00:00"/>
    <x v="3"/>
    <n v="9"/>
    <x v="2"/>
    <x v="0"/>
    <x v="5"/>
    <n v="29726.018403580601"/>
    <n v="6"/>
    <n v="20079.18378485812"/>
    <n v="9646.8346187224815"/>
  </r>
  <r>
    <s v="ORD102509"/>
    <d v="2025-09-01T00:00:00"/>
    <x v="3"/>
    <n v="9"/>
    <x v="2"/>
    <x v="1"/>
    <x v="5"/>
    <n v="45908.421233916728"/>
    <n v="9"/>
    <n v="31265.72604639874"/>
    <n v="14642.69518751798"/>
  </r>
  <r>
    <s v="ORD102510"/>
    <d v="2025-09-01T00:00:00"/>
    <x v="3"/>
    <n v="9"/>
    <x v="3"/>
    <x v="0"/>
    <x v="5"/>
    <n v="22924.691430379331"/>
    <n v="4"/>
    <n v="16609.56130571245"/>
    <n v="6315.1301246668854"/>
  </r>
  <r>
    <s v="ORD102511"/>
    <d v="2025-09-01T00:00:00"/>
    <x v="3"/>
    <n v="9"/>
    <x v="3"/>
    <x v="1"/>
    <x v="5"/>
    <n v="38136.111881933422"/>
    <n v="7"/>
    <n v="25822.272064310411"/>
    <n v="12313.839817623009"/>
  </r>
  <r>
    <s v="ORD102512"/>
    <d v="2025-09-01T00:00:00"/>
    <x v="3"/>
    <n v="9"/>
    <x v="0"/>
    <x v="0"/>
    <x v="6"/>
    <n v="107594.8800850796"/>
    <n v="31"/>
    <n v="61934.101146725043"/>
    <n v="45660.778938354561"/>
  </r>
  <r>
    <s v="ORD102513"/>
    <d v="2025-09-01T00:00:00"/>
    <x v="3"/>
    <n v="9"/>
    <x v="0"/>
    <x v="1"/>
    <x v="6"/>
    <n v="178386.22233490431"/>
    <n v="51"/>
    <n v="106639.30922672839"/>
    <n v="71746.913108175897"/>
  </r>
  <r>
    <s v="ORD102514"/>
    <d v="2025-09-01T00:00:00"/>
    <x v="3"/>
    <n v="9"/>
    <x v="1"/>
    <x v="0"/>
    <x v="6"/>
    <n v="92191.577132166742"/>
    <n v="26"/>
    <n v="52359.375323627493"/>
    <n v="39832.201808539263"/>
  </r>
  <r>
    <s v="ORD102515"/>
    <d v="2025-09-01T00:00:00"/>
    <x v="3"/>
    <n v="9"/>
    <x v="1"/>
    <x v="1"/>
    <x v="6"/>
    <n v="156065.85715044889"/>
    <n v="45"/>
    <n v="91688.908175371529"/>
    <n v="64376.948975077386"/>
  </r>
  <r>
    <s v="ORD102516"/>
    <d v="2025-09-01T00:00:00"/>
    <x v="3"/>
    <n v="9"/>
    <x v="2"/>
    <x v="0"/>
    <x v="6"/>
    <n v="62164.843912003671"/>
    <n v="18"/>
    <n v="38093.911443729361"/>
    <n v="24070.93246827431"/>
  </r>
  <r>
    <s v="ORD102517"/>
    <d v="2025-09-01T00:00:00"/>
    <x v="3"/>
    <n v="9"/>
    <x v="2"/>
    <x v="1"/>
    <x v="6"/>
    <n v="103615.4529947463"/>
    <n v="30"/>
    <n v="59433.07578672099"/>
    <n v="44182.377208025267"/>
  </r>
  <r>
    <s v="ORD102518"/>
    <d v="2025-09-01T00:00:00"/>
    <x v="3"/>
    <n v="9"/>
    <x v="3"/>
    <x v="0"/>
    <x v="6"/>
    <n v="49632.498851310847"/>
    <n v="14"/>
    <n v="28238.48651461746"/>
    <n v="21394.012336693399"/>
  </r>
  <r>
    <s v="ORD102519"/>
    <d v="2025-09-01T00:00:00"/>
    <x v="3"/>
    <n v="9"/>
    <x v="3"/>
    <x v="1"/>
    <x v="6"/>
    <n v="80230.894869207681"/>
    <n v="23"/>
    <n v="46058.84747616035"/>
    <n v="34172.047393047331"/>
  </r>
  <r>
    <s v="ORD102520"/>
    <d v="2025-10-01T00:00:00"/>
    <x v="3"/>
    <n v="10"/>
    <x v="0"/>
    <x v="0"/>
    <x v="0"/>
    <n v="100724.0308576455"/>
    <n v="19"/>
    <n v="63458.727320959457"/>
    <n v="37265.303536686093"/>
  </r>
  <r>
    <s v="ORD102521"/>
    <d v="2025-10-01T00:00:00"/>
    <x v="3"/>
    <n v="10"/>
    <x v="0"/>
    <x v="1"/>
    <x v="0"/>
    <n v="156313.35206055181"/>
    <n v="30"/>
    <n v="98876.402910276651"/>
    <n v="57436.949150275192"/>
  </r>
  <r>
    <s v="ORD102522"/>
    <d v="2025-10-01T00:00:00"/>
    <x v="3"/>
    <n v="10"/>
    <x v="1"/>
    <x v="0"/>
    <x v="0"/>
    <n v="72181.779952958444"/>
    <n v="14"/>
    <n v="44339.78835010586"/>
    <n v="27841.99160285258"/>
  </r>
  <r>
    <s v="ORD102523"/>
    <d v="2025-10-01T00:00:00"/>
    <x v="3"/>
    <n v="10"/>
    <x v="1"/>
    <x v="1"/>
    <x v="0"/>
    <n v="119026.1831356028"/>
    <n v="23"/>
    <n v="74703.766582339376"/>
    <n v="44322.416553263378"/>
  </r>
  <r>
    <s v="ORD102524"/>
    <d v="2025-10-01T00:00:00"/>
    <x v="3"/>
    <n v="10"/>
    <x v="2"/>
    <x v="0"/>
    <x v="0"/>
    <n v="58118.293516189427"/>
    <n v="11"/>
    <n v="36935.061801841999"/>
    <n v="21183.231714347428"/>
  </r>
  <r>
    <s v="ORD102525"/>
    <d v="2025-10-01T00:00:00"/>
    <x v="3"/>
    <n v="10"/>
    <x v="2"/>
    <x v="1"/>
    <x v="0"/>
    <n v="85091.917702727267"/>
    <n v="16"/>
    <n v="54454.299247163573"/>
    <n v="30637.61845556369"/>
  </r>
  <r>
    <s v="ORD102526"/>
    <d v="2025-10-01T00:00:00"/>
    <x v="3"/>
    <n v="10"/>
    <x v="3"/>
    <x v="0"/>
    <x v="0"/>
    <n v="42180.32936795993"/>
    <n v="8"/>
    <n v="26035.84619136167"/>
    <n v="16144.48317659826"/>
  </r>
  <r>
    <s v="ORD102527"/>
    <d v="2025-10-01T00:00:00"/>
    <x v="3"/>
    <n v="10"/>
    <x v="3"/>
    <x v="1"/>
    <x v="0"/>
    <n v="65768.197687216219"/>
    <n v="13"/>
    <n v="39087.064266678353"/>
    <n v="26681.13342053787"/>
  </r>
  <r>
    <s v="ORD102528"/>
    <d v="2025-10-01T00:00:00"/>
    <x v="3"/>
    <n v="10"/>
    <x v="0"/>
    <x v="0"/>
    <x v="1"/>
    <n v="107795.9595648829"/>
    <n v="18"/>
    <n v="70094.102631025162"/>
    <n v="37701.856933857744"/>
  </r>
  <r>
    <s v="ORD102529"/>
    <d v="2025-10-01T00:00:00"/>
    <x v="3"/>
    <n v="10"/>
    <x v="0"/>
    <x v="1"/>
    <x v="1"/>
    <n v="164056.94716927421"/>
    <n v="27"/>
    <n v="107445.7452357908"/>
    <n v="56611.201933483448"/>
  </r>
  <r>
    <s v="ORD102530"/>
    <d v="2025-10-01T00:00:00"/>
    <x v="3"/>
    <n v="10"/>
    <x v="1"/>
    <x v="0"/>
    <x v="1"/>
    <n v="93610.488572729853"/>
    <n v="15"/>
    <n v="61494.958537375023"/>
    <n v="32115.53003535483"/>
  </r>
  <r>
    <s v="ORD102531"/>
    <d v="2025-10-01T00:00:00"/>
    <x v="3"/>
    <n v="10"/>
    <x v="1"/>
    <x v="1"/>
    <x v="1"/>
    <n v="144812.23015200719"/>
    <n v="24"/>
    <n v="95252.88435520143"/>
    <n v="49559.345796805763"/>
  </r>
  <r>
    <s v="ORD102532"/>
    <d v="2025-10-01T00:00:00"/>
    <x v="3"/>
    <n v="10"/>
    <x v="2"/>
    <x v="0"/>
    <x v="1"/>
    <n v="65662.910824150269"/>
    <n v="11"/>
    <n v="44210.343273261053"/>
    <n v="21452.56755088922"/>
  </r>
  <r>
    <s v="ORD102533"/>
    <d v="2025-10-01T00:00:00"/>
    <x v="3"/>
    <n v="10"/>
    <x v="2"/>
    <x v="1"/>
    <x v="1"/>
    <n v="119962.7613961399"/>
    <n v="20"/>
    <n v="80991.683886266444"/>
    <n v="38971.077509873488"/>
  </r>
  <r>
    <s v="ORD102534"/>
    <d v="2025-10-01T00:00:00"/>
    <x v="3"/>
    <n v="10"/>
    <x v="3"/>
    <x v="0"/>
    <x v="1"/>
    <n v="49408.73447936817"/>
    <n v="8"/>
    <n v="32508.996481934581"/>
    <n v="16899.737997433589"/>
  </r>
  <r>
    <s v="ORD102535"/>
    <d v="2025-10-01T00:00:00"/>
    <x v="3"/>
    <n v="10"/>
    <x v="3"/>
    <x v="1"/>
    <x v="1"/>
    <n v="80379.168483465008"/>
    <n v="13"/>
    <n v="54099.19937411994"/>
    <n v="26279.969109345071"/>
  </r>
  <r>
    <s v="ORD102536"/>
    <d v="2025-10-01T00:00:00"/>
    <x v="3"/>
    <n v="10"/>
    <x v="0"/>
    <x v="0"/>
    <x v="2"/>
    <n v="76258.394076590979"/>
    <n v="18"/>
    <n v="49119.576539236128"/>
    <n v="27138.817537354851"/>
  </r>
  <r>
    <s v="ORD102537"/>
    <d v="2025-10-01T00:00:00"/>
    <x v="3"/>
    <n v="10"/>
    <x v="0"/>
    <x v="1"/>
    <x v="2"/>
    <n v="125144.278776942"/>
    <n v="29"/>
    <n v="80185.334232994865"/>
    <n v="44958.944543947153"/>
  </r>
  <r>
    <s v="ORD102538"/>
    <d v="2025-10-01T00:00:00"/>
    <x v="3"/>
    <n v="10"/>
    <x v="1"/>
    <x v="0"/>
    <x v="2"/>
    <n v="62101.86181842535"/>
    <n v="14"/>
    <n v="40393.745445128923"/>
    <n v="21708.116373296431"/>
  </r>
  <r>
    <s v="ORD102539"/>
    <d v="2025-10-01T00:00:00"/>
    <x v="3"/>
    <n v="10"/>
    <x v="1"/>
    <x v="1"/>
    <x v="2"/>
    <n v="97157.10828652585"/>
    <n v="23"/>
    <n v="62261.417400235652"/>
    <n v="34895.690886290198"/>
  </r>
  <r>
    <s v="ORD102540"/>
    <d v="2025-10-01T00:00:00"/>
    <x v="3"/>
    <n v="10"/>
    <x v="2"/>
    <x v="0"/>
    <x v="2"/>
    <n v="42050.144705821091"/>
    <n v="10"/>
    <n v="27908.932701284481"/>
    <n v="14141.21200453661"/>
  </r>
  <r>
    <s v="ORD102541"/>
    <d v="2025-10-01T00:00:00"/>
    <x v="3"/>
    <n v="10"/>
    <x v="2"/>
    <x v="1"/>
    <x v="2"/>
    <n v="64067.767736060618"/>
    <n v="15"/>
    <n v="39941.736620981719"/>
    <n v="24126.031115078909"/>
  </r>
  <r>
    <s v="ORD102542"/>
    <d v="2025-10-01T00:00:00"/>
    <x v="3"/>
    <n v="10"/>
    <x v="3"/>
    <x v="0"/>
    <x v="2"/>
    <n v="30484.503260369671"/>
    <n v="7"/>
    <n v="19329.163609097821"/>
    <n v="11155.33965127185"/>
  </r>
  <r>
    <s v="ORD102543"/>
    <d v="2025-10-01T00:00:00"/>
    <x v="3"/>
    <n v="10"/>
    <x v="3"/>
    <x v="1"/>
    <x v="2"/>
    <n v="52342.801203308569"/>
    <n v="12"/>
    <n v="33423.103258123243"/>
    <n v="18919.697945185329"/>
  </r>
  <r>
    <s v="ORD102544"/>
    <d v="2025-10-01T00:00:00"/>
    <x v="3"/>
    <n v="10"/>
    <x v="0"/>
    <x v="0"/>
    <x v="3"/>
    <n v="71941.700372310006"/>
    <n v="85"/>
    <n v="34805.169552208899"/>
    <n v="37136.530820101107"/>
  </r>
  <r>
    <s v="ORD102545"/>
    <d v="2025-10-01T00:00:00"/>
    <x v="3"/>
    <n v="10"/>
    <x v="0"/>
    <x v="1"/>
    <x v="3"/>
    <n v="118900.29074755371"/>
    <n v="140"/>
    <n v="58374.713480576218"/>
    <n v="60525.577266977489"/>
  </r>
  <r>
    <s v="ORD102546"/>
    <d v="2025-10-01T00:00:00"/>
    <x v="3"/>
    <n v="10"/>
    <x v="1"/>
    <x v="0"/>
    <x v="3"/>
    <n v="55769.475327184482"/>
    <n v="66"/>
    <n v="26757.591749712748"/>
    <n v="29011.88357747173"/>
  </r>
  <r>
    <s v="ORD102547"/>
    <d v="2025-10-01T00:00:00"/>
    <x v="3"/>
    <n v="10"/>
    <x v="1"/>
    <x v="1"/>
    <x v="3"/>
    <n v="93332.553992240661"/>
    <n v="110"/>
    <n v="43652.749503507068"/>
    <n v="49679.804488733593"/>
  </r>
  <r>
    <s v="ORD102548"/>
    <d v="2025-10-01T00:00:00"/>
    <x v="3"/>
    <n v="10"/>
    <x v="2"/>
    <x v="0"/>
    <x v="3"/>
    <n v="41207.763716152593"/>
    <n v="48"/>
    <n v="20079.69108502131"/>
    <n v="21128.072631131279"/>
  </r>
  <r>
    <s v="ORD102549"/>
    <d v="2025-10-01T00:00:00"/>
    <x v="3"/>
    <n v="10"/>
    <x v="2"/>
    <x v="1"/>
    <x v="3"/>
    <n v="63041.100361440687"/>
    <n v="74"/>
    <n v="30670.935420313239"/>
    <n v="32370.164941127459"/>
  </r>
  <r>
    <s v="ORD102550"/>
    <d v="2025-10-01T00:00:00"/>
    <x v="3"/>
    <n v="10"/>
    <x v="3"/>
    <x v="0"/>
    <x v="3"/>
    <n v="31007.71589872754"/>
    <n v="36"/>
    <n v="14363.466753344719"/>
    <n v="16644.249145382819"/>
  </r>
  <r>
    <s v="ORD102551"/>
    <d v="2025-10-01T00:00:00"/>
    <x v="3"/>
    <n v="10"/>
    <x v="3"/>
    <x v="1"/>
    <x v="3"/>
    <n v="50086.502838173597"/>
    <n v="59"/>
    <n v="24039.875133426918"/>
    <n v="26046.62770474669"/>
  </r>
  <r>
    <s v="ORD102552"/>
    <d v="2025-10-01T00:00:00"/>
    <x v="3"/>
    <n v="10"/>
    <x v="0"/>
    <x v="0"/>
    <x v="4"/>
    <n v="63569.047387835999"/>
    <n v="88"/>
    <n v="33962.246429569634"/>
    <n v="29606.800958266369"/>
  </r>
  <r>
    <s v="ORD102553"/>
    <d v="2025-10-01T00:00:00"/>
    <x v="3"/>
    <n v="10"/>
    <x v="0"/>
    <x v="1"/>
    <x v="4"/>
    <n v="93609.643357934736"/>
    <n v="130"/>
    <n v="50869.348100137293"/>
    <n v="42740.295257797443"/>
  </r>
  <r>
    <s v="ORD102554"/>
    <d v="2025-10-01T00:00:00"/>
    <x v="3"/>
    <n v="10"/>
    <x v="1"/>
    <x v="0"/>
    <x v="4"/>
    <n v="48732.86460150835"/>
    <n v="68"/>
    <n v="26367.510525362359"/>
    <n v="22365.354076145999"/>
  </r>
  <r>
    <s v="ORD102555"/>
    <d v="2025-10-01T00:00:00"/>
    <x v="3"/>
    <n v="10"/>
    <x v="1"/>
    <x v="1"/>
    <x v="4"/>
    <n v="74275.540266491793"/>
    <n v="103"/>
    <n v="41446.622016107671"/>
    <n v="32828.918250384122"/>
  </r>
  <r>
    <s v="ORD102556"/>
    <d v="2025-10-01T00:00:00"/>
    <x v="3"/>
    <n v="10"/>
    <x v="2"/>
    <x v="0"/>
    <x v="4"/>
    <n v="33192.253472583121"/>
    <n v="46"/>
    <n v="18294.13019178898"/>
    <n v="14898.123280794151"/>
  </r>
  <r>
    <s v="ORD102557"/>
    <d v="2025-10-01T00:00:00"/>
    <x v="3"/>
    <n v="10"/>
    <x v="2"/>
    <x v="1"/>
    <x v="4"/>
    <n v="53237.538825638832"/>
    <n v="74"/>
    <n v="28603.073516016619"/>
    <n v="24634.465309622221"/>
  </r>
  <r>
    <s v="ORD102558"/>
    <d v="2025-10-01T00:00:00"/>
    <x v="3"/>
    <n v="10"/>
    <x v="3"/>
    <x v="0"/>
    <x v="4"/>
    <n v="25456.26572646181"/>
    <n v="35"/>
    <n v="14222.73776035158"/>
    <n v="11233.52796611023"/>
  </r>
  <r>
    <s v="ORD102559"/>
    <d v="2025-10-01T00:00:00"/>
    <x v="3"/>
    <n v="10"/>
    <x v="3"/>
    <x v="1"/>
    <x v="4"/>
    <n v="40020.42963082996"/>
    <n v="56"/>
    <n v="21443.15919865654"/>
    <n v="18577.27043217342"/>
  </r>
  <r>
    <s v="ORD102560"/>
    <d v="2025-10-01T00:00:00"/>
    <x v="3"/>
    <n v="10"/>
    <x v="0"/>
    <x v="0"/>
    <x v="5"/>
    <n v="56925.993890465892"/>
    <n v="11"/>
    <n v="39512.333115215741"/>
    <n v="17413.660775250151"/>
  </r>
  <r>
    <s v="ORD102561"/>
    <d v="2025-10-01T00:00:00"/>
    <x v="3"/>
    <n v="10"/>
    <x v="0"/>
    <x v="1"/>
    <x v="5"/>
    <n v="82369.151869648384"/>
    <n v="15"/>
    <n v="56001.961634002902"/>
    <n v="26367.190235645488"/>
  </r>
  <r>
    <s v="ORD102562"/>
    <d v="2025-10-01T00:00:00"/>
    <x v="3"/>
    <n v="10"/>
    <x v="1"/>
    <x v="0"/>
    <x v="5"/>
    <n v="45859.611847223649"/>
    <n v="8"/>
    <n v="31434.851145981182"/>
    <n v="14424.760701242471"/>
  </r>
  <r>
    <s v="ORD102563"/>
    <d v="2025-10-01T00:00:00"/>
    <x v="3"/>
    <n v="10"/>
    <x v="1"/>
    <x v="1"/>
    <x v="5"/>
    <n v="69354.740353230751"/>
    <n v="13"/>
    <n v="48289.142543359529"/>
    <n v="21065.597809871218"/>
  </r>
  <r>
    <s v="ORD102564"/>
    <d v="2025-10-01T00:00:00"/>
    <x v="3"/>
    <n v="10"/>
    <x v="2"/>
    <x v="0"/>
    <x v="5"/>
    <n v="28091.781519474731"/>
    <n v="5"/>
    <n v="19565.26290542823"/>
    <n v="8526.5186140464939"/>
  </r>
  <r>
    <s v="ORD102565"/>
    <d v="2025-10-01T00:00:00"/>
    <x v="3"/>
    <n v="10"/>
    <x v="2"/>
    <x v="1"/>
    <x v="5"/>
    <n v="47492.560729925201"/>
    <n v="9"/>
    <n v="33558.488278353398"/>
    <n v="13934.072451571799"/>
  </r>
  <r>
    <s v="ORD102566"/>
    <d v="2025-10-01T00:00:00"/>
    <x v="3"/>
    <n v="10"/>
    <x v="3"/>
    <x v="0"/>
    <x v="5"/>
    <n v="23702.447779673181"/>
    <n v="4"/>
    <n v="16330.474761831851"/>
    <n v="7371.9730178413392"/>
  </r>
  <r>
    <s v="ORD102567"/>
    <d v="2025-10-01T00:00:00"/>
    <x v="3"/>
    <n v="10"/>
    <x v="3"/>
    <x v="1"/>
    <x v="5"/>
    <n v="35830.394924622902"/>
    <n v="7"/>
    <n v="24859.347270616301"/>
    <n v="10971.047654006599"/>
  </r>
  <r>
    <s v="ORD102568"/>
    <d v="2025-10-01T00:00:00"/>
    <x v="3"/>
    <n v="10"/>
    <x v="0"/>
    <x v="0"/>
    <x v="6"/>
    <n v="113355.18911341031"/>
    <n v="32"/>
    <n v="66352.599333163525"/>
    <n v="47002.589780246773"/>
  </r>
  <r>
    <s v="ORD102569"/>
    <d v="2025-10-01T00:00:00"/>
    <x v="3"/>
    <n v="10"/>
    <x v="0"/>
    <x v="1"/>
    <x v="6"/>
    <n v="183730.84886470251"/>
    <n v="52"/>
    <n v="108756.303422849"/>
    <n v="74974.545441853435"/>
  </r>
  <r>
    <s v="ORD102570"/>
    <d v="2025-10-01T00:00:00"/>
    <x v="3"/>
    <n v="10"/>
    <x v="1"/>
    <x v="0"/>
    <x v="6"/>
    <n v="87369.773654875535"/>
    <n v="25"/>
    <n v="51955.951055620542"/>
    <n v="35413.822599255"/>
  </r>
  <r>
    <s v="ORD102571"/>
    <d v="2025-10-01T00:00:00"/>
    <x v="3"/>
    <n v="10"/>
    <x v="1"/>
    <x v="1"/>
    <x v="6"/>
    <n v="143088.66222390789"/>
    <n v="41"/>
    <n v="84272.91891132429"/>
    <n v="58815.743312583567"/>
  </r>
  <r>
    <s v="ORD102572"/>
    <d v="2025-10-01T00:00:00"/>
    <x v="3"/>
    <n v="10"/>
    <x v="2"/>
    <x v="0"/>
    <x v="6"/>
    <n v="65958.92763633898"/>
    <n v="19"/>
    <n v="37652.269291351673"/>
    <n v="28306.658344987311"/>
  </r>
  <r>
    <s v="ORD102573"/>
    <d v="2025-10-01T00:00:00"/>
    <x v="3"/>
    <n v="10"/>
    <x v="2"/>
    <x v="1"/>
    <x v="6"/>
    <n v="108534.4038678997"/>
    <n v="31"/>
    <n v="64417.363360991512"/>
    <n v="44117.04050690819"/>
  </r>
  <r>
    <s v="ORD102574"/>
    <d v="2025-10-01T00:00:00"/>
    <x v="3"/>
    <n v="10"/>
    <x v="3"/>
    <x v="0"/>
    <x v="6"/>
    <n v="49408.694507356413"/>
    <n v="14"/>
    <n v="29342.422580109909"/>
    <n v="20066.2719272465"/>
  </r>
  <r>
    <s v="ORD102575"/>
    <d v="2025-10-01T00:00:00"/>
    <x v="3"/>
    <n v="10"/>
    <x v="3"/>
    <x v="1"/>
    <x v="6"/>
    <n v="79885.222110543313"/>
    <n v="23"/>
    <n v="46555.234751179312"/>
    <n v="33329.987359364008"/>
  </r>
  <r>
    <s v="ORD102576"/>
    <d v="2025-11-01T00:00:00"/>
    <x v="3"/>
    <n v="11"/>
    <x v="0"/>
    <x v="0"/>
    <x v="0"/>
    <n v="119505.9996624036"/>
    <n v="23"/>
    <n v="72380.749553926304"/>
    <n v="47125.25010847731"/>
  </r>
  <r>
    <s v="ORD102577"/>
    <d v="2025-11-01T00:00:00"/>
    <x v="3"/>
    <n v="11"/>
    <x v="0"/>
    <x v="1"/>
    <x v="0"/>
    <n v="231844.8353435387"/>
    <n v="45"/>
    <n v="147562.4704513668"/>
    <n v="84282.364892171929"/>
  </r>
  <r>
    <s v="ORD102578"/>
    <d v="2025-11-01T00:00:00"/>
    <x v="3"/>
    <n v="11"/>
    <x v="1"/>
    <x v="0"/>
    <x v="0"/>
    <n v="101076.4412935557"/>
    <n v="19"/>
    <n v="63221.750568777381"/>
    <n v="37854.690724778317"/>
  </r>
  <r>
    <s v="ORD102579"/>
    <d v="2025-11-01T00:00:00"/>
    <x v="3"/>
    <n v="11"/>
    <x v="1"/>
    <x v="1"/>
    <x v="0"/>
    <n v="179268.6741329174"/>
    <n v="34"/>
    <n v="110688.2696544739"/>
    <n v="68580.40447844351"/>
  </r>
  <r>
    <s v="ORD102580"/>
    <d v="2025-11-01T00:00:00"/>
    <x v="3"/>
    <n v="11"/>
    <x v="2"/>
    <x v="0"/>
    <x v="0"/>
    <n v="80454.433602859033"/>
    <n v="15"/>
    <n v="48860.839437300347"/>
    <n v="31593.59416555869"/>
  </r>
  <r>
    <s v="ORD102581"/>
    <d v="2025-11-01T00:00:00"/>
    <x v="3"/>
    <n v="11"/>
    <x v="2"/>
    <x v="1"/>
    <x v="0"/>
    <n v="122374.7107610563"/>
    <n v="24"/>
    <n v="74749.966704347229"/>
    <n v="47624.744056709053"/>
  </r>
  <r>
    <s v="ORD102582"/>
    <d v="2025-11-01T00:00:00"/>
    <x v="3"/>
    <n v="11"/>
    <x v="3"/>
    <x v="0"/>
    <x v="0"/>
    <n v="60497.300405409973"/>
    <n v="12"/>
    <n v="38387.769991695874"/>
    <n v="22109.530413714088"/>
  </r>
  <r>
    <s v="ORD102583"/>
    <d v="2025-11-01T00:00:00"/>
    <x v="3"/>
    <n v="11"/>
    <x v="3"/>
    <x v="1"/>
    <x v="0"/>
    <n v="87847.626948653458"/>
    <n v="17"/>
    <n v="54600.489655227808"/>
    <n v="33247.137293425651"/>
  </r>
  <r>
    <s v="ORD102584"/>
    <d v="2025-11-01T00:00:00"/>
    <x v="3"/>
    <n v="11"/>
    <x v="0"/>
    <x v="0"/>
    <x v="1"/>
    <n v="157354.5300442373"/>
    <n v="26"/>
    <n v="102824.73788338179"/>
    <n v="54529.792160855497"/>
  </r>
  <r>
    <s v="ORD102585"/>
    <d v="2025-11-01T00:00:00"/>
    <x v="3"/>
    <n v="11"/>
    <x v="0"/>
    <x v="1"/>
    <x v="1"/>
    <n v="237034.6543287918"/>
    <n v="39"/>
    <n v="157878.1423045753"/>
    <n v="79156.512024216529"/>
  </r>
  <r>
    <s v="ORD102586"/>
    <d v="2025-11-01T00:00:00"/>
    <x v="3"/>
    <n v="11"/>
    <x v="1"/>
    <x v="0"/>
    <x v="1"/>
    <n v="119369.3935454397"/>
    <n v="20"/>
    <n v="77628.894833239319"/>
    <n v="41740.49871220038"/>
  </r>
  <r>
    <s v="ORD102587"/>
    <d v="2025-11-01T00:00:00"/>
    <x v="3"/>
    <n v="11"/>
    <x v="1"/>
    <x v="1"/>
    <x v="1"/>
    <n v="177544.06107753841"/>
    <n v="29"/>
    <n v="120344.6936188098"/>
    <n v="57199.367458728579"/>
  </r>
  <r>
    <s v="ORD102588"/>
    <d v="2025-11-01T00:00:00"/>
    <x v="3"/>
    <n v="11"/>
    <x v="2"/>
    <x v="0"/>
    <x v="1"/>
    <n v="73961.008212093991"/>
    <n v="12"/>
    <n v="50002.912778655387"/>
    <n v="23958.095433438601"/>
  </r>
  <r>
    <s v="ORD102589"/>
    <d v="2025-11-01T00:00:00"/>
    <x v="3"/>
    <n v="11"/>
    <x v="2"/>
    <x v="1"/>
    <x v="1"/>
    <n v="124521.54597825911"/>
    <n v="20"/>
    <n v="81494.009872695649"/>
    <n v="43027.536105563442"/>
  </r>
  <r>
    <s v="ORD102590"/>
    <d v="2025-11-01T00:00:00"/>
    <x v="3"/>
    <n v="11"/>
    <x v="3"/>
    <x v="0"/>
    <x v="1"/>
    <n v="57147.828339478023"/>
    <n v="9"/>
    <n v="37290.752288465141"/>
    <n v="19857.076051012878"/>
  </r>
  <r>
    <s v="ORD102591"/>
    <d v="2025-11-01T00:00:00"/>
    <x v="3"/>
    <n v="11"/>
    <x v="3"/>
    <x v="1"/>
    <x v="1"/>
    <n v="94411.657852988952"/>
    <n v="15"/>
    <n v="59375.168509243071"/>
    <n v="35036.489343745881"/>
  </r>
  <r>
    <s v="ORD102592"/>
    <d v="2025-11-01T00:00:00"/>
    <x v="3"/>
    <n v="11"/>
    <x v="0"/>
    <x v="0"/>
    <x v="2"/>
    <n v="100785.698385686"/>
    <n v="23"/>
    <n v="62782.655766864053"/>
    <n v="38003.042618821957"/>
  </r>
  <r>
    <s v="ORD102593"/>
    <d v="2025-11-01T00:00:00"/>
    <x v="3"/>
    <n v="11"/>
    <x v="0"/>
    <x v="1"/>
    <x v="2"/>
    <n v="163662.35753601449"/>
    <n v="38"/>
    <n v="102218.48542342"/>
    <n v="61443.872112594523"/>
  </r>
  <r>
    <s v="ORD102594"/>
    <d v="2025-11-01T00:00:00"/>
    <x v="3"/>
    <n v="11"/>
    <x v="1"/>
    <x v="0"/>
    <x v="2"/>
    <n v="77849.921779418306"/>
    <n v="18"/>
    <n v="49945.19284089595"/>
    <n v="27904.728938522359"/>
  </r>
  <r>
    <s v="ORD102595"/>
    <d v="2025-11-01T00:00:00"/>
    <x v="3"/>
    <n v="11"/>
    <x v="1"/>
    <x v="1"/>
    <x v="2"/>
    <n v="128953.13768175431"/>
    <n v="30"/>
    <n v="82045.374851366199"/>
    <n v="46907.762830388077"/>
  </r>
  <r>
    <s v="ORD102596"/>
    <d v="2025-11-01T00:00:00"/>
    <x v="3"/>
    <n v="11"/>
    <x v="2"/>
    <x v="0"/>
    <x v="2"/>
    <n v="51318.643361364113"/>
    <n v="12"/>
    <n v="32048.581826510861"/>
    <n v="19270.061534853248"/>
  </r>
  <r>
    <s v="ORD102597"/>
    <d v="2025-11-01T00:00:00"/>
    <x v="3"/>
    <n v="11"/>
    <x v="2"/>
    <x v="1"/>
    <x v="2"/>
    <n v="80588.643289496773"/>
    <n v="19"/>
    <n v="51315.704302377351"/>
    <n v="29272.938987119422"/>
  </r>
  <r>
    <s v="ORD102598"/>
    <d v="2025-11-01T00:00:00"/>
    <x v="3"/>
    <n v="11"/>
    <x v="3"/>
    <x v="0"/>
    <x v="2"/>
    <n v="37856.232960948983"/>
    <n v="9"/>
    <n v="24448.368547252379"/>
    <n v="13407.86441369659"/>
  </r>
  <r>
    <s v="ORD102599"/>
    <d v="2025-11-01T00:00:00"/>
    <x v="3"/>
    <n v="11"/>
    <x v="3"/>
    <x v="1"/>
    <x v="2"/>
    <n v="60735.283874377397"/>
    <n v="14"/>
    <n v="39239.895285764367"/>
    <n v="21495.38858861303"/>
  </r>
  <r>
    <s v="ORD102600"/>
    <d v="2025-11-01T00:00:00"/>
    <x v="3"/>
    <n v="11"/>
    <x v="0"/>
    <x v="0"/>
    <x v="3"/>
    <n v="99014.840071040162"/>
    <n v="116"/>
    <n v="45901.977690333631"/>
    <n v="53112.862380706531"/>
  </r>
  <r>
    <s v="ORD102601"/>
    <d v="2025-11-01T00:00:00"/>
    <x v="3"/>
    <n v="11"/>
    <x v="0"/>
    <x v="1"/>
    <x v="3"/>
    <n v="149347.7921427961"/>
    <n v="176"/>
    <n v="71521.433532281022"/>
    <n v="77826.358610515046"/>
  </r>
  <r>
    <s v="ORD102602"/>
    <d v="2025-11-01T00:00:00"/>
    <x v="3"/>
    <n v="11"/>
    <x v="1"/>
    <x v="0"/>
    <x v="3"/>
    <n v="75843.247841149365"/>
    <n v="89"/>
    <n v="35498.275587844837"/>
    <n v="40344.972253304521"/>
  </r>
  <r>
    <s v="ORD102603"/>
    <d v="2025-11-01T00:00:00"/>
    <x v="3"/>
    <n v="11"/>
    <x v="1"/>
    <x v="1"/>
    <x v="3"/>
    <n v="111908.197639998"/>
    <n v="132"/>
    <n v="54587.804466541507"/>
    <n v="57320.393173456483"/>
  </r>
  <r>
    <s v="ORD102604"/>
    <d v="2025-11-01T00:00:00"/>
    <x v="3"/>
    <n v="11"/>
    <x v="2"/>
    <x v="0"/>
    <x v="3"/>
    <n v="49216.738158383137"/>
    <n v="58"/>
    <n v="23957.478949300908"/>
    <n v="25259.25920908224"/>
  </r>
  <r>
    <s v="ORD102605"/>
    <d v="2025-11-01T00:00:00"/>
    <x v="3"/>
    <n v="11"/>
    <x v="2"/>
    <x v="1"/>
    <x v="3"/>
    <n v="75968.213941847906"/>
    <n v="89"/>
    <n v="35875.308720795612"/>
    <n v="40092.905221052293"/>
  </r>
  <r>
    <s v="ORD102606"/>
    <d v="2025-11-01T00:00:00"/>
    <x v="3"/>
    <n v="11"/>
    <x v="3"/>
    <x v="0"/>
    <x v="3"/>
    <n v="37896.919999762227"/>
    <n v="45"/>
    <n v="17939.69588747231"/>
    <n v="19957.224112289921"/>
  </r>
  <r>
    <s v="ORD102607"/>
    <d v="2025-11-01T00:00:00"/>
    <x v="3"/>
    <n v="11"/>
    <x v="3"/>
    <x v="1"/>
    <x v="3"/>
    <n v="59534.411374919211"/>
    <n v="70"/>
    <n v="28339.252153360361"/>
    <n v="31195.15922155885"/>
  </r>
  <r>
    <s v="ORD102608"/>
    <d v="2025-11-01T00:00:00"/>
    <x v="3"/>
    <n v="11"/>
    <x v="0"/>
    <x v="0"/>
    <x v="4"/>
    <n v="82552.495342296985"/>
    <n v="115"/>
    <n v="43562.732647628749"/>
    <n v="38989.762694668243"/>
  </r>
  <r>
    <s v="ORD102609"/>
    <d v="2025-11-01T00:00:00"/>
    <x v="3"/>
    <n v="11"/>
    <x v="0"/>
    <x v="1"/>
    <x v="4"/>
    <n v="129484.3732858407"/>
    <n v="180"/>
    <n v="71647.081328193643"/>
    <n v="57837.291957647103"/>
  </r>
  <r>
    <s v="ORD102610"/>
    <d v="2025-11-01T00:00:00"/>
    <x v="3"/>
    <n v="11"/>
    <x v="1"/>
    <x v="0"/>
    <x v="4"/>
    <n v="58144.012780076228"/>
    <n v="81"/>
    <n v="31822.150688827129"/>
    <n v="26321.86209124911"/>
  </r>
  <r>
    <s v="ORD102611"/>
    <d v="2025-11-01T00:00:00"/>
    <x v="3"/>
    <n v="11"/>
    <x v="1"/>
    <x v="1"/>
    <x v="4"/>
    <n v="98747.842941350711"/>
    <n v="137"/>
    <n v="55259.760314865227"/>
    <n v="43488.082626485477"/>
  </r>
  <r>
    <s v="ORD102612"/>
    <d v="2025-11-01T00:00:00"/>
    <x v="3"/>
    <n v="11"/>
    <x v="2"/>
    <x v="0"/>
    <x v="4"/>
    <n v="44188.946531324873"/>
    <n v="61"/>
    <n v="23823.398884828272"/>
    <n v="20365.547646496601"/>
  </r>
  <r>
    <s v="ORD102613"/>
    <d v="2025-11-01T00:00:00"/>
    <x v="3"/>
    <n v="11"/>
    <x v="2"/>
    <x v="1"/>
    <x v="4"/>
    <n v="70171.507817082544"/>
    <n v="97"/>
    <n v="38164.225870447131"/>
    <n v="32007.281946635409"/>
  </r>
  <r>
    <s v="ORD102614"/>
    <d v="2025-11-01T00:00:00"/>
    <x v="3"/>
    <n v="11"/>
    <x v="3"/>
    <x v="0"/>
    <x v="4"/>
    <n v="34845.013880191029"/>
    <n v="48"/>
    <n v="18645.058188185481"/>
    <n v="16199.955692005549"/>
  </r>
  <r>
    <s v="ORD102615"/>
    <d v="2025-11-01T00:00:00"/>
    <x v="3"/>
    <n v="11"/>
    <x v="3"/>
    <x v="1"/>
    <x v="4"/>
    <n v="47887.820355474607"/>
    <n v="67"/>
    <n v="25862.177663226859"/>
    <n v="22025.642692247751"/>
  </r>
  <r>
    <s v="ORD102616"/>
    <d v="2025-11-01T00:00:00"/>
    <x v="3"/>
    <n v="11"/>
    <x v="0"/>
    <x v="0"/>
    <x v="5"/>
    <n v="73782.898495431975"/>
    <n v="14"/>
    <n v="49827.051045967593"/>
    <n v="23955.847449464389"/>
  </r>
  <r>
    <s v="ORD102617"/>
    <d v="2025-11-01T00:00:00"/>
    <x v="3"/>
    <n v="11"/>
    <x v="0"/>
    <x v="1"/>
    <x v="5"/>
    <n v="117324.6254073913"/>
    <n v="22"/>
    <n v="82405.296336825588"/>
    <n v="34919.329070565698"/>
  </r>
  <r>
    <s v="ORD102618"/>
    <d v="2025-11-01T00:00:00"/>
    <x v="3"/>
    <n v="11"/>
    <x v="1"/>
    <x v="0"/>
    <x v="5"/>
    <n v="55478.635899600042"/>
    <n v="10"/>
    <n v="37799.12517404533"/>
    <n v="17679.510725554708"/>
  </r>
  <r>
    <s v="ORD102619"/>
    <d v="2025-11-01T00:00:00"/>
    <x v="3"/>
    <n v="11"/>
    <x v="1"/>
    <x v="1"/>
    <x v="5"/>
    <n v="94171.916706299453"/>
    <n v="17"/>
    <n v="65123.860296376333"/>
    <n v="29048.05640992312"/>
  </r>
  <r>
    <s v="ORD102620"/>
    <d v="2025-11-01T00:00:00"/>
    <x v="3"/>
    <n v="11"/>
    <x v="2"/>
    <x v="0"/>
    <x v="5"/>
    <n v="40543.798137000282"/>
    <n v="8"/>
    <n v="27783.485789795301"/>
    <n v="12760.312347204979"/>
  </r>
  <r>
    <s v="ORD102621"/>
    <d v="2025-11-01T00:00:00"/>
    <x v="3"/>
    <n v="11"/>
    <x v="2"/>
    <x v="1"/>
    <x v="5"/>
    <n v="63717.742082579971"/>
    <n v="12"/>
    <n v="42960.61977877991"/>
    <n v="20757.122303800061"/>
  </r>
  <r>
    <s v="ORD102622"/>
    <d v="2025-11-01T00:00:00"/>
    <x v="3"/>
    <n v="11"/>
    <x v="3"/>
    <x v="0"/>
    <x v="5"/>
    <n v="29093.12384209612"/>
    <n v="5"/>
    <n v="20013.442348675519"/>
    <n v="9079.6814934206013"/>
  </r>
  <r>
    <s v="ORD102623"/>
    <d v="2025-11-01T00:00:00"/>
    <x v="3"/>
    <n v="11"/>
    <x v="3"/>
    <x v="1"/>
    <x v="5"/>
    <n v="45502.210748157879"/>
    <n v="8"/>
    <n v="31735.10114997339"/>
    <n v="13767.10959818449"/>
  </r>
  <r>
    <s v="ORD102624"/>
    <d v="2025-11-01T00:00:00"/>
    <x v="3"/>
    <n v="11"/>
    <x v="0"/>
    <x v="0"/>
    <x v="6"/>
    <n v="131680.99005351239"/>
    <n v="38"/>
    <n v="76002.790455421899"/>
    <n v="55678.19959809049"/>
  </r>
  <r>
    <s v="ORD102625"/>
    <d v="2025-11-01T00:00:00"/>
    <x v="3"/>
    <n v="11"/>
    <x v="0"/>
    <x v="1"/>
    <x v="6"/>
    <n v="222210.52791007329"/>
    <n v="63"/>
    <n v="133013.61716644309"/>
    <n v="89196.910743630258"/>
  </r>
  <r>
    <s v="ORD102626"/>
    <d v="2025-11-01T00:00:00"/>
    <x v="3"/>
    <n v="11"/>
    <x v="1"/>
    <x v="0"/>
    <x v="6"/>
    <n v="124430.5715482792"/>
    <n v="36"/>
    <n v="72291.171233176821"/>
    <n v="52139.400315102379"/>
  </r>
  <r>
    <s v="ORD102627"/>
    <d v="2025-11-01T00:00:00"/>
    <x v="3"/>
    <n v="11"/>
    <x v="1"/>
    <x v="1"/>
    <x v="6"/>
    <n v="176624.25771783671"/>
    <n v="50"/>
    <n v="103302.35513919299"/>
    <n v="73321.902578643669"/>
  </r>
  <r>
    <s v="ORD102628"/>
    <d v="2025-11-01T00:00:00"/>
    <x v="3"/>
    <n v="11"/>
    <x v="2"/>
    <x v="0"/>
    <x v="6"/>
    <n v="78386.890225283627"/>
    <n v="22"/>
    <n v="46690.042361814179"/>
    <n v="31696.847863469451"/>
  </r>
  <r>
    <s v="ORD102629"/>
    <d v="2025-11-01T00:00:00"/>
    <x v="3"/>
    <n v="11"/>
    <x v="2"/>
    <x v="1"/>
    <x v="6"/>
    <n v="136390.67448150809"/>
    <n v="39"/>
    <n v="79509.531261429598"/>
    <n v="56881.143220078491"/>
  </r>
  <r>
    <s v="ORD102630"/>
    <d v="2025-11-01T00:00:00"/>
    <x v="3"/>
    <n v="11"/>
    <x v="3"/>
    <x v="0"/>
    <x v="6"/>
    <n v="58137.264382651279"/>
    <n v="17"/>
    <n v="34324.1853707872"/>
    <n v="23813.07901186408"/>
  </r>
  <r>
    <s v="ORD102631"/>
    <d v="2025-11-01T00:00:00"/>
    <x v="3"/>
    <n v="11"/>
    <x v="3"/>
    <x v="1"/>
    <x v="6"/>
    <n v="102555.9378920919"/>
    <n v="29"/>
    <n v="60165.259709292914"/>
    <n v="42390.678182798983"/>
  </r>
  <r>
    <s v="ORD102632"/>
    <d v="2025-12-01T00:00:00"/>
    <x v="3"/>
    <n v="12"/>
    <x v="0"/>
    <x v="0"/>
    <x v="0"/>
    <n v="155679.81813844389"/>
    <n v="30"/>
    <n v="96746.249509198693"/>
    <n v="58933.568629245201"/>
  </r>
  <r>
    <s v="ORD102633"/>
    <d v="2025-12-01T00:00:00"/>
    <x v="3"/>
    <n v="12"/>
    <x v="0"/>
    <x v="1"/>
    <x v="0"/>
    <n v="228822.1230793327"/>
    <n v="44"/>
    <n v="135790.13024206381"/>
    <n v="93031.992837268917"/>
  </r>
  <r>
    <s v="ORD102634"/>
    <d v="2025-12-01T00:00:00"/>
    <x v="3"/>
    <n v="12"/>
    <x v="1"/>
    <x v="0"/>
    <x v="0"/>
    <n v="108032.1275791043"/>
    <n v="21"/>
    <n v="64773.984179771331"/>
    <n v="43258.143399332999"/>
  </r>
  <r>
    <s v="ORD102635"/>
    <d v="2025-12-01T00:00:00"/>
    <x v="3"/>
    <n v="12"/>
    <x v="1"/>
    <x v="1"/>
    <x v="0"/>
    <n v="188724.19007884551"/>
    <n v="36"/>
    <n v="118306.3241264235"/>
    <n v="70417.865952421955"/>
  </r>
  <r>
    <s v="ORD102636"/>
    <d v="2025-12-01T00:00:00"/>
    <x v="3"/>
    <n v="12"/>
    <x v="2"/>
    <x v="0"/>
    <x v="0"/>
    <n v="84095.64567375445"/>
    <n v="16"/>
    <n v="53112.702748003532"/>
    <n v="30982.942925750918"/>
  </r>
  <r>
    <s v="ORD102637"/>
    <d v="2025-12-01T00:00:00"/>
    <x v="3"/>
    <n v="12"/>
    <x v="2"/>
    <x v="1"/>
    <x v="0"/>
    <n v="125841.3257699884"/>
    <n v="24"/>
    <n v="76742.944288222003"/>
    <n v="49098.381481766439"/>
  </r>
  <r>
    <s v="ORD102638"/>
    <d v="2025-12-01T00:00:00"/>
    <x v="3"/>
    <n v="12"/>
    <x v="3"/>
    <x v="0"/>
    <x v="0"/>
    <n v="52127.230868965511"/>
    <n v="10"/>
    <n v="32176.92211042409"/>
    <n v="19950.308758541421"/>
  </r>
  <r>
    <s v="ORD102639"/>
    <d v="2025-12-01T00:00:00"/>
    <x v="3"/>
    <n v="12"/>
    <x v="3"/>
    <x v="1"/>
    <x v="0"/>
    <n v="100061.2138130447"/>
    <n v="19"/>
    <n v="62367.06058665071"/>
    <n v="37694.153226394017"/>
  </r>
  <r>
    <s v="ORD102640"/>
    <d v="2025-12-01T00:00:00"/>
    <x v="3"/>
    <n v="12"/>
    <x v="0"/>
    <x v="0"/>
    <x v="1"/>
    <n v="167355.70838638471"/>
    <n v="27"/>
    <n v="111833.0129377769"/>
    <n v="55522.69544860773"/>
  </r>
  <r>
    <s v="ORD102641"/>
    <d v="2025-12-01T00:00:00"/>
    <x v="3"/>
    <n v="12"/>
    <x v="0"/>
    <x v="1"/>
    <x v="1"/>
    <n v="247914.95645620511"/>
    <n v="41"/>
    <n v="157651.89597363479"/>
    <n v="90263.06048257029"/>
  </r>
  <r>
    <s v="ORD102642"/>
    <d v="2025-12-01T00:00:00"/>
    <x v="3"/>
    <n v="12"/>
    <x v="1"/>
    <x v="0"/>
    <x v="1"/>
    <n v="122310.839738152"/>
    <n v="20"/>
    <n v="79437.690986581554"/>
    <n v="42873.148751570421"/>
  </r>
  <r>
    <s v="ORD102643"/>
    <d v="2025-12-01T00:00:00"/>
    <x v="3"/>
    <n v="12"/>
    <x v="1"/>
    <x v="1"/>
    <x v="1"/>
    <n v="200555.0670327433"/>
    <n v="33"/>
    <n v="131573.94254135489"/>
    <n v="68981.124491388415"/>
  </r>
  <r>
    <s v="ORD102644"/>
    <d v="2025-12-01T00:00:00"/>
    <x v="3"/>
    <n v="12"/>
    <x v="2"/>
    <x v="0"/>
    <x v="1"/>
    <n v="84054.097026231611"/>
    <n v="14"/>
    <n v="56177.833591927752"/>
    <n v="27876.26343430387"/>
  </r>
  <r>
    <s v="ORD102645"/>
    <d v="2025-12-01T00:00:00"/>
    <x v="3"/>
    <n v="12"/>
    <x v="2"/>
    <x v="1"/>
    <x v="1"/>
    <n v="151421.97713851539"/>
    <n v="25"/>
    <n v="104432.9142404485"/>
    <n v="46989.06289806687"/>
  </r>
  <r>
    <s v="ORD102646"/>
    <d v="2025-12-01T00:00:00"/>
    <x v="3"/>
    <n v="12"/>
    <x v="3"/>
    <x v="0"/>
    <x v="1"/>
    <n v="64943.858957778422"/>
    <n v="11"/>
    <n v="42687.032959583412"/>
    <n v="22256.825998195"/>
  </r>
  <r>
    <s v="ORD102647"/>
    <d v="2025-12-01T00:00:00"/>
    <x v="3"/>
    <n v="12"/>
    <x v="3"/>
    <x v="1"/>
    <x v="1"/>
    <n v="102499.2100027195"/>
    <n v="17"/>
    <n v="65936.21535091025"/>
    <n v="36562.994651809247"/>
  </r>
  <r>
    <s v="ORD102648"/>
    <d v="2025-12-01T00:00:00"/>
    <x v="3"/>
    <n v="12"/>
    <x v="0"/>
    <x v="0"/>
    <x v="2"/>
    <n v="107948.0029915081"/>
    <n v="25"/>
    <n v="69586.966804690019"/>
    <n v="38361.036186818077"/>
  </r>
  <r>
    <s v="ORD102649"/>
    <d v="2025-12-01T00:00:00"/>
    <x v="3"/>
    <n v="12"/>
    <x v="0"/>
    <x v="1"/>
    <x v="2"/>
    <n v="172060.6885725171"/>
    <n v="40"/>
    <n v="112737.2381345363"/>
    <n v="59323.450437980791"/>
  </r>
  <r>
    <s v="ORD102650"/>
    <d v="2025-12-01T00:00:00"/>
    <x v="3"/>
    <n v="12"/>
    <x v="1"/>
    <x v="0"/>
    <x v="2"/>
    <n v="78648.591772426225"/>
    <n v="18"/>
    <n v="50432.96296034853"/>
    <n v="28215.628812077699"/>
  </r>
  <r>
    <s v="ORD102651"/>
    <d v="2025-12-01T00:00:00"/>
    <x v="3"/>
    <n v="12"/>
    <x v="1"/>
    <x v="1"/>
    <x v="2"/>
    <n v="131010.3877828548"/>
    <n v="30"/>
    <n v="82478.298232418019"/>
    <n v="48532.08955043678"/>
  </r>
  <r>
    <s v="ORD102652"/>
    <d v="2025-12-01T00:00:00"/>
    <x v="3"/>
    <n v="12"/>
    <x v="2"/>
    <x v="0"/>
    <x v="2"/>
    <n v="59575.93701078491"/>
    <n v="14"/>
    <n v="38786.085101851393"/>
    <n v="20789.85190893352"/>
  </r>
  <r>
    <s v="ORD102653"/>
    <d v="2025-12-01T00:00:00"/>
    <x v="3"/>
    <n v="12"/>
    <x v="2"/>
    <x v="1"/>
    <x v="2"/>
    <n v="101324.6130334654"/>
    <n v="24"/>
    <n v="65622.282296259"/>
    <n v="35702.330737206386"/>
  </r>
  <r>
    <s v="ORD102654"/>
    <d v="2025-12-01T00:00:00"/>
    <x v="3"/>
    <n v="12"/>
    <x v="3"/>
    <x v="0"/>
    <x v="2"/>
    <n v="46626.423786168772"/>
    <n v="11"/>
    <n v="29289.765850318548"/>
    <n v="17336.657935850209"/>
  </r>
  <r>
    <s v="ORD102655"/>
    <d v="2025-12-01T00:00:00"/>
    <x v="3"/>
    <n v="12"/>
    <x v="3"/>
    <x v="1"/>
    <x v="2"/>
    <n v="72408.695600618128"/>
    <n v="17"/>
    <n v="46659.73066651899"/>
    <n v="25748.964934099138"/>
  </r>
  <r>
    <s v="ORD102656"/>
    <d v="2025-12-01T00:00:00"/>
    <x v="3"/>
    <n v="12"/>
    <x v="0"/>
    <x v="0"/>
    <x v="3"/>
    <n v="96179.835872129435"/>
    <n v="113"/>
    <n v="46995.04270428473"/>
    <n v="49184.793167844713"/>
  </r>
  <r>
    <s v="ORD102657"/>
    <d v="2025-12-01T00:00:00"/>
    <x v="3"/>
    <n v="12"/>
    <x v="0"/>
    <x v="1"/>
    <x v="3"/>
    <n v="163373.52238360059"/>
    <n v="192"/>
    <n v="80087.584363878559"/>
    <n v="83285.938019722002"/>
  </r>
  <r>
    <s v="ORD102658"/>
    <d v="2025-12-01T00:00:00"/>
    <x v="3"/>
    <n v="12"/>
    <x v="1"/>
    <x v="0"/>
    <x v="3"/>
    <n v="81330.208441446957"/>
    <n v="96"/>
    <n v="38991.806822025341"/>
    <n v="42338.401619421616"/>
  </r>
  <r>
    <s v="ORD102659"/>
    <d v="2025-12-01T00:00:00"/>
    <x v="3"/>
    <n v="12"/>
    <x v="1"/>
    <x v="1"/>
    <x v="3"/>
    <n v="125011.3857987712"/>
    <n v="147"/>
    <n v="59618.704156079213"/>
    <n v="65392.681642691947"/>
  </r>
  <r>
    <s v="ORD102660"/>
    <d v="2025-12-01T00:00:00"/>
    <x v="3"/>
    <n v="12"/>
    <x v="2"/>
    <x v="0"/>
    <x v="3"/>
    <n v="54221.482413078273"/>
    <n v="64"/>
    <n v="26601.256953772059"/>
    <n v="27620.22545930621"/>
  </r>
  <r>
    <s v="ORD102661"/>
    <d v="2025-12-01T00:00:00"/>
    <x v="3"/>
    <n v="12"/>
    <x v="2"/>
    <x v="1"/>
    <x v="3"/>
    <n v="89907.145162943387"/>
    <n v="106"/>
    <n v="42215.379741469464"/>
    <n v="47691.765421473923"/>
  </r>
  <r>
    <s v="ORD102662"/>
    <d v="2025-12-01T00:00:00"/>
    <x v="3"/>
    <n v="12"/>
    <x v="3"/>
    <x v="0"/>
    <x v="3"/>
    <n v="42875.966896092978"/>
    <n v="50"/>
    <n v="20742.935086537022"/>
    <n v="22133.031809555971"/>
  </r>
  <r>
    <s v="ORD102663"/>
    <d v="2025-12-01T00:00:00"/>
    <x v="3"/>
    <n v="12"/>
    <x v="3"/>
    <x v="1"/>
    <x v="3"/>
    <n v="65473.520957500172"/>
    <n v="77"/>
    <n v="30652.278023864041"/>
    <n v="34821.242933636117"/>
  </r>
  <r>
    <s v="ORD102664"/>
    <d v="2025-12-01T00:00:00"/>
    <x v="3"/>
    <n v="12"/>
    <x v="0"/>
    <x v="0"/>
    <x v="4"/>
    <n v="81349.234260370809"/>
    <n v="113"/>
    <n v="45600.087528284072"/>
    <n v="35749.146732086738"/>
  </r>
  <r>
    <s v="ORD102665"/>
    <d v="2025-12-01T00:00:00"/>
    <x v="3"/>
    <n v="12"/>
    <x v="0"/>
    <x v="1"/>
    <x v="4"/>
    <n v="132752.38790997211"/>
    <n v="184"/>
    <n v="72674.677382454945"/>
    <n v="60077.710527517193"/>
  </r>
  <r>
    <s v="ORD102666"/>
    <d v="2025-12-01T00:00:00"/>
    <x v="3"/>
    <n v="12"/>
    <x v="1"/>
    <x v="0"/>
    <x v="4"/>
    <n v="67783.750087126231"/>
    <n v="94"/>
    <n v="38132.356905116903"/>
    <n v="29651.393182009331"/>
  </r>
  <r>
    <s v="ORD102667"/>
    <d v="2025-12-01T00:00:00"/>
    <x v="3"/>
    <n v="12"/>
    <x v="1"/>
    <x v="1"/>
    <x v="4"/>
    <n v="100431.3782590566"/>
    <n v="139"/>
    <n v="55725.855320588344"/>
    <n v="44705.522938468297"/>
  </r>
  <r>
    <s v="ORD102668"/>
    <d v="2025-12-01T00:00:00"/>
    <x v="3"/>
    <n v="12"/>
    <x v="2"/>
    <x v="0"/>
    <x v="4"/>
    <n v="40737.817308746802"/>
    <n v="57"/>
    <n v="21912.469429430541"/>
    <n v="18825.347879316261"/>
  </r>
  <r>
    <s v="ORD102669"/>
    <d v="2025-12-01T00:00:00"/>
    <x v="3"/>
    <n v="12"/>
    <x v="2"/>
    <x v="1"/>
    <x v="4"/>
    <n v="68082.55094000847"/>
    <n v="95"/>
    <n v="38405.626689387667"/>
    <n v="29676.924250620799"/>
  </r>
  <r>
    <s v="ORD102670"/>
    <d v="2025-12-01T00:00:00"/>
    <x v="3"/>
    <n v="12"/>
    <x v="3"/>
    <x v="0"/>
    <x v="4"/>
    <n v="31675.43415020161"/>
    <n v="44"/>
    <n v="17907.938818757571"/>
    <n v="13767.495331444041"/>
  </r>
  <r>
    <s v="ORD102671"/>
    <d v="2025-12-01T00:00:00"/>
    <x v="3"/>
    <n v="12"/>
    <x v="3"/>
    <x v="1"/>
    <x v="4"/>
    <n v="53189.854639015182"/>
    <n v="74"/>
    <n v="29719.014085342409"/>
    <n v="23470.84055367277"/>
  </r>
  <r>
    <s v="ORD102672"/>
    <d v="2025-12-01T00:00:00"/>
    <x v="3"/>
    <n v="12"/>
    <x v="0"/>
    <x v="0"/>
    <x v="5"/>
    <n v="74407.097142441053"/>
    <n v="14"/>
    <n v="50637.086153461649"/>
    <n v="23770.0109889794"/>
  </r>
  <r>
    <s v="ORD102673"/>
    <d v="2025-12-01T00:00:00"/>
    <x v="3"/>
    <n v="12"/>
    <x v="0"/>
    <x v="1"/>
    <x v="5"/>
    <n v="123133.7996839851"/>
    <n v="23"/>
    <n v="84494.327972871877"/>
    <n v="38639.471711113249"/>
  </r>
  <r>
    <s v="ORD102674"/>
    <d v="2025-12-01T00:00:00"/>
    <x v="3"/>
    <n v="12"/>
    <x v="1"/>
    <x v="0"/>
    <x v="5"/>
    <n v="60631.539821514867"/>
    <n v="11"/>
    <n v="41945.275530296269"/>
    <n v="18686.264291218609"/>
  </r>
  <r>
    <s v="ORD102675"/>
    <d v="2025-12-01T00:00:00"/>
    <x v="3"/>
    <n v="12"/>
    <x v="1"/>
    <x v="1"/>
    <x v="5"/>
    <n v="104591.53127115589"/>
    <n v="19"/>
    <n v="71254.017895987636"/>
    <n v="33337.513375168222"/>
  </r>
  <r>
    <s v="ORD102676"/>
    <d v="2025-12-01T00:00:00"/>
    <x v="3"/>
    <n v="12"/>
    <x v="2"/>
    <x v="0"/>
    <x v="5"/>
    <n v="43486.02782429973"/>
    <n v="8"/>
    <n v="30919.389601086899"/>
    <n v="12566.638223212831"/>
  </r>
  <r>
    <s v="ORD102677"/>
    <d v="2025-12-01T00:00:00"/>
    <x v="3"/>
    <n v="12"/>
    <x v="2"/>
    <x v="1"/>
    <x v="5"/>
    <n v="68084.751931272374"/>
    <n v="13"/>
    <n v="47100.523118323254"/>
    <n v="20984.228812949121"/>
  </r>
  <r>
    <s v="ORD102678"/>
    <d v="2025-12-01T00:00:00"/>
    <x v="3"/>
    <n v="12"/>
    <x v="3"/>
    <x v="0"/>
    <x v="5"/>
    <n v="32170.413351902691"/>
    <n v="6"/>
    <n v="21117.44483737283"/>
    <n v="11052.96851452985"/>
  </r>
  <r>
    <s v="ORD102679"/>
    <d v="2025-12-01T00:00:00"/>
    <x v="3"/>
    <n v="12"/>
    <x v="3"/>
    <x v="1"/>
    <x v="5"/>
    <n v="51694.239112769668"/>
    <n v="10"/>
    <n v="35886.905825180373"/>
    <n v="15807.333287589299"/>
  </r>
  <r>
    <s v="ORD102680"/>
    <d v="2025-12-01T00:00:00"/>
    <x v="3"/>
    <n v="12"/>
    <x v="0"/>
    <x v="0"/>
    <x v="6"/>
    <n v="150100.02405337061"/>
    <n v="43"/>
    <n v="88004.02962626754"/>
    <n v="62095.994427103011"/>
  </r>
  <r>
    <s v="ORD102681"/>
    <d v="2025-12-01T00:00:00"/>
    <x v="3"/>
    <n v="12"/>
    <x v="0"/>
    <x v="1"/>
    <x v="6"/>
    <n v="234945.69725301961"/>
    <n v="67"/>
    <n v="138431.01038296"/>
    <n v="96514.686870059581"/>
  </r>
  <r>
    <s v="ORD102682"/>
    <d v="2025-12-01T00:00:00"/>
    <x v="3"/>
    <n v="12"/>
    <x v="1"/>
    <x v="0"/>
    <x v="6"/>
    <n v="133943.3389283068"/>
    <n v="38"/>
    <n v="78502.216933870193"/>
    <n v="55441.121994436602"/>
  </r>
  <r>
    <s v="ORD102683"/>
    <d v="2025-12-01T00:00:00"/>
    <x v="3"/>
    <n v="12"/>
    <x v="1"/>
    <x v="1"/>
    <x v="6"/>
    <n v="213712.18704279879"/>
    <n v="61"/>
    <n v="127921.8818085696"/>
    <n v="85790.305234229207"/>
  </r>
  <r>
    <s v="ORD102684"/>
    <d v="2025-12-01T00:00:00"/>
    <x v="3"/>
    <n v="12"/>
    <x v="2"/>
    <x v="0"/>
    <x v="6"/>
    <n v="90018.141432251068"/>
    <n v="26"/>
    <n v="54181.116745068022"/>
    <n v="35837.024687183053"/>
  </r>
  <r>
    <s v="ORD102685"/>
    <d v="2025-12-01T00:00:00"/>
    <x v="3"/>
    <n v="12"/>
    <x v="2"/>
    <x v="1"/>
    <x v="6"/>
    <n v="137650.6157149577"/>
    <n v="39"/>
    <n v="81627.644406555046"/>
    <n v="56022.971308402688"/>
  </r>
  <r>
    <s v="ORD102686"/>
    <d v="2025-12-01T00:00:00"/>
    <x v="3"/>
    <n v="12"/>
    <x v="3"/>
    <x v="0"/>
    <x v="6"/>
    <n v="66461.658825629886"/>
    <n v="19"/>
    <n v="38972.885129268398"/>
    <n v="27488.773696361492"/>
  </r>
  <r>
    <s v="ORD102687"/>
    <d v="2025-12-01T00:00:00"/>
    <x v="3"/>
    <n v="12"/>
    <x v="3"/>
    <x v="1"/>
    <x v="6"/>
    <n v="95427.628342333075"/>
    <n v="27"/>
    <n v="56260.407886725428"/>
    <n v="39167.220455607647"/>
  </r>
  <r>
    <s v="ORD102688"/>
    <d v="2026-01-01T00:00:00"/>
    <x v="4"/>
    <n v="1"/>
    <x v="0"/>
    <x v="0"/>
    <x v="0"/>
    <n v="123368.76273086639"/>
    <n v="24"/>
    <n v="76515.61755492771"/>
    <n v="46853.145175938676"/>
  </r>
  <r>
    <s v="ORD102689"/>
    <d v="2026-01-01T00:00:00"/>
    <x v="4"/>
    <n v="1"/>
    <x v="0"/>
    <x v="1"/>
    <x v="0"/>
    <n v="152456.8158536269"/>
    <n v="29"/>
    <n v="93157.956863582964"/>
    <n v="59298.858990043911"/>
  </r>
  <r>
    <s v="ORD102690"/>
    <d v="2026-01-01T00:00:00"/>
    <x v="4"/>
    <n v="1"/>
    <x v="1"/>
    <x v="0"/>
    <x v="0"/>
    <n v="100319.8800220204"/>
    <n v="19"/>
    <n v="62846.476680288943"/>
    <n v="37473.403341731457"/>
  </r>
  <r>
    <s v="ORD102691"/>
    <d v="2026-01-01T00:00:00"/>
    <x v="4"/>
    <n v="1"/>
    <x v="1"/>
    <x v="1"/>
    <x v="0"/>
    <n v="133910.59005607941"/>
    <n v="26"/>
    <n v="83712.07249044365"/>
    <n v="50198.517565635761"/>
  </r>
  <r>
    <s v="ORD102692"/>
    <d v="2026-01-01T00:00:00"/>
    <x v="4"/>
    <n v="1"/>
    <x v="2"/>
    <x v="0"/>
    <x v="0"/>
    <n v="66003.932912479882"/>
    <n v="13"/>
    <n v="42057.133417281068"/>
    <n v="23946.799495198811"/>
  </r>
  <r>
    <s v="ORD102693"/>
    <d v="2026-01-01T00:00:00"/>
    <x v="4"/>
    <n v="1"/>
    <x v="2"/>
    <x v="1"/>
    <x v="0"/>
    <n v="92555.666814949451"/>
    <n v="18"/>
    <n v="58681.190879035363"/>
    <n v="33874.475935914088"/>
  </r>
  <r>
    <s v="ORD102694"/>
    <d v="2026-01-01T00:00:00"/>
    <x v="4"/>
    <n v="1"/>
    <x v="3"/>
    <x v="0"/>
    <x v="0"/>
    <n v="51880.891555808506"/>
    <n v="10"/>
    <n v="31769.1533299722"/>
    <n v="20111.7382258363"/>
  </r>
  <r>
    <s v="ORD102695"/>
    <d v="2026-01-01T00:00:00"/>
    <x v="4"/>
    <n v="1"/>
    <x v="3"/>
    <x v="1"/>
    <x v="0"/>
    <n v="71028.912004541038"/>
    <n v="14"/>
    <n v="44688.16173865024"/>
    <n v="26340.750265890802"/>
  </r>
  <r>
    <s v="ORD102696"/>
    <d v="2026-01-01T00:00:00"/>
    <x v="4"/>
    <n v="1"/>
    <x v="0"/>
    <x v="0"/>
    <x v="1"/>
    <n v="109438.97439940801"/>
    <n v="18"/>
    <n v="70993.355311792868"/>
    <n v="38445.619087615087"/>
  </r>
  <r>
    <s v="ORD102697"/>
    <d v="2026-01-01T00:00:00"/>
    <x v="4"/>
    <n v="1"/>
    <x v="0"/>
    <x v="1"/>
    <x v="1"/>
    <n v="152871.05529356311"/>
    <n v="25"/>
    <n v="102158.7844449915"/>
    <n v="50712.270848571541"/>
  </r>
  <r>
    <s v="ORD102698"/>
    <d v="2026-01-01T00:00:00"/>
    <x v="4"/>
    <n v="1"/>
    <x v="1"/>
    <x v="0"/>
    <x v="1"/>
    <n v="93173.042176150528"/>
    <n v="15"/>
    <n v="60922.369779884437"/>
    <n v="32250.672396266091"/>
  </r>
  <r>
    <s v="ORD102699"/>
    <d v="2026-01-01T00:00:00"/>
    <x v="4"/>
    <n v="1"/>
    <x v="1"/>
    <x v="1"/>
    <x v="1"/>
    <n v="129116.78605793109"/>
    <n v="21"/>
    <n v="83647.503088029509"/>
    <n v="45469.282969901593"/>
  </r>
  <r>
    <s v="ORD102700"/>
    <d v="2026-01-01T00:00:00"/>
    <x v="4"/>
    <n v="1"/>
    <x v="2"/>
    <x v="0"/>
    <x v="1"/>
    <n v="61785.970683191379"/>
    <n v="10"/>
    <n v="40984.298786112638"/>
    <n v="20801.671897078741"/>
  </r>
  <r>
    <s v="ORD102701"/>
    <d v="2026-01-01T00:00:00"/>
    <x v="4"/>
    <n v="1"/>
    <x v="2"/>
    <x v="1"/>
    <x v="1"/>
    <n v="96342.203902675334"/>
    <n v="16"/>
    <n v="60524.691119414929"/>
    <n v="35817.512783260398"/>
  </r>
  <r>
    <s v="ORD102702"/>
    <d v="2026-01-01T00:00:00"/>
    <x v="4"/>
    <n v="1"/>
    <x v="3"/>
    <x v="0"/>
    <x v="1"/>
    <n v="44894.970249113561"/>
    <n v="7"/>
    <n v="28696.793608135162"/>
    <n v="16198.1766409784"/>
  </r>
  <r>
    <s v="ORD102703"/>
    <d v="2026-01-01T00:00:00"/>
    <x v="4"/>
    <n v="1"/>
    <x v="3"/>
    <x v="1"/>
    <x v="1"/>
    <n v="69420.041658206581"/>
    <n v="11"/>
    <n v="45670.84814610496"/>
    <n v="23749.193512101621"/>
  </r>
  <r>
    <s v="ORD102704"/>
    <d v="2026-01-01T00:00:00"/>
    <x v="4"/>
    <n v="1"/>
    <x v="0"/>
    <x v="0"/>
    <x v="2"/>
    <n v="85049.08763669843"/>
    <n v="20"/>
    <n v="54512.189685335397"/>
    <n v="30536.897951363029"/>
  </r>
  <r>
    <s v="ORD102705"/>
    <d v="2026-01-01T00:00:00"/>
    <x v="4"/>
    <n v="1"/>
    <x v="0"/>
    <x v="1"/>
    <x v="2"/>
    <n v="114458.899325871"/>
    <n v="27"/>
    <n v="72766.724202932804"/>
    <n v="41692.175122938148"/>
  </r>
  <r>
    <s v="ORD102706"/>
    <d v="2026-01-01T00:00:00"/>
    <x v="4"/>
    <n v="1"/>
    <x v="1"/>
    <x v="0"/>
    <x v="2"/>
    <n v="68677.497222285223"/>
    <n v="16"/>
    <n v="42704.003869415712"/>
    <n v="25973.493352869511"/>
  </r>
  <r>
    <s v="ORD102707"/>
    <d v="2026-01-01T00:00:00"/>
    <x v="4"/>
    <n v="1"/>
    <x v="1"/>
    <x v="1"/>
    <x v="2"/>
    <n v="87694.889551375265"/>
    <n v="20"/>
    <n v="55298.458064429913"/>
    <n v="32396.431486945348"/>
  </r>
  <r>
    <s v="ORD102708"/>
    <d v="2026-01-01T00:00:00"/>
    <x v="4"/>
    <n v="1"/>
    <x v="2"/>
    <x v="0"/>
    <x v="2"/>
    <n v="49418.094825559339"/>
    <n v="11"/>
    <n v="31850.294770496279"/>
    <n v="17567.80005506306"/>
  </r>
  <r>
    <s v="ORD102709"/>
    <d v="2026-01-01T00:00:00"/>
    <x v="4"/>
    <n v="1"/>
    <x v="2"/>
    <x v="1"/>
    <x v="2"/>
    <n v="65841.917022941154"/>
    <n v="15"/>
    <n v="42580.107718496161"/>
    <n v="23261.809304444989"/>
  </r>
  <r>
    <s v="ORD102710"/>
    <d v="2026-01-01T00:00:00"/>
    <x v="4"/>
    <n v="1"/>
    <x v="3"/>
    <x v="0"/>
    <x v="2"/>
    <n v="35593.062915187897"/>
    <n v="8"/>
    <n v="22772.908266990711"/>
    <n v="12820.154648197191"/>
  </r>
  <r>
    <s v="ORD102711"/>
    <d v="2026-01-01T00:00:00"/>
    <x v="4"/>
    <n v="1"/>
    <x v="3"/>
    <x v="1"/>
    <x v="2"/>
    <n v="47432.924140157287"/>
    <n v="11"/>
    <n v="30989.19699313528"/>
    <n v="16443.727147022011"/>
  </r>
  <r>
    <s v="ORD102712"/>
    <d v="2026-01-01T00:00:00"/>
    <x v="4"/>
    <n v="1"/>
    <x v="0"/>
    <x v="0"/>
    <x v="3"/>
    <n v="81591.286370460904"/>
    <n v="96"/>
    <n v="39443.961978551939"/>
    <n v="42147.324391908973"/>
  </r>
  <r>
    <s v="ORD102713"/>
    <d v="2026-01-01T00:00:00"/>
    <x v="4"/>
    <n v="1"/>
    <x v="0"/>
    <x v="1"/>
    <x v="3"/>
    <n v="101866.1950859979"/>
    <n v="120"/>
    <n v="48237.920036947951"/>
    <n v="53628.275049049917"/>
  </r>
  <r>
    <s v="ORD102714"/>
    <d v="2026-01-01T00:00:00"/>
    <x v="4"/>
    <n v="1"/>
    <x v="1"/>
    <x v="0"/>
    <x v="3"/>
    <n v="60894.205976637699"/>
    <n v="72"/>
    <n v="29081.639462364481"/>
    <n v="31812.566514273221"/>
  </r>
  <r>
    <s v="ORD102715"/>
    <d v="2026-01-01T00:00:00"/>
    <x v="4"/>
    <n v="1"/>
    <x v="1"/>
    <x v="1"/>
    <x v="3"/>
    <n v="87971.014168437905"/>
    <n v="103"/>
    <n v="41159.810934613983"/>
    <n v="46811.203233823922"/>
  </r>
  <r>
    <s v="ORD102716"/>
    <d v="2026-01-01T00:00:00"/>
    <x v="4"/>
    <n v="1"/>
    <x v="2"/>
    <x v="0"/>
    <x v="3"/>
    <n v="40144.160749948991"/>
    <n v="47"/>
    <n v="19231.689632497921"/>
    <n v="20912.47111745107"/>
  </r>
  <r>
    <s v="ORD102717"/>
    <d v="2026-01-01T00:00:00"/>
    <x v="4"/>
    <n v="1"/>
    <x v="2"/>
    <x v="1"/>
    <x v="3"/>
    <n v="60065.206357566058"/>
    <n v="71"/>
    <n v="29408.438551140669"/>
    <n v="30656.7678064254"/>
  </r>
  <r>
    <s v="ORD102718"/>
    <d v="2026-01-01T00:00:00"/>
    <x v="4"/>
    <n v="1"/>
    <x v="3"/>
    <x v="0"/>
    <x v="3"/>
    <n v="32307.818101348548"/>
    <n v="38"/>
    <n v="15699.04425341354"/>
    <n v="16608.773847935008"/>
  </r>
  <r>
    <s v="ORD102719"/>
    <d v="2026-01-01T00:00:00"/>
    <x v="4"/>
    <n v="1"/>
    <x v="3"/>
    <x v="1"/>
    <x v="3"/>
    <n v="43397.238442940557"/>
    <n v="51"/>
    <n v="21356.3608498709"/>
    <n v="22040.87759306965"/>
  </r>
  <r>
    <s v="ORD102720"/>
    <d v="2026-01-01T00:00:00"/>
    <x v="4"/>
    <n v="1"/>
    <x v="0"/>
    <x v="0"/>
    <x v="4"/>
    <n v="57451.273106370812"/>
    <n v="80"/>
    <n v="31425.928894176232"/>
    <n v="26025.344212194581"/>
  </r>
  <r>
    <s v="ORD102721"/>
    <d v="2026-01-01T00:00:00"/>
    <x v="4"/>
    <n v="1"/>
    <x v="0"/>
    <x v="1"/>
    <x v="4"/>
    <n v="80734.824500045623"/>
    <n v="112"/>
    <n v="45480.057068654693"/>
    <n v="35254.767431390937"/>
  </r>
  <r>
    <s v="ORD102722"/>
    <d v="2026-01-01T00:00:00"/>
    <x v="4"/>
    <n v="1"/>
    <x v="1"/>
    <x v="0"/>
    <x v="4"/>
    <n v="46138.496912135823"/>
    <n v="64"/>
    <n v="25287.877513769479"/>
    <n v="20850.619398366329"/>
  </r>
  <r>
    <s v="ORD102723"/>
    <d v="2026-01-01T00:00:00"/>
    <x v="4"/>
    <n v="1"/>
    <x v="1"/>
    <x v="1"/>
    <x v="4"/>
    <n v="68674.483287154348"/>
    <n v="95"/>
    <n v="38771.463225004758"/>
    <n v="29903.02006214959"/>
  </r>
  <r>
    <s v="ORD102724"/>
    <d v="2026-01-01T00:00:00"/>
    <x v="4"/>
    <n v="1"/>
    <x v="2"/>
    <x v="0"/>
    <x v="4"/>
    <n v="34373.635805491664"/>
    <n v="48"/>
    <n v="18898.061863843381"/>
    <n v="15475.573941648279"/>
  </r>
  <r>
    <s v="ORD102725"/>
    <d v="2026-01-01T00:00:00"/>
    <x v="4"/>
    <n v="1"/>
    <x v="2"/>
    <x v="1"/>
    <x v="4"/>
    <n v="46739.857674045437"/>
    <n v="65"/>
    <n v="26034.17506889188"/>
    <n v="20705.68260515355"/>
  </r>
  <r>
    <s v="ORD102726"/>
    <d v="2026-01-01T00:00:00"/>
    <x v="4"/>
    <n v="1"/>
    <x v="3"/>
    <x v="0"/>
    <x v="4"/>
    <n v="24360.38114195074"/>
    <n v="34"/>
    <n v="13753.95919234865"/>
    <n v="10606.421949602091"/>
  </r>
  <r>
    <s v="ORD102727"/>
    <d v="2026-01-01T00:00:00"/>
    <x v="4"/>
    <n v="1"/>
    <x v="3"/>
    <x v="1"/>
    <x v="4"/>
    <n v="35249.550615575718"/>
    <n v="49"/>
    <n v="19319.752292423818"/>
    <n v="15929.798323151899"/>
  </r>
  <r>
    <s v="ORD102728"/>
    <d v="2026-01-01T00:00:00"/>
    <x v="4"/>
    <n v="1"/>
    <x v="0"/>
    <x v="0"/>
    <x v="5"/>
    <n v="60941.088573407833"/>
    <n v="11"/>
    <n v="42214.647189558062"/>
    <n v="18726.441383849771"/>
  </r>
  <r>
    <s v="ORD102729"/>
    <d v="2026-01-01T00:00:00"/>
    <x v="4"/>
    <n v="1"/>
    <x v="0"/>
    <x v="1"/>
    <x v="5"/>
    <n v="86706.625204745767"/>
    <n v="16"/>
    <n v="61215.543625806968"/>
    <n v="25491.0815789388"/>
  </r>
  <r>
    <s v="ORD102730"/>
    <d v="2026-01-01T00:00:00"/>
    <x v="4"/>
    <n v="1"/>
    <x v="1"/>
    <x v="0"/>
    <x v="5"/>
    <n v="47017.264099688371"/>
    <n v="9"/>
    <n v="32364.244443318319"/>
    <n v="14653.01965637005"/>
  </r>
  <r>
    <s v="ORD102731"/>
    <d v="2026-01-01T00:00:00"/>
    <x v="4"/>
    <n v="1"/>
    <x v="1"/>
    <x v="1"/>
    <x v="5"/>
    <n v="62998.580441636077"/>
    <n v="12"/>
    <n v="42435.498417898518"/>
    <n v="20563.082023737559"/>
  </r>
  <r>
    <s v="ORD102732"/>
    <d v="2026-01-01T00:00:00"/>
    <x v="4"/>
    <n v="1"/>
    <x v="2"/>
    <x v="0"/>
    <x v="5"/>
    <n v="31996.223210954049"/>
    <n v="6"/>
    <n v="22929.010215757749"/>
    <n v="9067.2129951963034"/>
  </r>
  <r>
    <s v="ORD102733"/>
    <d v="2026-01-01T00:00:00"/>
    <x v="4"/>
    <n v="1"/>
    <x v="2"/>
    <x v="1"/>
    <x v="5"/>
    <n v="44566.425585995727"/>
    <n v="8"/>
    <n v="30490.811974145148"/>
    <n v="14075.61361185058"/>
  </r>
  <r>
    <s v="ORD102734"/>
    <d v="2026-01-01T00:00:00"/>
    <x v="4"/>
    <n v="1"/>
    <x v="3"/>
    <x v="0"/>
    <x v="5"/>
    <n v="23346.979537210329"/>
    <n v="4"/>
    <n v="16155.4502911414"/>
    <n v="7191.5292460689288"/>
  </r>
  <r>
    <s v="ORD102735"/>
    <d v="2026-01-01T00:00:00"/>
    <x v="4"/>
    <n v="1"/>
    <x v="3"/>
    <x v="1"/>
    <x v="5"/>
    <n v="36309.091340190389"/>
    <n v="7"/>
    <n v="25574.584537478411"/>
    <n v="10734.506802711971"/>
  </r>
  <r>
    <s v="ORD102736"/>
    <d v="2026-01-01T00:00:00"/>
    <x v="4"/>
    <n v="1"/>
    <x v="0"/>
    <x v="0"/>
    <x v="6"/>
    <n v="123039.0284989761"/>
    <n v="35"/>
    <n v="71797.92335753674"/>
    <n v="51241.105141439402"/>
  </r>
  <r>
    <s v="ORD102737"/>
    <d v="2026-01-01T00:00:00"/>
    <x v="4"/>
    <n v="1"/>
    <x v="0"/>
    <x v="1"/>
    <x v="6"/>
    <n v="174280.5018008296"/>
    <n v="50"/>
    <n v="100960.0747359239"/>
    <n v="73320.427064905685"/>
  </r>
  <r>
    <s v="ORD102738"/>
    <d v="2026-01-01T00:00:00"/>
    <x v="4"/>
    <n v="1"/>
    <x v="1"/>
    <x v="0"/>
    <x v="6"/>
    <n v="99890.277944634014"/>
    <n v="29"/>
    <n v="59204.437329573499"/>
    <n v="40685.840615060522"/>
  </r>
  <r>
    <s v="ORD102739"/>
    <d v="2026-01-01T00:00:00"/>
    <x v="4"/>
    <n v="1"/>
    <x v="1"/>
    <x v="1"/>
    <x v="6"/>
    <n v="138263.27368087761"/>
    <n v="40"/>
    <n v="78942.457044469105"/>
    <n v="59320.816636408497"/>
  </r>
  <r>
    <s v="ORD102740"/>
    <d v="2026-01-01T00:00:00"/>
    <x v="4"/>
    <n v="1"/>
    <x v="2"/>
    <x v="0"/>
    <x v="6"/>
    <n v="68476.342056124791"/>
    <n v="20"/>
    <n v="40191.671115017409"/>
    <n v="28284.670941107379"/>
  </r>
  <r>
    <s v="ORD102741"/>
    <d v="2026-01-01T00:00:00"/>
    <x v="4"/>
    <n v="1"/>
    <x v="2"/>
    <x v="1"/>
    <x v="6"/>
    <n v="86299.010758794291"/>
    <n v="25"/>
    <n v="51140.993179452802"/>
    <n v="35158.017579341489"/>
  </r>
  <r>
    <s v="ORD102742"/>
    <d v="2026-01-01T00:00:00"/>
    <x v="4"/>
    <n v="1"/>
    <x v="3"/>
    <x v="0"/>
    <x v="6"/>
    <n v="52796.269147517312"/>
    <n v="15"/>
    <n v="30998.437746157539"/>
    <n v="21797.83140135977"/>
  </r>
  <r>
    <s v="ORD102743"/>
    <d v="2026-01-01T00:00:00"/>
    <x v="4"/>
    <n v="1"/>
    <x v="3"/>
    <x v="1"/>
    <x v="6"/>
    <n v="70951.261452755236"/>
    <n v="20"/>
    <n v="40698.250272356992"/>
    <n v="30253.011180398251"/>
  </r>
  <r>
    <s v="ORD102744"/>
    <d v="2026-02-01T00:00:00"/>
    <x v="4"/>
    <n v="2"/>
    <x v="0"/>
    <x v="0"/>
    <x v="0"/>
    <n v="109392.0452048814"/>
    <n v="21"/>
    <n v="69769.264746501038"/>
    <n v="39622.780458380323"/>
  </r>
  <r>
    <s v="ORD102745"/>
    <d v="2026-02-01T00:00:00"/>
    <x v="4"/>
    <n v="2"/>
    <x v="0"/>
    <x v="1"/>
    <x v="0"/>
    <n v="153578.84153297209"/>
    <n v="30"/>
    <n v="95396.339920718543"/>
    <n v="58182.501612253604"/>
  </r>
  <r>
    <s v="ORD102746"/>
    <d v="2026-02-01T00:00:00"/>
    <x v="4"/>
    <n v="2"/>
    <x v="1"/>
    <x v="0"/>
    <x v="0"/>
    <n v="83269.046577381916"/>
    <n v="16"/>
    <n v="52956.753581438737"/>
    <n v="30312.292995943179"/>
  </r>
  <r>
    <s v="ORD102747"/>
    <d v="2026-02-01T00:00:00"/>
    <x v="4"/>
    <n v="2"/>
    <x v="1"/>
    <x v="1"/>
    <x v="0"/>
    <n v="131291.2505355794"/>
    <n v="25"/>
    <n v="81019.567525365375"/>
    <n v="50271.683010213987"/>
  </r>
  <r>
    <s v="ORD102748"/>
    <d v="2026-02-01T00:00:00"/>
    <x v="4"/>
    <n v="2"/>
    <x v="2"/>
    <x v="0"/>
    <x v="0"/>
    <n v="58855.283848158091"/>
    <n v="11"/>
    <n v="35912.262144368382"/>
    <n v="22943.021703789709"/>
  </r>
  <r>
    <s v="ORD102749"/>
    <d v="2026-02-01T00:00:00"/>
    <x v="4"/>
    <n v="2"/>
    <x v="2"/>
    <x v="1"/>
    <x v="0"/>
    <n v="84359.663230164238"/>
    <n v="16"/>
    <n v="52556.412614174573"/>
    <n v="31803.250615989669"/>
  </r>
  <r>
    <s v="ORD102750"/>
    <d v="2026-02-01T00:00:00"/>
    <x v="4"/>
    <n v="2"/>
    <x v="3"/>
    <x v="0"/>
    <x v="0"/>
    <n v="46726.065578752547"/>
    <n v="9"/>
    <n v="28857.63567990555"/>
    <n v="17868.429898847"/>
  </r>
  <r>
    <s v="ORD102751"/>
    <d v="2026-02-01T00:00:00"/>
    <x v="4"/>
    <n v="2"/>
    <x v="3"/>
    <x v="1"/>
    <x v="0"/>
    <n v="62689.677441612017"/>
    <n v="12"/>
    <n v="38043.618311103652"/>
    <n v="24646.059130508369"/>
  </r>
  <r>
    <s v="ORD102752"/>
    <d v="2026-02-01T00:00:00"/>
    <x v="4"/>
    <n v="2"/>
    <x v="0"/>
    <x v="0"/>
    <x v="1"/>
    <n v="112278.64621689569"/>
    <n v="18"/>
    <n v="76064.408098424989"/>
    <n v="36214.238118470683"/>
  </r>
  <r>
    <s v="ORD102753"/>
    <d v="2026-02-01T00:00:00"/>
    <x v="4"/>
    <n v="2"/>
    <x v="0"/>
    <x v="1"/>
    <x v="1"/>
    <n v="156112.23438473229"/>
    <n v="26"/>
    <n v="101880.0040346649"/>
    <n v="54232.230350067337"/>
  </r>
  <r>
    <s v="ORD102754"/>
    <d v="2026-02-01T00:00:00"/>
    <x v="4"/>
    <n v="2"/>
    <x v="1"/>
    <x v="0"/>
    <x v="1"/>
    <n v="92916.837796449327"/>
    <n v="15"/>
    <n v="59293.731155498237"/>
    <n v="33623.106640951082"/>
  </r>
  <r>
    <s v="ORD102755"/>
    <d v="2026-02-01T00:00:00"/>
    <x v="4"/>
    <n v="2"/>
    <x v="1"/>
    <x v="1"/>
    <x v="1"/>
    <n v="121855.3470333125"/>
    <n v="20"/>
    <n v="82347.23737080954"/>
    <n v="39508.10966250296"/>
  </r>
  <r>
    <s v="ORD102756"/>
    <d v="2026-02-01T00:00:00"/>
    <x v="4"/>
    <n v="2"/>
    <x v="2"/>
    <x v="0"/>
    <x v="1"/>
    <n v="56813.70644843224"/>
    <n v="9"/>
    <n v="37156.671907502357"/>
    <n v="19657.034540929879"/>
  </r>
  <r>
    <s v="ORD102757"/>
    <d v="2026-02-01T00:00:00"/>
    <x v="4"/>
    <n v="2"/>
    <x v="2"/>
    <x v="1"/>
    <x v="1"/>
    <n v="94127.9367070507"/>
    <n v="15"/>
    <n v="61444.745305002747"/>
    <n v="32683.191402047949"/>
  </r>
  <r>
    <s v="ORD102758"/>
    <d v="2026-02-01T00:00:00"/>
    <x v="4"/>
    <n v="2"/>
    <x v="3"/>
    <x v="0"/>
    <x v="1"/>
    <n v="45773.958022123559"/>
    <n v="8"/>
    <n v="29250.804020259871"/>
    <n v="16523.154001863692"/>
  </r>
  <r>
    <s v="ORD102759"/>
    <d v="2026-02-01T00:00:00"/>
    <x v="4"/>
    <n v="2"/>
    <x v="3"/>
    <x v="1"/>
    <x v="1"/>
    <n v="67409.735810930651"/>
    <n v="11"/>
    <n v="45884.619734618878"/>
    <n v="21525.11607631177"/>
  </r>
  <r>
    <s v="ORD102760"/>
    <d v="2026-02-01T00:00:00"/>
    <x v="4"/>
    <n v="2"/>
    <x v="0"/>
    <x v="0"/>
    <x v="2"/>
    <n v="74182.81120950522"/>
    <n v="17"/>
    <n v="46375.027136152232"/>
    <n v="27807.784073352988"/>
  </r>
  <r>
    <s v="ORD102761"/>
    <d v="2026-02-01T00:00:00"/>
    <x v="4"/>
    <n v="2"/>
    <x v="0"/>
    <x v="1"/>
    <x v="2"/>
    <n v="101755.4605707781"/>
    <n v="24"/>
    <n v="65192.01058541183"/>
    <n v="36563.449985366293"/>
  </r>
  <r>
    <s v="ORD102762"/>
    <d v="2026-02-01T00:00:00"/>
    <x v="4"/>
    <n v="2"/>
    <x v="1"/>
    <x v="0"/>
    <x v="2"/>
    <n v="65842.266455441742"/>
    <n v="15"/>
    <n v="42831.275701459337"/>
    <n v="23010.990753982409"/>
  </r>
  <r>
    <s v="ORD102763"/>
    <d v="2026-02-01T00:00:00"/>
    <x v="4"/>
    <n v="2"/>
    <x v="1"/>
    <x v="1"/>
    <x v="2"/>
    <n v="89190.963184077569"/>
    <n v="21"/>
    <n v="57515.522108222744"/>
    <n v="31675.441075854829"/>
  </r>
  <r>
    <s v="ORD102764"/>
    <d v="2026-02-01T00:00:00"/>
    <x v="4"/>
    <n v="2"/>
    <x v="2"/>
    <x v="0"/>
    <x v="2"/>
    <n v="42683.68503423829"/>
    <n v="10"/>
    <n v="27288.22543915912"/>
    <n v="15395.45959507917"/>
  </r>
  <r>
    <s v="ORD102765"/>
    <d v="2026-02-01T00:00:00"/>
    <x v="4"/>
    <n v="2"/>
    <x v="2"/>
    <x v="1"/>
    <x v="2"/>
    <n v="57315.913740257172"/>
    <n v="13"/>
    <n v="35558.610007287687"/>
    <n v="21757.303732969482"/>
  </r>
  <r>
    <s v="ORD102766"/>
    <d v="2026-02-01T00:00:00"/>
    <x v="4"/>
    <n v="2"/>
    <x v="3"/>
    <x v="0"/>
    <x v="2"/>
    <n v="30880.379228709549"/>
    <n v="7"/>
    <n v="19475.389599181039"/>
    <n v="11404.9896295285"/>
  </r>
  <r>
    <s v="ORD102767"/>
    <d v="2026-02-01T00:00:00"/>
    <x v="4"/>
    <n v="2"/>
    <x v="3"/>
    <x v="1"/>
    <x v="2"/>
    <n v="44514.669970852083"/>
    <n v="10"/>
    <n v="28585.694484533029"/>
    <n v="15928.975486319039"/>
  </r>
  <r>
    <s v="ORD102768"/>
    <d v="2026-02-01T00:00:00"/>
    <x v="4"/>
    <n v="2"/>
    <x v="0"/>
    <x v="0"/>
    <x v="3"/>
    <n v="66814.549655539566"/>
    <n v="79"/>
    <n v="31616.56579093391"/>
    <n v="35197.98386460566"/>
  </r>
  <r>
    <s v="ORD102769"/>
    <d v="2026-02-01T00:00:00"/>
    <x v="4"/>
    <n v="2"/>
    <x v="0"/>
    <x v="1"/>
    <x v="3"/>
    <n v="94514.352989598439"/>
    <n v="111"/>
    <n v="45532.953585479139"/>
    <n v="48981.3994041193"/>
  </r>
  <r>
    <s v="ORD102770"/>
    <d v="2026-02-01T00:00:00"/>
    <x v="4"/>
    <n v="2"/>
    <x v="1"/>
    <x v="0"/>
    <x v="3"/>
    <n v="58268.145554476163"/>
    <n v="69"/>
    <n v="28311.924571026131"/>
    <n v="29956.220983450032"/>
  </r>
  <r>
    <s v="ORD102771"/>
    <d v="2026-02-01T00:00:00"/>
    <x v="4"/>
    <n v="2"/>
    <x v="1"/>
    <x v="1"/>
    <x v="3"/>
    <n v="80945.9406201323"/>
    <n v="95"/>
    <n v="39527.199958110992"/>
    <n v="41418.740662021308"/>
  </r>
  <r>
    <s v="ORD102772"/>
    <d v="2026-02-01T00:00:00"/>
    <x v="4"/>
    <n v="2"/>
    <x v="2"/>
    <x v="0"/>
    <x v="3"/>
    <n v="38183.598596630247"/>
    <n v="45"/>
    <n v="17923.603041273011"/>
    <n v="20259.99555535724"/>
  </r>
  <r>
    <s v="ORD102773"/>
    <d v="2026-02-01T00:00:00"/>
    <x v="4"/>
    <n v="2"/>
    <x v="2"/>
    <x v="1"/>
    <x v="3"/>
    <n v="55907.823975450126"/>
    <n v="66"/>
    <n v="27896.83132466711"/>
    <n v="28010.992650783021"/>
  </r>
  <r>
    <s v="ORD102774"/>
    <d v="2026-02-01T00:00:00"/>
    <x v="4"/>
    <n v="2"/>
    <x v="3"/>
    <x v="0"/>
    <x v="3"/>
    <n v="29272.031283687851"/>
    <n v="34"/>
    <n v="14244.67848604251"/>
    <n v="15027.352797645341"/>
  </r>
  <r>
    <s v="ORD102775"/>
    <d v="2026-02-01T00:00:00"/>
    <x v="4"/>
    <n v="2"/>
    <x v="3"/>
    <x v="1"/>
    <x v="3"/>
    <n v="43863.613145205563"/>
    <n v="52"/>
    <n v="21053.884676968399"/>
    <n v="22809.728468237168"/>
  </r>
  <r>
    <s v="ORD102776"/>
    <d v="2026-02-01T00:00:00"/>
    <x v="4"/>
    <n v="2"/>
    <x v="0"/>
    <x v="0"/>
    <x v="4"/>
    <n v="59290.430868435651"/>
    <n v="82"/>
    <n v="33249.268002869227"/>
    <n v="26041.162865566421"/>
  </r>
  <r>
    <s v="ORD102777"/>
    <d v="2026-02-01T00:00:00"/>
    <x v="4"/>
    <n v="2"/>
    <x v="0"/>
    <x v="1"/>
    <x v="4"/>
    <n v="85775.575053961453"/>
    <n v="119"/>
    <n v="49185.218977294833"/>
    <n v="36590.35607666662"/>
  </r>
  <r>
    <s v="ORD102778"/>
    <d v="2026-02-01T00:00:00"/>
    <x v="4"/>
    <n v="2"/>
    <x v="1"/>
    <x v="0"/>
    <x v="4"/>
    <n v="47389.52018126021"/>
    <n v="66"/>
    <n v="25389.251572577341"/>
    <n v="22000.268608682869"/>
  </r>
  <r>
    <s v="ORD102779"/>
    <d v="2026-02-01T00:00:00"/>
    <x v="4"/>
    <n v="2"/>
    <x v="1"/>
    <x v="1"/>
    <x v="4"/>
    <n v="67500.022998103712"/>
    <n v="94"/>
    <n v="36974.480836824121"/>
    <n v="30525.542161279591"/>
  </r>
  <r>
    <s v="ORD102780"/>
    <d v="2026-02-01T00:00:00"/>
    <x v="4"/>
    <n v="2"/>
    <x v="2"/>
    <x v="0"/>
    <x v="4"/>
    <n v="36944.737860348789"/>
    <n v="51"/>
    <n v="19449.687534683369"/>
    <n v="17495.050325665419"/>
  </r>
  <r>
    <s v="ORD102781"/>
    <d v="2026-02-01T00:00:00"/>
    <x v="4"/>
    <n v="2"/>
    <x v="2"/>
    <x v="1"/>
    <x v="4"/>
    <n v="49428.338558801988"/>
    <n v="69"/>
    <n v="27279.858414619121"/>
    <n v="22148.48014418286"/>
  </r>
  <r>
    <s v="ORD102782"/>
    <d v="2026-02-01T00:00:00"/>
    <x v="4"/>
    <n v="2"/>
    <x v="3"/>
    <x v="0"/>
    <x v="4"/>
    <n v="27717.800334056639"/>
    <n v="38"/>
    <n v="15345.056637676011"/>
    <n v="12372.743696380619"/>
  </r>
  <r>
    <s v="ORD102783"/>
    <d v="2026-02-01T00:00:00"/>
    <x v="4"/>
    <n v="2"/>
    <x v="3"/>
    <x v="1"/>
    <x v="4"/>
    <n v="37068.824746014783"/>
    <n v="51"/>
    <n v="20373.48184372723"/>
    <n v="16695.342902287561"/>
  </r>
  <r>
    <s v="ORD102784"/>
    <d v="2026-02-01T00:00:00"/>
    <x v="4"/>
    <n v="2"/>
    <x v="0"/>
    <x v="0"/>
    <x v="5"/>
    <n v="52088.068668764157"/>
    <n v="10"/>
    <n v="35517.327482712513"/>
    <n v="16570.741186051659"/>
  </r>
  <r>
    <s v="ORD102785"/>
    <d v="2026-02-01T00:00:00"/>
    <x v="4"/>
    <n v="2"/>
    <x v="0"/>
    <x v="1"/>
    <x v="5"/>
    <n v="75485.895877228293"/>
    <n v="14"/>
    <n v="50163.776918338692"/>
    <n v="25322.118958889601"/>
  </r>
  <r>
    <s v="ORD102786"/>
    <d v="2026-02-01T00:00:00"/>
    <x v="4"/>
    <n v="2"/>
    <x v="1"/>
    <x v="0"/>
    <x v="5"/>
    <n v="43748.322227377343"/>
    <n v="8"/>
    <n v="30389.303418443251"/>
    <n v="13359.018808934081"/>
  </r>
  <r>
    <s v="ORD102787"/>
    <d v="2026-02-01T00:00:00"/>
    <x v="4"/>
    <n v="2"/>
    <x v="1"/>
    <x v="1"/>
    <x v="5"/>
    <n v="65065.311209484062"/>
    <n v="12"/>
    <n v="46071.217591244793"/>
    <n v="18994.093618239269"/>
  </r>
  <r>
    <s v="ORD102788"/>
    <d v="2026-02-01T00:00:00"/>
    <x v="4"/>
    <n v="2"/>
    <x v="2"/>
    <x v="0"/>
    <x v="5"/>
    <n v="32048.413252032798"/>
    <n v="6"/>
    <n v="21878.155393837809"/>
    <n v="10170.257858195"/>
  </r>
  <r>
    <s v="ORD102789"/>
    <d v="2026-02-01T00:00:00"/>
    <x v="4"/>
    <n v="2"/>
    <x v="2"/>
    <x v="1"/>
    <x v="5"/>
    <n v="41899.058269016277"/>
    <n v="8"/>
    <n v="29139.351365492599"/>
    <n v="12759.706903523689"/>
  </r>
  <r>
    <s v="ORD102790"/>
    <d v="2026-02-01T00:00:00"/>
    <x v="4"/>
    <n v="2"/>
    <x v="3"/>
    <x v="0"/>
    <x v="5"/>
    <n v="23681.692888036279"/>
    <n v="4"/>
    <n v="15879.135097276119"/>
    <n v="7802.5577907601601"/>
  </r>
  <r>
    <s v="ORD102791"/>
    <d v="2026-02-01T00:00:00"/>
    <x v="4"/>
    <n v="2"/>
    <x v="3"/>
    <x v="1"/>
    <x v="5"/>
    <n v="33540.546763918108"/>
    <n v="6"/>
    <n v="23333.440154810149"/>
    <n v="10207.106609107959"/>
  </r>
  <r>
    <s v="ORD102792"/>
    <d v="2026-02-01T00:00:00"/>
    <x v="4"/>
    <n v="2"/>
    <x v="0"/>
    <x v="0"/>
    <x v="6"/>
    <n v="126495.9161566957"/>
    <n v="36"/>
    <n v="74104.126013345245"/>
    <n v="52391.790143350489"/>
  </r>
  <r>
    <s v="ORD102793"/>
    <d v="2026-02-01T00:00:00"/>
    <x v="4"/>
    <n v="2"/>
    <x v="0"/>
    <x v="1"/>
    <x v="6"/>
    <n v="181478.32688026069"/>
    <n v="52"/>
    <n v="105602.8048716484"/>
    <n v="75875.52200861233"/>
  </r>
  <r>
    <s v="ORD102794"/>
    <d v="2026-02-01T00:00:00"/>
    <x v="4"/>
    <n v="2"/>
    <x v="1"/>
    <x v="0"/>
    <x v="6"/>
    <n v="85177.385033265135"/>
    <n v="24"/>
    <n v="49566.844515582263"/>
    <n v="35610.540517682872"/>
  </r>
  <r>
    <s v="ORD102795"/>
    <d v="2026-02-01T00:00:00"/>
    <x v="4"/>
    <n v="2"/>
    <x v="1"/>
    <x v="1"/>
    <x v="6"/>
    <n v="132222.86446616289"/>
    <n v="38"/>
    <n v="77458.777966866139"/>
    <n v="54764.086499296747"/>
  </r>
  <r>
    <s v="ORD102796"/>
    <d v="2026-02-01T00:00:00"/>
    <x v="4"/>
    <n v="2"/>
    <x v="2"/>
    <x v="0"/>
    <x v="6"/>
    <n v="63619.154643367801"/>
    <n v="18"/>
    <n v="37793.686734341332"/>
    <n v="25825.46790902648"/>
  </r>
  <r>
    <s v="ORD102797"/>
    <d v="2026-02-01T00:00:00"/>
    <x v="4"/>
    <n v="2"/>
    <x v="2"/>
    <x v="1"/>
    <x v="6"/>
    <n v="98777.038236418288"/>
    <n v="28"/>
    <n v="56901.977423805612"/>
    <n v="41875.060812612683"/>
  </r>
  <r>
    <s v="ORD102798"/>
    <d v="2026-02-01T00:00:00"/>
    <x v="4"/>
    <n v="2"/>
    <x v="3"/>
    <x v="0"/>
    <x v="6"/>
    <n v="50028.771441017037"/>
    <n v="14"/>
    <n v="29305.985569474331"/>
    <n v="20722.78587154271"/>
  </r>
  <r>
    <s v="ORD102799"/>
    <d v="2026-02-01T00:00:00"/>
    <x v="4"/>
    <n v="2"/>
    <x v="3"/>
    <x v="1"/>
    <x v="6"/>
    <n v="67255.565776933028"/>
    <n v="19"/>
    <n v="39651.162420565677"/>
    <n v="27604.40335636734"/>
  </r>
  <r>
    <s v="ORD102800"/>
    <d v="2026-03-01T00:00:00"/>
    <x v="4"/>
    <n v="3"/>
    <x v="0"/>
    <x v="0"/>
    <x v="0"/>
    <n v="130488.56787345069"/>
    <n v="25"/>
    <n v="79302.433553923052"/>
    <n v="51186.134319527613"/>
  </r>
  <r>
    <s v="ORD102801"/>
    <d v="2026-03-01T00:00:00"/>
    <x v="4"/>
    <n v="3"/>
    <x v="0"/>
    <x v="1"/>
    <x v="0"/>
    <n v="166628.05931073529"/>
    <n v="32"/>
    <n v="106650.4199400303"/>
    <n v="59977.639370704972"/>
  </r>
  <r>
    <s v="ORD102802"/>
    <d v="2026-03-01T00:00:00"/>
    <x v="4"/>
    <n v="3"/>
    <x v="1"/>
    <x v="0"/>
    <x v="0"/>
    <n v="94092.310437305277"/>
    <n v="18"/>
    <n v="57441.002314928133"/>
    <n v="36651.308122377137"/>
  </r>
  <r>
    <s v="ORD102803"/>
    <d v="2026-03-01T00:00:00"/>
    <x v="4"/>
    <n v="3"/>
    <x v="1"/>
    <x v="1"/>
    <x v="0"/>
    <n v="135487.8813317804"/>
    <n v="26"/>
    <n v="82990.26785119735"/>
    <n v="52497.613480583081"/>
  </r>
  <r>
    <s v="ORD102804"/>
    <d v="2026-03-01T00:00:00"/>
    <x v="4"/>
    <n v="3"/>
    <x v="2"/>
    <x v="0"/>
    <x v="0"/>
    <n v="68916.157591506271"/>
    <n v="13"/>
    <n v="41975.596837486111"/>
    <n v="26940.56075402016"/>
  </r>
  <r>
    <s v="ORD102805"/>
    <d v="2026-03-01T00:00:00"/>
    <x v="4"/>
    <n v="3"/>
    <x v="2"/>
    <x v="1"/>
    <x v="0"/>
    <n v="90444.922490173223"/>
    <n v="17"/>
    <n v="57891.175399535023"/>
    <n v="32553.747090638211"/>
  </r>
  <r>
    <s v="ORD102806"/>
    <d v="2026-03-01T00:00:00"/>
    <x v="4"/>
    <n v="3"/>
    <x v="3"/>
    <x v="0"/>
    <x v="0"/>
    <n v="54077.581058649033"/>
    <n v="10"/>
    <n v="33861.781771223898"/>
    <n v="20215.799287425129"/>
  </r>
  <r>
    <s v="ORD102807"/>
    <d v="2026-03-01T00:00:00"/>
    <x v="4"/>
    <n v="3"/>
    <x v="3"/>
    <x v="1"/>
    <x v="0"/>
    <n v="72636.542150964509"/>
    <n v="14"/>
    <n v="44275.432352702133"/>
    <n v="28361.10979826238"/>
  </r>
  <r>
    <s v="ORD102808"/>
    <d v="2026-03-01T00:00:00"/>
    <x v="4"/>
    <n v="3"/>
    <x v="0"/>
    <x v="0"/>
    <x v="1"/>
    <n v="135267.22869166391"/>
    <n v="22"/>
    <n v="91054.057038326107"/>
    <n v="44213.171653337748"/>
  </r>
  <r>
    <s v="ORD102809"/>
    <d v="2026-03-01T00:00:00"/>
    <x v="4"/>
    <n v="3"/>
    <x v="0"/>
    <x v="1"/>
    <x v="1"/>
    <n v="168698.3601414274"/>
    <n v="28"/>
    <n v="111743.1452757777"/>
    <n v="56955.214865649723"/>
  </r>
  <r>
    <s v="ORD102810"/>
    <d v="2026-03-01T00:00:00"/>
    <x v="4"/>
    <n v="3"/>
    <x v="1"/>
    <x v="0"/>
    <x v="1"/>
    <n v="115951.28877058229"/>
    <n v="19"/>
    <n v="76882.217513320313"/>
    <n v="39069.071257261967"/>
  </r>
  <r>
    <s v="ORD102811"/>
    <d v="2026-03-01T00:00:00"/>
    <x v="4"/>
    <n v="3"/>
    <x v="1"/>
    <x v="1"/>
    <x v="1"/>
    <n v="153055.79653906339"/>
    <n v="25"/>
    <n v="100390.46182090889"/>
    <n v="52665.334718154452"/>
  </r>
  <r>
    <s v="ORD102812"/>
    <d v="2026-03-01T00:00:00"/>
    <x v="4"/>
    <n v="3"/>
    <x v="2"/>
    <x v="0"/>
    <x v="1"/>
    <n v="73939.030402311168"/>
    <n v="12"/>
    <n v="48141.47629917552"/>
    <n v="25797.554103135652"/>
  </r>
  <r>
    <s v="ORD102813"/>
    <d v="2026-03-01T00:00:00"/>
    <x v="4"/>
    <n v="3"/>
    <x v="2"/>
    <x v="1"/>
    <x v="1"/>
    <n v="113177.02280329179"/>
    <n v="19"/>
    <n v="75150.97610473173"/>
    <n v="38026.046698560021"/>
  </r>
  <r>
    <s v="ORD102814"/>
    <d v="2026-03-01T00:00:00"/>
    <x v="4"/>
    <n v="3"/>
    <x v="3"/>
    <x v="0"/>
    <x v="1"/>
    <n v="53032.911928728972"/>
    <n v="9"/>
    <n v="34658.300023786571"/>
    <n v="18374.611904942401"/>
  </r>
  <r>
    <s v="ORD102815"/>
    <d v="2026-03-01T00:00:00"/>
    <x v="4"/>
    <n v="3"/>
    <x v="3"/>
    <x v="1"/>
    <x v="1"/>
    <n v="76641.278899572702"/>
    <n v="13"/>
    <n v="52237.397155513747"/>
    <n v="24403.881744058959"/>
  </r>
  <r>
    <s v="ORD102816"/>
    <d v="2026-03-01T00:00:00"/>
    <x v="4"/>
    <n v="3"/>
    <x v="0"/>
    <x v="0"/>
    <x v="2"/>
    <n v="89120.959928360302"/>
    <n v="21"/>
    <n v="55734.266865446392"/>
    <n v="33386.69306291391"/>
  </r>
  <r>
    <s v="ORD102817"/>
    <d v="2026-03-01T00:00:00"/>
    <x v="4"/>
    <n v="3"/>
    <x v="0"/>
    <x v="1"/>
    <x v="2"/>
    <n v="117482.476765403"/>
    <n v="27"/>
    <n v="77267.816837217353"/>
    <n v="40214.659928185691"/>
  </r>
  <r>
    <s v="ORD102818"/>
    <d v="2026-03-01T00:00:00"/>
    <x v="4"/>
    <n v="3"/>
    <x v="1"/>
    <x v="0"/>
    <x v="2"/>
    <n v="77937.261056036674"/>
    <n v="18"/>
    <n v="49779.900867078963"/>
    <n v="28157.360188957718"/>
  </r>
  <r>
    <s v="ORD102819"/>
    <d v="2026-03-01T00:00:00"/>
    <x v="4"/>
    <n v="3"/>
    <x v="1"/>
    <x v="1"/>
    <x v="2"/>
    <n v="103131.93792567081"/>
    <n v="24"/>
    <n v="66359.77802884487"/>
    <n v="36772.159896825913"/>
  </r>
  <r>
    <s v="ORD102820"/>
    <d v="2026-03-01T00:00:00"/>
    <x v="4"/>
    <n v="3"/>
    <x v="2"/>
    <x v="0"/>
    <x v="2"/>
    <n v="48760.719136793989"/>
    <n v="11"/>
    <n v="31674.864531320709"/>
    <n v="17085.85460547328"/>
  </r>
  <r>
    <s v="ORD102821"/>
    <d v="2026-03-01T00:00:00"/>
    <x v="4"/>
    <n v="3"/>
    <x v="2"/>
    <x v="1"/>
    <x v="2"/>
    <n v="71582.068017455109"/>
    <n v="17"/>
    <n v="45292.803939329162"/>
    <n v="26289.264078125951"/>
  </r>
  <r>
    <s v="ORD102822"/>
    <d v="2026-03-01T00:00:00"/>
    <x v="4"/>
    <n v="3"/>
    <x v="3"/>
    <x v="0"/>
    <x v="2"/>
    <n v="38048.186048638803"/>
    <n v="9"/>
    <n v="24729.652191127869"/>
    <n v="13318.53385751094"/>
  </r>
  <r>
    <s v="ORD102823"/>
    <d v="2026-03-01T00:00:00"/>
    <x v="4"/>
    <n v="3"/>
    <x v="3"/>
    <x v="1"/>
    <x v="2"/>
    <n v="48672.456185663577"/>
    <n v="11"/>
    <n v="29632.233991405519"/>
    <n v="19040.222194258062"/>
  </r>
  <r>
    <s v="ORD102824"/>
    <d v="2026-03-01T00:00:00"/>
    <x v="4"/>
    <n v="3"/>
    <x v="0"/>
    <x v="0"/>
    <x v="3"/>
    <n v="81918.181652991771"/>
    <n v="96"/>
    <n v="38811.137977112972"/>
    <n v="43107.043675878813"/>
  </r>
  <r>
    <s v="ORD102825"/>
    <d v="2026-03-01T00:00:00"/>
    <x v="4"/>
    <n v="3"/>
    <x v="0"/>
    <x v="1"/>
    <x v="3"/>
    <n v="116080.3028803335"/>
    <n v="137"/>
    <n v="54791.77154415103"/>
    <n v="61288.531336182466"/>
  </r>
  <r>
    <s v="ORD102826"/>
    <d v="2026-03-01T00:00:00"/>
    <x v="4"/>
    <n v="3"/>
    <x v="1"/>
    <x v="0"/>
    <x v="3"/>
    <n v="59941.232946456817"/>
    <n v="71"/>
    <n v="28122.61076183249"/>
    <n v="31818.622184624339"/>
  </r>
  <r>
    <s v="ORD102827"/>
    <d v="2026-03-01T00:00:00"/>
    <x v="4"/>
    <n v="3"/>
    <x v="1"/>
    <x v="1"/>
    <x v="3"/>
    <n v="88451.217440761684"/>
    <n v="104"/>
    <n v="42292.311903624053"/>
    <n v="46158.905537137631"/>
  </r>
  <r>
    <s v="ORD102828"/>
    <d v="2026-03-01T00:00:00"/>
    <x v="4"/>
    <n v="3"/>
    <x v="2"/>
    <x v="0"/>
    <x v="3"/>
    <n v="47100.635117276368"/>
    <n v="55"/>
    <n v="22765.285608113882"/>
    <n v="24335.34950916249"/>
  </r>
  <r>
    <s v="ORD102829"/>
    <d v="2026-03-01T00:00:00"/>
    <x v="4"/>
    <n v="3"/>
    <x v="2"/>
    <x v="1"/>
    <x v="3"/>
    <n v="70417.923235986906"/>
    <n v="83"/>
    <n v="34228.109124970899"/>
    <n v="36189.814111016007"/>
  </r>
  <r>
    <s v="ORD102830"/>
    <d v="2026-03-01T00:00:00"/>
    <x v="4"/>
    <n v="3"/>
    <x v="3"/>
    <x v="0"/>
    <x v="3"/>
    <n v="36183.910693540842"/>
    <n v="43"/>
    <n v="17443.582189830351"/>
    <n v="18740.328503710491"/>
  </r>
  <r>
    <s v="ORD102831"/>
    <d v="2026-03-01T00:00:00"/>
    <x v="4"/>
    <n v="3"/>
    <x v="3"/>
    <x v="1"/>
    <x v="3"/>
    <n v="46976.146950000977"/>
    <n v="55"/>
    <n v="22278.36292677699"/>
    <n v="24697.78402322398"/>
  </r>
  <r>
    <s v="ORD102832"/>
    <d v="2026-03-01T00:00:00"/>
    <x v="4"/>
    <n v="3"/>
    <x v="0"/>
    <x v="0"/>
    <x v="4"/>
    <n v="68581.582292980311"/>
    <n v="95"/>
    <n v="37970.416800001047"/>
    <n v="30611.16549297926"/>
  </r>
  <r>
    <s v="ORD102833"/>
    <d v="2026-03-01T00:00:00"/>
    <x v="4"/>
    <n v="3"/>
    <x v="0"/>
    <x v="1"/>
    <x v="4"/>
    <n v="89415.474553498978"/>
    <n v="124"/>
    <n v="49288.530341838923"/>
    <n v="40126.944211660062"/>
  </r>
  <r>
    <s v="ORD102834"/>
    <d v="2026-03-01T00:00:00"/>
    <x v="4"/>
    <n v="3"/>
    <x v="1"/>
    <x v="0"/>
    <x v="4"/>
    <n v="58578.904860613933"/>
    <n v="81"/>
    <n v="32761.245810874239"/>
    <n v="25817.65904973969"/>
  </r>
  <r>
    <s v="ORD102835"/>
    <d v="2026-03-01T00:00:00"/>
    <x v="4"/>
    <n v="3"/>
    <x v="1"/>
    <x v="1"/>
    <x v="4"/>
    <n v="67934.291076291134"/>
    <n v="94"/>
    <n v="37886.388468795682"/>
    <n v="30047.902607495449"/>
  </r>
  <r>
    <s v="ORD102836"/>
    <d v="2026-03-01T00:00:00"/>
    <x v="4"/>
    <n v="3"/>
    <x v="2"/>
    <x v="0"/>
    <x v="4"/>
    <n v="35794.124145458467"/>
    <n v="50"/>
    <n v="19697.567957781659"/>
    <n v="16096.556187676821"/>
  </r>
  <r>
    <s v="ORD102837"/>
    <d v="2026-03-01T00:00:00"/>
    <x v="4"/>
    <n v="3"/>
    <x v="2"/>
    <x v="1"/>
    <x v="4"/>
    <n v="46324.917662462649"/>
    <n v="64"/>
    <n v="25067.20951518957"/>
    <n v="21257.708147273079"/>
  </r>
  <r>
    <s v="ORD102838"/>
    <d v="2026-03-01T00:00:00"/>
    <x v="4"/>
    <n v="3"/>
    <x v="3"/>
    <x v="0"/>
    <x v="4"/>
    <n v="28058.511425234781"/>
    <n v="39"/>
    <n v="15250.80527074465"/>
    <n v="12807.70615449013"/>
  </r>
  <r>
    <s v="ORD102839"/>
    <d v="2026-03-01T00:00:00"/>
    <x v="4"/>
    <n v="3"/>
    <x v="3"/>
    <x v="1"/>
    <x v="4"/>
    <n v="36955.134458755172"/>
    <n v="51"/>
    <n v="20124.180309192121"/>
    <n v="16830.954149563051"/>
  </r>
  <r>
    <s v="ORD102840"/>
    <d v="2026-03-01T00:00:00"/>
    <x v="4"/>
    <n v="3"/>
    <x v="0"/>
    <x v="0"/>
    <x v="5"/>
    <n v="60841.310639450057"/>
    <n v="11"/>
    <n v="41742.273626627517"/>
    <n v="19099.03701282254"/>
  </r>
  <r>
    <s v="ORD102841"/>
    <d v="2026-03-01T00:00:00"/>
    <x v="4"/>
    <n v="3"/>
    <x v="0"/>
    <x v="1"/>
    <x v="5"/>
    <n v="82843.832097215491"/>
    <n v="15"/>
    <n v="57438.046698819737"/>
    <n v="25405.78539839575"/>
  </r>
  <r>
    <s v="ORD102842"/>
    <d v="2026-03-01T00:00:00"/>
    <x v="4"/>
    <n v="3"/>
    <x v="1"/>
    <x v="0"/>
    <x v="5"/>
    <n v="47654.390368400957"/>
    <n v="9"/>
    <n v="33304.817852839238"/>
    <n v="14349.572515561729"/>
  </r>
  <r>
    <s v="ORD102843"/>
    <d v="2026-03-01T00:00:00"/>
    <x v="4"/>
    <n v="3"/>
    <x v="1"/>
    <x v="1"/>
    <x v="5"/>
    <n v="63415.49279189168"/>
    <n v="12"/>
    <n v="43716.427899918337"/>
    <n v="19699.064891973339"/>
  </r>
  <r>
    <s v="ORD102844"/>
    <d v="2026-03-01T00:00:00"/>
    <x v="4"/>
    <n v="3"/>
    <x v="2"/>
    <x v="0"/>
    <x v="5"/>
    <n v="35561.625626724053"/>
    <n v="7"/>
    <n v="24544.64360442878"/>
    <n v="11016.982022295269"/>
  </r>
  <r>
    <s v="ORD102845"/>
    <d v="2026-03-01T00:00:00"/>
    <x v="4"/>
    <n v="3"/>
    <x v="2"/>
    <x v="1"/>
    <x v="5"/>
    <n v="47220.705244236189"/>
    <n v="9"/>
    <n v="32666.333066390489"/>
    <n v="14554.3721778457"/>
  </r>
  <r>
    <s v="ORD102846"/>
    <d v="2026-03-01T00:00:00"/>
    <x v="4"/>
    <n v="3"/>
    <x v="3"/>
    <x v="0"/>
    <x v="5"/>
    <n v="27114.244613908701"/>
    <n v="5"/>
    <n v="18535.093068502061"/>
    <n v="8579.1515454066357"/>
  </r>
  <r>
    <s v="ORD102847"/>
    <d v="2026-03-01T00:00:00"/>
    <x v="4"/>
    <n v="3"/>
    <x v="3"/>
    <x v="1"/>
    <x v="5"/>
    <n v="36606.868323162802"/>
    <n v="7"/>
    <n v="24838.002793449032"/>
    <n v="11768.86552971377"/>
  </r>
  <r>
    <s v="ORD102848"/>
    <d v="2026-03-01T00:00:00"/>
    <x v="4"/>
    <n v="3"/>
    <x v="0"/>
    <x v="0"/>
    <x v="6"/>
    <n v="122605.0705065826"/>
    <n v="35"/>
    <n v="70051.295863141466"/>
    <n v="52553.774643441138"/>
  </r>
  <r>
    <s v="ORD102849"/>
    <d v="2026-03-01T00:00:00"/>
    <x v="4"/>
    <n v="3"/>
    <x v="0"/>
    <x v="1"/>
    <x v="6"/>
    <n v="176930.89745584829"/>
    <n v="51"/>
    <n v="103083.03959317649"/>
    <n v="73847.857862671837"/>
  </r>
  <r>
    <s v="ORD102850"/>
    <d v="2026-03-01T00:00:00"/>
    <x v="4"/>
    <n v="3"/>
    <x v="1"/>
    <x v="0"/>
    <x v="6"/>
    <n v="114497.76091222141"/>
    <n v="33"/>
    <n v="68129.007826950925"/>
    <n v="46368.753085270509"/>
  </r>
  <r>
    <s v="ORD102851"/>
    <d v="2026-03-01T00:00:00"/>
    <x v="4"/>
    <n v="3"/>
    <x v="1"/>
    <x v="1"/>
    <x v="6"/>
    <n v="144813.867237495"/>
    <n v="41"/>
    <n v="84359.157812768157"/>
    <n v="60454.709424726869"/>
  </r>
  <r>
    <s v="ORD102852"/>
    <d v="2026-03-01T00:00:00"/>
    <x v="4"/>
    <n v="3"/>
    <x v="2"/>
    <x v="0"/>
    <x v="6"/>
    <n v="71632.07603325152"/>
    <n v="20"/>
    <n v="42082.017282449633"/>
    <n v="29550.058750801891"/>
  </r>
  <r>
    <s v="ORD102853"/>
    <d v="2026-03-01T00:00:00"/>
    <x v="4"/>
    <n v="3"/>
    <x v="2"/>
    <x v="1"/>
    <x v="6"/>
    <n v="98640.73533976289"/>
    <n v="28"/>
    <n v="58686.65075982736"/>
    <n v="39954.08457993553"/>
  </r>
  <r>
    <s v="ORD102854"/>
    <d v="2026-03-01T00:00:00"/>
    <x v="4"/>
    <n v="3"/>
    <x v="3"/>
    <x v="0"/>
    <x v="6"/>
    <n v="54567.871874471813"/>
    <n v="16"/>
    <n v="32496.789592200981"/>
    <n v="22071.082282270829"/>
  </r>
  <r>
    <s v="ORD102855"/>
    <d v="2026-03-01T00:00:00"/>
    <x v="4"/>
    <n v="3"/>
    <x v="3"/>
    <x v="1"/>
    <x v="6"/>
    <n v="70132.654176597614"/>
    <n v="20"/>
    <n v="40574.220409660433"/>
    <n v="29558.433766937189"/>
  </r>
  <r>
    <s v="ORD102856"/>
    <d v="2026-04-01T00:00:00"/>
    <x v="4"/>
    <n v="4"/>
    <x v="0"/>
    <x v="0"/>
    <x v="0"/>
    <n v="129147.1945735686"/>
    <n v="25"/>
    <n v="81508.30502840846"/>
    <n v="47638.889545160098"/>
  </r>
  <r>
    <s v="ORD102857"/>
    <d v="2026-04-01T00:00:00"/>
    <x v="4"/>
    <n v="4"/>
    <x v="0"/>
    <x v="1"/>
    <x v="0"/>
    <n v="182554.18236170369"/>
    <n v="35"/>
    <n v="115480.3486718385"/>
    <n v="67073.833689865278"/>
  </r>
  <r>
    <s v="ORD102858"/>
    <d v="2026-04-01T00:00:00"/>
    <x v="4"/>
    <n v="4"/>
    <x v="1"/>
    <x v="0"/>
    <x v="0"/>
    <n v="112217.6211758935"/>
    <n v="22"/>
    <n v="68159.959183038998"/>
    <n v="44057.661992854511"/>
  </r>
  <r>
    <s v="ORD102859"/>
    <d v="2026-04-01T00:00:00"/>
    <x v="4"/>
    <n v="4"/>
    <x v="1"/>
    <x v="1"/>
    <x v="0"/>
    <n v="148937.40569772371"/>
    <n v="29"/>
    <n v="90971.858125508123"/>
    <n v="57965.547572215553"/>
  </r>
  <r>
    <s v="ORD102860"/>
    <d v="2026-04-01T00:00:00"/>
    <x v="4"/>
    <n v="4"/>
    <x v="2"/>
    <x v="0"/>
    <x v="0"/>
    <n v="72148.866276797533"/>
    <n v="14"/>
    <n v="45691.341093042363"/>
    <n v="26457.52518375517"/>
  </r>
  <r>
    <s v="ORD102861"/>
    <d v="2026-04-01T00:00:00"/>
    <x v="4"/>
    <n v="4"/>
    <x v="2"/>
    <x v="1"/>
    <x v="0"/>
    <n v="105162.2082747453"/>
    <n v="20"/>
    <n v="65028.220333378587"/>
    <n v="40133.987941366751"/>
  </r>
  <r>
    <s v="ORD102862"/>
    <d v="2026-04-01T00:00:00"/>
    <x v="4"/>
    <n v="4"/>
    <x v="3"/>
    <x v="0"/>
    <x v="0"/>
    <n v="59508.061403292741"/>
    <n v="11"/>
    <n v="35420.821414472673"/>
    <n v="24087.239988820071"/>
  </r>
  <r>
    <s v="ORD102863"/>
    <d v="2026-04-01T00:00:00"/>
    <x v="4"/>
    <n v="4"/>
    <x v="3"/>
    <x v="1"/>
    <x v="0"/>
    <n v="78620.325357015055"/>
    <n v="15"/>
    <n v="47516.517206620527"/>
    <n v="31103.808150394529"/>
  </r>
  <r>
    <s v="ORD102864"/>
    <d v="2026-04-01T00:00:00"/>
    <x v="4"/>
    <n v="4"/>
    <x v="0"/>
    <x v="0"/>
    <x v="1"/>
    <n v="144975.6439109132"/>
    <n v="24"/>
    <n v="95254.433020066033"/>
    <n v="49721.2108908472"/>
  </r>
  <r>
    <s v="ORD102865"/>
    <d v="2026-04-01T00:00:00"/>
    <x v="4"/>
    <n v="4"/>
    <x v="0"/>
    <x v="1"/>
    <x v="1"/>
    <n v="186357.13252118829"/>
    <n v="31"/>
    <n v="120420.8208994985"/>
    <n v="65936.311621689762"/>
  </r>
  <r>
    <s v="ORD102866"/>
    <d v="2026-04-01T00:00:00"/>
    <x v="4"/>
    <n v="4"/>
    <x v="1"/>
    <x v="0"/>
    <x v="1"/>
    <n v="107832.39315973139"/>
    <n v="18"/>
    <n v="70639.76344744979"/>
    <n v="37192.629712281647"/>
  </r>
  <r>
    <s v="ORD102867"/>
    <d v="2026-04-01T00:00:00"/>
    <x v="4"/>
    <n v="4"/>
    <x v="1"/>
    <x v="1"/>
    <x v="1"/>
    <n v="148183.60272036269"/>
    <n v="24"/>
    <n v="97858.208776817934"/>
    <n v="50325.393943544717"/>
  </r>
  <r>
    <s v="ORD102868"/>
    <d v="2026-04-01T00:00:00"/>
    <x v="4"/>
    <n v="4"/>
    <x v="2"/>
    <x v="0"/>
    <x v="1"/>
    <n v="72925.197269146549"/>
    <n v="12"/>
    <n v="49397.456438465291"/>
    <n v="23527.740830681261"/>
  </r>
  <r>
    <s v="ORD102869"/>
    <d v="2026-04-01T00:00:00"/>
    <x v="4"/>
    <n v="4"/>
    <x v="2"/>
    <x v="1"/>
    <x v="1"/>
    <n v="106219.420041554"/>
    <n v="17"/>
    <n v="69738.297290643124"/>
    <n v="36481.122750910887"/>
  </r>
  <r>
    <s v="ORD102870"/>
    <d v="2026-04-01T00:00:00"/>
    <x v="4"/>
    <n v="4"/>
    <x v="3"/>
    <x v="0"/>
    <x v="1"/>
    <n v="51155.437628461972"/>
    <n v="8"/>
    <n v="34414.401014952608"/>
    <n v="16741.036613509361"/>
  </r>
  <r>
    <s v="ORD102871"/>
    <d v="2026-04-01T00:00:00"/>
    <x v="4"/>
    <n v="4"/>
    <x v="3"/>
    <x v="1"/>
    <x v="1"/>
    <n v="80785.645389769707"/>
    <n v="13"/>
    <n v="54689.754901400309"/>
    <n v="26095.890488369401"/>
  </r>
  <r>
    <s v="ORD102872"/>
    <d v="2026-04-01T00:00:00"/>
    <x v="4"/>
    <n v="4"/>
    <x v="0"/>
    <x v="0"/>
    <x v="2"/>
    <n v="94701.589788935016"/>
    <n v="22"/>
    <n v="62173.795261315907"/>
    <n v="32527.794527619099"/>
  </r>
  <r>
    <s v="ORD102873"/>
    <d v="2026-04-01T00:00:00"/>
    <x v="4"/>
    <n v="4"/>
    <x v="0"/>
    <x v="1"/>
    <x v="2"/>
    <n v="119288.4952919413"/>
    <n v="28"/>
    <n v="76735.947735964844"/>
    <n v="42552.547555976453"/>
  </r>
  <r>
    <s v="ORD102874"/>
    <d v="2026-04-01T00:00:00"/>
    <x v="4"/>
    <n v="4"/>
    <x v="1"/>
    <x v="0"/>
    <x v="2"/>
    <n v="75128.405634534109"/>
    <n v="17"/>
    <n v="46382.993620449961"/>
    <n v="28745.412014084151"/>
  </r>
  <r>
    <s v="ORD102875"/>
    <d v="2026-04-01T00:00:00"/>
    <x v="4"/>
    <n v="4"/>
    <x v="1"/>
    <x v="1"/>
    <x v="2"/>
    <n v="105111.2788538765"/>
    <n v="24"/>
    <n v="67829.222969997601"/>
    <n v="37282.055883878871"/>
  </r>
  <r>
    <s v="ORD102876"/>
    <d v="2026-04-01T00:00:00"/>
    <x v="4"/>
    <n v="4"/>
    <x v="2"/>
    <x v="0"/>
    <x v="2"/>
    <n v="51125.780254126897"/>
    <n v="12"/>
    <n v="33337.974384139146"/>
    <n v="17787.805869987751"/>
  </r>
  <r>
    <s v="ORD102877"/>
    <d v="2026-04-01T00:00:00"/>
    <x v="4"/>
    <n v="4"/>
    <x v="2"/>
    <x v="1"/>
    <x v="2"/>
    <n v="71867.512597591092"/>
    <n v="17"/>
    <n v="45928.091491590887"/>
    <n v="25939.421106000209"/>
  </r>
  <r>
    <s v="ORD102878"/>
    <d v="2026-04-01T00:00:00"/>
    <x v="4"/>
    <n v="4"/>
    <x v="3"/>
    <x v="0"/>
    <x v="2"/>
    <n v="37885.5653902306"/>
    <n v="9"/>
    <n v="25008.171022990839"/>
    <n v="12877.39436723976"/>
  </r>
  <r>
    <s v="ORD102879"/>
    <d v="2026-04-01T00:00:00"/>
    <x v="4"/>
    <n v="4"/>
    <x v="3"/>
    <x v="1"/>
    <x v="2"/>
    <n v="61114.333338409138"/>
    <n v="14"/>
    <n v="39718.528080927019"/>
    <n v="21395.805257482119"/>
  </r>
  <r>
    <s v="ORD102880"/>
    <d v="2026-04-01T00:00:00"/>
    <x v="4"/>
    <n v="4"/>
    <x v="0"/>
    <x v="0"/>
    <x v="3"/>
    <n v="85801.453019701788"/>
    <n v="101"/>
    <n v="41605.972457375989"/>
    <n v="44195.4805623258"/>
  </r>
  <r>
    <s v="ORD102881"/>
    <d v="2026-04-01T00:00:00"/>
    <x v="4"/>
    <n v="4"/>
    <x v="0"/>
    <x v="1"/>
    <x v="3"/>
    <n v="127690.9326643501"/>
    <n v="150"/>
    <n v="62490.196827222659"/>
    <n v="65200.735837127409"/>
  </r>
  <r>
    <s v="ORD102882"/>
    <d v="2026-04-01T00:00:00"/>
    <x v="4"/>
    <n v="4"/>
    <x v="1"/>
    <x v="0"/>
    <x v="3"/>
    <n v="72813.47441219342"/>
    <n v="86"/>
    <n v="35160.19349789562"/>
    <n v="37653.2809142978"/>
  </r>
  <r>
    <s v="ORD102883"/>
    <d v="2026-04-01T00:00:00"/>
    <x v="4"/>
    <n v="4"/>
    <x v="1"/>
    <x v="1"/>
    <x v="3"/>
    <n v="90758.682858707281"/>
    <n v="107"/>
    <n v="41609.41790542112"/>
    <n v="49149.264953286161"/>
  </r>
  <r>
    <s v="ORD102884"/>
    <d v="2026-04-01T00:00:00"/>
    <x v="4"/>
    <n v="4"/>
    <x v="2"/>
    <x v="0"/>
    <x v="3"/>
    <n v="45642.366419222133"/>
    <n v="54"/>
    <n v="21711.50041282273"/>
    <n v="23930.866006399399"/>
  </r>
  <r>
    <s v="ORD102885"/>
    <d v="2026-04-01T00:00:00"/>
    <x v="4"/>
    <n v="4"/>
    <x v="2"/>
    <x v="1"/>
    <x v="3"/>
    <n v="67698.571307442719"/>
    <n v="80"/>
    <n v="33195.556549687702"/>
    <n v="34503.014757755023"/>
  </r>
  <r>
    <s v="ORD102886"/>
    <d v="2026-04-01T00:00:00"/>
    <x v="4"/>
    <n v="4"/>
    <x v="3"/>
    <x v="0"/>
    <x v="3"/>
    <n v="38858.362464824277"/>
    <n v="46"/>
    <n v="18380.876293688842"/>
    <n v="20477.48617113545"/>
  </r>
  <r>
    <s v="ORD102887"/>
    <d v="2026-04-01T00:00:00"/>
    <x v="4"/>
    <n v="4"/>
    <x v="3"/>
    <x v="1"/>
    <x v="3"/>
    <n v="52556.238307636682"/>
    <n v="62"/>
    <n v="25125.51867422822"/>
    <n v="27430.719633408451"/>
  </r>
  <r>
    <s v="ORD102888"/>
    <d v="2026-04-01T00:00:00"/>
    <x v="4"/>
    <n v="4"/>
    <x v="0"/>
    <x v="0"/>
    <x v="4"/>
    <n v="67836.23280805684"/>
    <n v="94"/>
    <n v="36608.238226012487"/>
    <n v="31227.99458204435"/>
  </r>
  <r>
    <s v="ORD102889"/>
    <d v="2026-04-01T00:00:00"/>
    <x v="4"/>
    <n v="4"/>
    <x v="0"/>
    <x v="1"/>
    <x v="4"/>
    <n v="99820.549881642277"/>
    <n v="139"/>
    <n v="56664.216565456598"/>
    <n v="43156.333316185679"/>
  </r>
  <r>
    <s v="ORD102890"/>
    <d v="2026-04-01T00:00:00"/>
    <x v="4"/>
    <n v="4"/>
    <x v="1"/>
    <x v="0"/>
    <x v="4"/>
    <n v="60682.317636711647"/>
    <n v="84"/>
    <n v="34385.439608298679"/>
    <n v="26296.878028412979"/>
  </r>
  <r>
    <s v="ORD102891"/>
    <d v="2026-04-01T00:00:00"/>
    <x v="4"/>
    <n v="4"/>
    <x v="1"/>
    <x v="1"/>
    <x v="4"/>
    <n v="78522.671946790055"/>
    <n v="109"/>
    <n v="42500.372472493167"/>
    <n v="36022.299474296888"/>
  </r>
  <r>
    <s v="ORD102892"/>
    <d v="2026-04-01T00:00:00"/>
    <x v="4"/>
    <n v="4"/>
    <x v="2"/>
    <x v="0"/>
    <x v="4"/>
    <n v="40059.312331861373"/>
    <n v="56"/>
    <n v="22091.038282897862"/>
    <n v="17968.274048963511"/>
  </r>
  <r>
    <s v="ORD102893"/>
    <d v="2026-04-01T00:00:00"/>
    <x v="4"/>
    <n v="4"/>
    <x v="2"/>
    <x v="1"/>
    <x v="4"/>
    <n v="54103.748722880242"/>
    <n v="75"/>
    <n v="29392.570735804478"/>
    <n v="24711.17798707576"/>
  </r>
  <r>
    <s v="ORD102894"/>
    <d v="2026-04-01T00:00:00"/>
    <x v="4"/>
    <n v="4"/>
    <x v="3"/>
    <x v="0"/>
    <x v="4"/>
    <n v="30913.76395944431"/>
    <n v="43"/>
    <n v="17190.771686543871"/>
    <n v="13722.992272900439"/>
  </r>
  <r>
    <s v="ORD102895"/>
    <d v="2026-04-01T00:00:00"/>
    <x v="4"/>
    <n v="4"/>
    <x v="3"/>
    <x v="1"/>
    <x v="4"/>
    <n v="42691.260511146851"/>
    <n v="59"/>
    <n v="23695.60751011466"/>
    <n v="18995.653001032191"/>
  </r>
  <r>
    <s v="ORD102896"/>
    <d v="2026-04-01T00:00:00"/>
    <x v="4"/>
    <n v="4"/>
    <x v="0"/>
    <x v="0"/>
    <x v="5"/>
    <n v="68217.829866510088"/>
    <n v="13"/>
    <n v="47758.032691810229"/>
    <n v="20459.797174699859"/>
  </r>
  <r>
    <s v="ORD102897"/>
    <d v="2026-04-01T00:00:00"/>
    <x v="4"/>
    <n v="4"/>
    <x v="0"/>
    <x v="1"/>
    <x v="5"/>
    <n v="82943.780595173215"/>
    <n v="15"/>
    <n v="57573.138301274499"/>
    <n v="25370.64229389872"/>
  </r>
  <r>
    <s v="ORD102898"/>
    <d v="2026-04-01T00:00:00"/>
    <x v="4"/>
    <n v="4"/>
    <x v="1"/>
    <x v="0"/>
    <x v="5"/>
    <n v="47935.705963520028"/>
    <n v="9"/>
    <n v="34823.264863236996"/>
    <n v="13112.44110028302"/>
  </r>
  <r>
    <s v="ORD102899"/>
    <d v="2026-04-01T00:00:00"/>
    <x v="4"/>
    <n v="4"/>
    <x v="1"/>
    <x v="1"/>
    <x v="5"/>
    <n v="67689.578541418159"/>
    <n v="13"/>
    <n v="45841.628991364072"/>
    <n v="21847.949550054091"/>
  </r>
  <r>
    <s v="ORD102900"/>
    <d v="2026-04-01T00:00:00"/>
    <x v="4"/>
    <n v="4"/>
    <x v="2"/>
    <x v="0"/>
    <x v="5"/>
    <n v="35163.075870885623"/>
    <n v="7"/>
    <n v="23515.458412741009"/>
    <n v="11647.61745814461"/>
  </r>
  <r>
    <s v="ORD102901"/>
    <d v="2026-04-01T00:00:00"/>
    <x v="4"/>
    <n v="4"/>
    <x v="2"/>
    <x v="1"/>
    <x v="5"/>
    <n v="48720.022837294353"/>
    <n v="9"/>
    <n v="33378.955822376367"/>
    <n v="15341.06701491798"/>
  </r>
  <r>
    <s v="ORD102902"/>
    <d v="2026-04-01T00:00:00"/>
    <x v="4"/>
    <n v="4"/>
    <x v="3"/>
    <x v="0"/>
    <x v="5"/>
    <n v="26155.77652811072"/>
    <n v="5"/>
    <n v="17538.11737704153"/>
    <n v="8617.6591510691906"/>
  </r>
  <r>
    <s v="ORD102903"/>
    <d v="2026-04-01T00:00:00"/>
    <x v="4"/>
    <n v="4"/>
    <x v="3"/>
    <x v="1"/>
    <x v="5"/>
    <n v="33720.844112502753"/>
    <n v="6"/>
    <n v="22642.320010247651"/>
    <n v="11078.5241022551"/>
  </r>
  <r>
    <s v="ORD102904"/>
    <d v="2026-04-01T00:00:00"/>
    <x v="4"/>
    <n v="4"/>
    <x v="0"/>
    <x v="0"/>
    <x v="6"/>
    <n v="140168.8715325387"/>
    <n v="40"/>
    <n v="81209.083802939305"/>
    <n v="58959.787729599397"/>
  </r>
  <r>
    <s v="ORD102905"/>
    <d v="2026-04-01T00:00:00"/>
    <x v="4"/>
    <n v="4"/>
    <x v="0"/>
    <x v="1"/>
    <x v="6"/>
    <n v="204701.77308762129"/>
    <n v="58"/>
    <n v="118769.2693845413"/>
    <n v="85932.503703080001"/>
  </r>
  <r>
    <s v="ORD102906"/>
    <d v="2026-04-01T00:00:00"/>
    <x v="4"/>
    <n v="4"/>
    <x v="1"/>
    <x v="0"/>
    <x v="6"/>
    <n v="110612.96162871461"/>
    <n v="32"/>
    <n v="64140.248262132583"/>
    <n v="46472.713366582037"/>
  </r>
  <r>
    <s v="ORD102907"/>
    <d v="2026-04-01T00:00:00"/>
    <x v="4"/>
    <n v="4"/>
    <x v="1"/>
    <x v="1"/>
    <x v="6"/>
    <n v="150346.8978748403"/>
    <n v="43"/>
    <n v="89532.10168155405"/>
    <n v="60814.796193286224"/>
  </r>
  <r>
    <s v="ORD102908"/>
    <d v="2026-04-01T00:00:00"/>
    <x v="4"/>
    <n v="4"/>
    <x v="2"/>
    <x v="0"/>
    <x v="6"/>
    <n v="84417.687396648776"/>
    <n v="24"/>
    <n v="49352.629052647913"/>
    <n v="35065.05834400087"/>
  </r>
  <r>
    <s v="ORD102909"/>
    <d v="2026-04-01T00:00:00"/>
    <x v="4"/>
    <n v="4"/>
    <x v="2"/>
    <x v="1"/>
    <x v="6"/>
    <n v="113222.79277702481"/>
    <n v="32"/>
    <n v="66585.594735595267"/>
    <n v="46637.198041429569"/>
  </r>
  <r>
    <s v="ORD102910"/>
    <d v="2026-04-01T00:00:00"/>
    <x v="4"/>
    <n v="4"/>
    <x v="3"/>
    <x v="0"/>
    <x v="6"/>
    <n v="58674.474509002961"/>
    <n v="17"/>
    <n v="35175.156897279638"/>
    <n v="23499.31761172332"/>
  </r>
  <r>
    <s v="ORD102911"/>
    <d v="2026-04-01T00:00:00"/>
    <x v="4"/>
    <n v="4"/>
    <x v="3"/>
    <x v="1"/>
    <x v="6"/>
    <n v="84029.928826885487"/>
    <n v="24"/>
    <n v="48893.793438830413"/>
    <n v="35136.135388055067"/>
  </r>
  <r>
    <s v="ORD102912"/>
    <d v="2026-05-01T00:00:00"/>
    <x v="4"/>
    <n v="5"/>
    <x v="0"/>
    <x v="0"/>
    <x v="0"/>
    <n v="124482.4506970907"/>
    <n v="24"/>
    <n v="76811.605880990523"/>
    <n v="47670.844816100223"/>
  </r>
  <r>
    <s v="ORD102913"/>
    <d v="2026-05-01T00:00:00"/>
    <x v="4"/>
    <n v="5"/>
    <x v="0"/>
    <x v="1"/>
    <x v="0"/>
    <n v="189222.29260357819"/>
    <n v="36"/>
    <n v="118090.2043793389"/>
    <n v="71132.088224239211"/>
  </r>
  <r>
    <s v="ORD102914"/>
    <d v="2026-05-01T00:00:00"/>
    <x v="4"/>
    <n v="5"/>
    <x v="1"/>
    <x v="0"/>
    <x v="0"/>
    <n v="110796.3549117557"/>
    <n v="21"/>
    <n v="66293.016077318622"/>
    <n v="44503.33883443712"/>
  </r>
  <r>
    <s v="ORD102915"/>
    <d v="2026-05-01T00:00:00"/>
    <x v="4"/>
    <n v="5"/>
    <x v="1"/>
    <x v="1"/>
    <x v="0"/>
    <n v="147704.56375966541"/>
    <n v="28"/>
    <n v="87645.591996660063"/>
    <n v="60058.97176300532"/>
  </r>
  <r>
    <s v="ORD102916"/>
    <d v="2026-05-01T00:00:00"/>
    <x v="4"/>
    <n v="5"/>
    <x v="2"/>
    <x v="0"/>
    <x v="0"/>
    <n v="70837.432376859797"/>
    <n v="14"/>
    <n v="44192.829655317633"/>
    <n v="26644.60272154216"/>
  </r>
  <r>
    <s v="ORD102917"/>
    <d v="2026-05-01T00:00:00"/>
    <x v="4"/>
    <n v="5"/>
    <x v="2"/>
    <x v="1"/>
    <x v="0"/>
    <n v="106314.5716253459"/>
    <n v="20"/>
    <n v="66498.794895902218"/>
    <n v="39815.776729443663"/>
  </r>
  <r>
    <s v="ORD102918"/>
    <d v="2026-05-01T00:00:00"/>
    <x v="4"/>
    <n v="5"/>
    <x v="3"/>
    <x v="0"/>
    <x v="0"/>
    <n v="50384.467465365757"/>
    <n v="10"/>
    <n v="32399.061524166969"/>
    <n v="17985.405941198791"/>
  </r>
  <r>
    <s v="ORD102919"/>
    <d v="2026-05-01T00:00:00"/>
    <x v="4"/>
    <n v="5"/>
    <x v="3"/>
    <x v="1"/>
    <x v="0"/>
    <n v="70220.207279006703"/>
    <n v="14"/>
    <n v="43660.420750260942"/>
    <n v="26559.786528745772"/>
  </r>
  <r>
    <s v="ORD102920"/>
    <d v="2026-05-01T00:00:00"/>
    <x v="4"/>
    <n v="5"/>
    <x v="0"/>
    <x v="0"/>
    <x v="1"/>
    <n v="145657.00577512471"/>
    <n v="24"/>
    <n v="97552.105704423753"/>
    <n v="48104.900070700984"/>
  </r>
  <r>
    <s v="ORD102921"/>
    <d v="2026-05-01T00:00:00"/>
    <x v="4"/>
    <n v="5"/>
    <x v="0"/>
    <x v="1"/>
    <x v="1"/>
    <n v="192615.14490170311"/>
    <n v="32"/>
    <n v="126678.7018552887"/>
    <n v="65936.44304641441"/>
  </r>
  <r>
    <s v="ORD102922"/>
    <d v="2026-05-01T00:00:00"/>
    <x v="4"/>
    <n v="5"/>
    <x v="1"/>
    <x v="0"/>
    <x v="1"/>
    <n v="102850.54585481989"/>
    <n v="17"/>
    <n v="68244.531650138437"/>
    <n v="34606.014204681502"/>
  </r>
  <r>
    <s v="ORD102923"/>
    <d v="2026-05-01T00:00:00"/>
    <x v="4"/>
    <n v="5"/>
    <x v="1"/>
    <x v="1"/>
    <x v="1"/>
    <n v="151349.68064700739"/>
    <n v="25"/>
    <n v="102888.5740588222"/>
    <n v="48461.106588185212"/>
  </r>
  <r>
    <s v="ORD102924"/>
    <d v="2026-05-01T00:00:00"/>
    <x v="4"/>
    <n v="5"/>
    <x v="2"/>
    <x v="0"/>
    <x v="1"/>
    <n v="74789.394485532161"/>
    <n v="12"/>
    <n v="47473.836975751503"/>
    <n v="27315.557509780661"/>
  </r>
  <r>
    <s v="ORD102925"/>
    <d v="2026-05-01T00:00:00"/>
    <x v="4"/>
    <n v="5"/>
    <x v="2"/>
    <x v="1"/>
    <x v="1"/>
    <n v="109634.6967214437"/>
    <n v="18"/>
    <n v="72897.618548493061"/>
    <n v="36737.078172950663"/>
  </r>
  <r>
    <s v="ORD102926"/>
    <d v="2026-05-01T00:00:00"/>
    <x v="4"/>
    <n v="5"/>
    <x v="3"/>
    <x v="0"/>
    <x v="1"/>
    <n v="58272.422376077433"/>
    <n v="10"/>
    <n v="39938.215014246169"/>
    <n v="18334.207361831261"/>
  </r>
  <r>
    <s v="ORD102927"/>
    <d v="2026-05-01T00:00:00"/>
    <x v="4"/>
    <n v="5"/>
    <x v="3"/>
    <x v="1"/>
    <x v="1"/>
    <n v="81895.06477119989"/>
    <n v="13"/>
    <n v="54325.137611512073"/>
    <n v="27569.927159687821"/>
  </r>
  <r>
    <s v="ORD102928"/>
    <d v="2026-05-01T00:00:00"/>
    <x v="4"/>
    <n v="5"/>
    <x v="0"/>
    <x v="0"/>
    <x v="2"/>
    <n v="95676.07550934868"/>
    <n v="22"/>
    <n v="63051.930682687933"/>
    <n v="32624.144826660751"/>
  </r>
  <r>
    <s v="ORD102929"/>
    <d v="2026-05-01T00:00:00"/>
    <x v="4"/>
    <n v="5"/>
    <x v="0"/>
    <x v="1"/>
    <x v="2"/>
    <n v="133244.14131578739"/>
    <n v="31"/>
    <n v="84310.427090903191"/>
    <n v="48933.714224884257"/>
  </r>
  <r>
    <s v="ORD102930"/>
    <d v="2026-05-01T00:00:00"/>
    <x v="4"/>
    <n v="5"/>
    <x v="1"/>
    <x v="0"/>
    <x v="2"/>
    <n v="73373.956990755934"/>
    <n v="17"/>
    <n v="46932.243753282688"/>
    <n v="26441.71323747325"/>
  </r>
  <r>
    <s v="ORD102931"/>
    <d v="2026-05-01T00:00:00"/>
    <x v="4"/>
    <n v="5"/>
    <x v="1"/>
    <x v="1"/>
    <x v="2"/>
    <n v="103479.1772706772"/>
    <n v="24"/>
    <n v="66266.637584552125"/>
    <n v="37212.539686125092"/>
  </r>
  <r>
    <s v="ORD102932"/>
    <d v="2026-05-01T00:00:00"/>
    <x v="4"/>
    <n v="5"/>
    <x v="2"/>
    <x v="0"/>
    <x v="2"/>
    <n v="53102.992413134147"/>
    <n v="12"/>
    <n v="32629.311623940441"/>
    <n v="20473.68078919371"/>
  </r>
  <r>
    <s v="ORD102933"/>
    <d v="2026-05-01T00:00:00"/>
    <x v="4"/>
    <n v="5"/>
    <x v="2"/>
    <x v="1"/>
    <x v="2"/>
    <n v="72985.256398167112"/>
    <n v="17"/>
    <n v="45728.371679391807"/>
    <n v="27256.884718775309"/>
  </r>
  <r>
    <s v="ORD102934"/>
    <d v="2026-05-01T00:00:00"/>
    <x v="4"/>
    <n v="5"/>
    <x v="3"/>
    <x v="0"/>
    <x v="2"/>
    <n v="38091.234639964983"/>
    <n v="9"/>
    <n v="23897.069293832421"/>
    <n v="14194.16534613256"/>
  </r>
  <r>
    <s v="ORD102935"/>
    <d v="2026-05-01T00:00:00"/>
    <x v="4"/>
    <n v="5"/>
    <x v="3"/>
    <x v="1"/>
    <x v="2"/>
    <n v="53141.862115304742"/>
    <n v="12"/>
    <n v="34514.055881175853"/>
    <n v="18627.80623412889"/>
  </r>
  <r>
    <s v="ORD102936"/>
    <d v="2026-05-01T00:00:00"/>
    <x v="4"/>
    <n v="5"/>
    <x v="0"/>
    <x v="0"/>
    <x v="3"/>
    <n v="78580.001154380268"/>
    <n v="92"/>
    <n v="38310.532517427047"/>
    <n v="40269.468636953221"/>
  </r>
  <r>
    <s v="ORD102937"/>
    <d v="2026-05-01T00:00:00"/>
    <x v="4"/>
    <n v="5"/>
    <x v="0"/>
    <x v="1"/>
    <x v="3"/>
    <n v="105503.0614831969"/>
    <n v="124"/>
    <n v="50936.843781347947"/>
    <n v="54566.217701848989"/>
  </r>
  <r>
    <s v="ORD102938"/>
    <d v="2026-05-01T00:00:00"/>
    <x v="4"/>
    <n v="5"/>
    <x v="1"/>
    <x v="0"/>
    <x v="3"/>
    <n v="62310.873706802209"/>
    <n v="73"/>
    <n v="30352.88831726167"/>
    <n v="31957.985389540539"/>
  </r>
  <r>
    <s v="ORD102939"/>
    <d v="2026-05-01T00:00:00"/>
    <x v="4"/>
    <n v="5"/>
    <x v="1"/>
    <x v="1"/>
    <x v="3"/>
    <n v="92421.859215930468"/>
    <n v="109"/>
    <n v="44231.415036238737"/>
    <n v="48190.444179691724"/>
  </r>
  <r>
    <s v="ORD102940"/>
    <d v="2026-05-01T00:00:00"/>
    <x v="4"/>
    <n v="5"/>
    <x v="2"/>
    <x v="0"/>
    <x v="3"/>
    <n v="40871.882728526412"/>
    <n v="48"/>
    <n v="20042.945526210529"/>
    <n v="20828.937202315868"/>
  </r>
  <r>
    <s v="ORD102941"/>
    <d v="2026-05-01T00:00:00"/>
    <x v="4"/>
    <n v="5"/>
    <x v="2"/>
    <x v="1"/>
    <x v="3"/>
    <n v="63103.581070516368"/>
    <n v="74"/>
    <n v="30294.51050407414"/>
    <n v="32809.070566442228"/>
  </r>
  <r>
    <s v="ORD102942"/>
    <d v="2026-05-01T00:00:00"/>
    <x v="4"/>
    <n v="5"/>
    <x v="3"/>
    <x v="0"/>
    <x v="3"/>
    <n v="32317.0158690071"/>
    <n v="38"/>
    <n v="15528.32435957181"/>
    <n v="16788.691509435299"/>
  </r>
  <r>
    <s v="ORD102943"/>
    <d v="2026-05-01T00:00:00"/>
    <x v="4"/>
    <n v="5"/>
    <x v="3"/>
    <x v="1"/>
    <x v="3"/>
    <n v="46627.302004515921"/>
    <n v="55"/>
    <n v="22274.1083433276"/>
    <n v="24353.193661188321"/>
  </r>
  <r>
    <s v="ORD102944"/>
    <d v="2026-05-01T00:00:00"/>
    <x v="4"/>
    <n v="5"/>
    <x v="0"/>
    <x v="0"/>
    <x v="4"/>
    <n v="71984.966274034465"/>
    <n v="100"/>
    <n v="40079.505881753117"/>
    <n v="31905.46039228134"/>
  </r>
  <r>
    <s v="ORD102945"/>
    <d v="2026-05-01T00:00:00"/>
    <x v="4"/>
    <n v="5"/>
    <x v="0"/>
    <x v="1"/>
    <x v="4"/>
    <n v="98326.635379881074"/>
    <n v="137"/>
    <n v="53669.6403405456"/>
    <n v="44656.995039335467"/>
  </r>
  <r>
    <s v="ORD102946"/>
    <d v="2026-05-01T00:00:00"/>
    <x v="4"/>
    <n v="5"/>
    <x v="1"/>
    <x v="0"/>
    <x v="4"/>
    <n v="59804.015997181348"/>
    <n v="83"/>
    <n v="33470.314523700559"/>
    <n v="26333.701473480789"/>
  </r>
  <r>
    <s v="ORD102947"/>
    <d v="2026-05-01T00:00:00"/>
    <x v="4"/>
    <n v="5"/>
    <x v="1"/>
    <x v="1"/>
    <x v="4"/>
    <n v="81923.0879507231"/>
    <n v="114"/>
    <n v="44139.481751978397"/>
    <n v="37783.606198744703"/>
  </r>
  <r>
    <s v="ORD102948"/>
    <d v="2026-05-01T00:00:00"/>
    <x v="4"/>
    <n v="5"/>
    <x v="2"/>
    <x v="0"/>
    <x v="4"/>
    <n v="38651.227226514107"/>
    <n v="54"/>
    <n v="20837.677802125108"/>
    <n v="17813.549424388999"/>
  </r>
  <r>
    <s v="ORD102949"/>
    <d v="2026-05-01T00:00:00"/>
    <x v="4"/>
    <n v="5"/>
    <x v="2"/>
    <x v="1"/>
    <x v="4"/>
    <n v="57479.223114642256"/>
    <n v="80"/>
    <n v="32004.748995798869"/>
    <n v="25474.474118843402"/>
  </r>
  <r>
    <s v="ORD102950"/>
    <d v="2026-05-01T00:00:00"/>
    <x v="4"/>
    <n v="5"/>
    <x v="3"/>
    <x v="0"/>
    <x v="4"/>
    <n v="33964.577075141431"/>
    <n v="47"/>
    <n v="18650.744460000242"/>
    <n v="15313.832615141189"/>
  </r>
  <r>
    <s v="ORD102951"/>
    <d v="2026-05-01T00:00:00"/>
    <x v="4"/>
    <n v="5"/>
    <x v="3"/>
    <x v="1"/>
    <x v="4"/>
    <n v="42000.471413444313"/>
    <n v="58"/>
    <n v="22911.52910824979"/>
    <n v="19088.942305194509"/>
  </r>
  <r>
    <s v="ORD102952"/>
    <d v="2026-05-01T00:00:00"/>
    <x v="4"/>
    <n v="5"/>
    <x v="0"/>
    <x v="0"/>
    <x v="5"/>
    <n v="57176.890418782787"/>
    <n v="11"/>
    <n v="40084.117298236983"/>
    <n v="17092.773120545811"/>
  </r>
  <r>
    <s v="ORD102953"/>
    <d v="2026-05-01T00:00:00"/>
    <x v="4"/>
    <n v="5"/>
    <x v="0"/>
    <x v="1"/>
    <x v="5"/>
    <n v="80332.727721123563"/>
    <n v="15"/>
    <n v="54823.697691925387"/>
    <n v="25509.030029198169"/>
  </r>
  <r>
    <s v="ORD102954"/>
    <d v="2026-05-01T00:00:00"/>
    <x v="4"/>
    <n v="5"/>
    <x v="1"/>
    <x v="0"/>
    <x v="5"/>
    <n v="47467.074974288662"/>
    <n v="9"/>
    <n v="32634.25487034722"/>
    <n v="14832.82010394144"/>
  </r>
  <r>
    <s v="ORD102955"/>
    <d v="2026-05-01T00:00:00"/>
    <x v="4"/>
    <n v="5"/>
    <x v="1"/>
    <x v="1"/>
    <x v="5"/>
    <n v="63543.781999434817"/>
    <n v="12"/>
    <n v="44949.499548579341"/>
    <n v="18594.28245085548"/>
  </r>
  <r>
    <s v="ORD102956"/>
    <d v="2026-05-01T00:00:00"/>
    <x v="4"/>
    <n v="5"/>
    <x v="2"/>
    <x v="0"/>
    <x v="5"/>
    <n v="34937.66034451087"/>
    <n v="6"/>
    <n v="24774.859121359841"/>
    <n v="10162.801223151029"/>
  </r>
  <r>
    <s v="ORD102957"/>
    <d v="2026-05-01T00:00:00"/>
    <x v="4"/>
    <n v="5"/>
    <x v="2"/>
    <x v="1"/>
    <x v="5"/>
    <n v="42276.761238697087"/>
    <n v="8"/>
    <n v="29996.595978751291"/>
    <n v="12280.165259945799"/>
  </r>
  <r>
    <s v="ORD102958"/>
    <d v="2026-05-01T00:00:00"/>
    <x v="4"/>
    <n v="5"/>
    <x v="3"/>
    <x v="0"/>
    <x v="5"/>
    <n v="26196.11988790238"/>
    <n v="5"/>
    <n v="17983.531462256371"/>
    <n v="8212.5884256460085"/>
  </r>
  <r>
    <s v="ORD102959"/>
    <d v="2026-05-01T00:00:00"/>
    <x v="4"/>
    <n v="5"/>
    <x v="3"/>
    <x v="1"/>
    <x v="5"/>
    <n v="35705.640321238301"/>
    <n v="7"/>
    <n v="25182.664319678988"/>
    <n v="10522.976001559309"/>
  </r>
  <r>
    <s v="ORD102960"/>
    <d v="2026-05-01T00:00:00"/>
    <x v="4"/>
    <n v="5"/>
    <x v="0"/>
    <x v="0"/>
    <x v="6"/>
    <n v="137808.33858965529"/>
    <n v="39"/>
    <n v="79918.104002140317"/>
    <n v="57890.234587514977"/>
  </r>
  <r>
    <s v="ORD102961"/>
    <d v="2026-05-01T00:00:00"/>
    <x v="4"/>
    <n v="5"/>
    <x v="0"/>
    <x v="1"/>
    <x v="6"/>
    <n v="197051.15217144729"/>
    <n v="56"/>
    <n v="114362.31933848769"/>
    <n v="82688.832832959553"/>
  </r>
  <r>
    <s v="ORD102962"/>
    <d v="2026-05-01T00:00:00"/>
    <x v="4"/>
    <n v="5"/>
    <x v="1"/>
    <x v="0"/>
    <x v="6"/>
    <n v="106252.0892286069"/>
    <n v="30"/>
    <n v="60036.48487118043"/>
    <n v="46215.60435742644"/>
  </r>
  <r>
    <s v="ORD102963"/>
    <d v="2026-05-01T00:00:00"/>
    <x v="4"/>
    <n v="5"/>
    <x v="1"/>
    <x v="1"/>
    <x v="6"/>
    <n v="146025.01468651521"/>
    <n v="42"/>
    <n v="88749.018676877851"/>
    <n v="57275.996009637332"/>
  </r>
  <r>
    <s v="ORD102964"/>
    <d v="2026-05-01T00:00:00"/>
    <x v="4"/>
    <n v="5"/>
    <x v="2"/>
    <x v="0"/>
    <x v="6"/>
    <n v="77875.640551789285"/>
    <n v="22"/>
    <n v="45232.082633663507"/>
    <n v="32643.557918125771"/>
  </r>
  <r>
    <s v="ORD102965"/>
    <d v="2026-05-01T00:00:00"/>
    <x v="4"/>
    <n v="5"/>
    <x v="2"/>
    <x v="1"/>
    <x v="6"/>
    <n v="106626.23323386611"/>
    <n v="30"/>
    <n v="62766.195835119986"/>
    <n v="43860.03739874607"/>
  </r>
  <r>
    <s v="ORD102966"/>
    <d v="2026-05-01T00:00:00"/>
    <x v="4"/>
    <n v="5"/>
    <x v="3"/>
    <x v="0"/>
    <x v="6"/>
    <n v="51774.488661973453"/>
    <n v="15"/>
    <n v="30046.410959427169"/>
    <n v="21728.077702546281"/>
  </r>
  <r>
    <s v="ORD102967"/>
    <d v="2026-05-01T00:00:00"/>
    <x v="4"/>
    <n v="5"/>
    <x v="3"/>
    <x v="1"/>
    <x v="6"/>
    <n v="75136.946326987716"/>
    <n v="21"/>
    <n v="44885.508480694793"/>
    <n v="30251.43784629292"/>
  </r>
  <r>
    <s v="ORD102968"/>
    <d v="2026-06-01T00:00:00"/>
    <x v="4"/>
    <n v="6"/>
    <x v="0"/>
    <x v="0"/>
    <x v="0"/>
    <n v="137135.87297021659"/>
    <n v="26"/>
    <n v="84449.357835763425"/>
    <n v="52686.515134453221"/>
  </r>
  <r>
    <s v="ORD102969"/>
    <d v="2026-06-01T00:00:00"/>
    <x v="4"/>
    <n v="6"/>
    <x v="0"/>
    <x v="1"/>
    <x v="0"/>
    <n v="206382.10213104941"/>
    <n v="40"/>
    <n v="124951.6174046315"/>
    <n v="81430.484726417926"/>
  </r>
  <r>
    <s v="ORD102970"/>
    <d v="2026-06-01T00:00:00"/>
    <x v="4"/>
    <n v="6"/>
    <x v="1"/>
    <x v="0"/>
    <x v="0"/>
    <n v="116525.85599500161"/>
    <n v="22"/>
    <n v="72820.381326117466"/>
    <n v="43705.474668884177"/>
  </r>
  <r>
    <s v="ORD102971"/>
    <d v="2026-06-01T00:00:00"/>
    <x v="4"/>
    <n v="6"/>
    <x v="1"/>
    <x v="1"/>
    <x v="0"/>
    <n v="146906.63080545201"/>
    <n v="28"/>
    <n v="88731.542266067147"/>
    <n v="58175.088539384829"/>
  </r>
  <r>
    <s v="ORD102972"/>
    <d v="2026-06-01T00:00:00"/>
    <x v="4"/>
    <n v="6"/>
    <x v="2"/>
    <x v="0"/>
    <x v="0"/>
    <n v="79769.617235690792"/>
    <n v="15"/>
    <n v="48711.679884686273"/>
    <n v="31057.93735100453"/>
  </r>
  <r>
    <s v="ORD102973"/>
    <d v="2026-06-01T00:00:00"/>
    <x v="4"/>
    <n v="6"/>
    <x v="2"/>
    <x v="1"/>
    <x v="0"/>
    <n v="112941.3216748148"/>
    <n v="22"/>
    <n v="67368.043410279017"/>
    <n v="45573.27826453578"/>
  </r>
  <r>
    <s v="ORD102974"/>
    <d v="2026-06-01T00:00:00"/>
    <x v="4"/>
    <n v="6"/>
    <x v="3"/>
    <x v="0"/>
    <x v="0"/>
    <n v="58364.518525678162"/>
    <n v="11"/>
    <n v="35258.509179370783"/>
    <n v="23106.009346307379"/>
  </r>
  <r>
    <s v="ORD102975"/>
    <d v="2026-06-01T00:00:00"/>
    <x v="4"/>
    <n v="6"/>
    <x v="3"/>
    <x v="1"/>
    <x v="0"/>
    <n v="77827.309934355828"/>
    <n v="15"/>
    <n v="48407.994165770222"/>
    <n v="29419.315768585609"/>
  </r>
  <r>
    <s v="ORD102976"/>
    <d v="2026-06-01T00:00:00"/>
    <x v="4"/>
    <n v="6"/>
    <x v="0"/>
    <x v="0"/>
    <x v="1"/>
    <n v="145154.6267320863"/>
    <n v="24"/>
    <n v="92414.335078863718"/>
    <n v="52740.291653222608"/>
  </r>
  <r>
    <s v="ORD102977"/>
    <d v="2026-06-01T00:00:00"/>
    <x v="4"/>
    <n v="6"/>
    <x v="0"/>
    <x v="1"/>
    <x v="1"/>
    <n v="195152.85289267221"/>
    <n v="32"/>
    <n v="125366.97112229221"/>
    <n v="69785.881770379929"/>
  </r>
  <r>
    <s v="ORD102978"/>
    <d v="2026-06-01T00:00:00"/>
    <x v="4"/>
    <n v="6"/>
    <x v="1"/>
    <x v="0"/>
    <x v="1"/>
    <n v="107862.18317762821"/>
    <n v="18"/>
    <n v="71186.005361620308"/>
    <n v="36676.177816007897"/>
  </r>
  <r>
    <s v="ORD102979"/>
    <d v="2026-06-01T00:00:00"/>
    <x v="4"/>
    <n v="6"/>
    <x v="1"/>
    <x v="1"/>
    <x v="1"/>
    <n v="142845.39614586701"/>
    <n v="23"/>
    <n v="93355.458756322187"/>
    <n v="49489.937389544852"/>
  </r>
  <r>
    <s v="ORD102980"/>
    <d v="2026-06-01T00:00:00"/>
    <x v="4"/>
    <n v="6"/>
    <x v="2"/>
    <x v="0"/>
    <x v="1"/>
    <n v="79396.727031413146"/>
    <n v="13"/>
    <n v="54280.794766312079"/>
    <n v="25115.93226510107"/>
  </r>
  <r>
    <s v="ORD102981"/>
    <d v="2026-06-01T00:00:00"/>
    <x v="4"/>
    <n v="6"/>
    <x v="2"/>
    <x v="1"/>
    <x v="1"/>
    <n v="111157.1511761752"/>
    <n v="18"/>
    <n v="75785.466277697473"/>
    <n v="35371.684898477753"/>
  </r>
  <r>
    <s v="ORD102982"/>
    <d v="2026-06-01T00:00:00"/>
    <x v="4"/>
    <n v="6"/>
    <x v="3"/>
    <x v="0"/>
    <x v="1"/>
    <n v="62498.098038319207"/>
    <n v="10"/>
    <n v="40604.331887670502"/>
    <n v="21893.766150648709"/>
  </r>
  <r>
    <s v="ORD102983"/>
    <d v="2026-06-01T00:00:00"/>
    <x v="4"/>
    <n v="6"/>
    <x v="3"/>
    <x v="1"/>
    <x v="1"/>
    <n v="89982.407300129853"/>
    <n v="15"/>
    <n v="59983.9639172104"/>
    <n v="29998.44338291945"/>
  </r>
  <r>
    <s v="ORD102984"/>
    <d v="2026-06-01T00:00:00"/>
    <x v="4"/>
    <n v="6"/>
    <x v="0"/>
    <x v="0"/>
    <x v="2"/>
    <n v="100337.2644282503"/>
    <n v="23"/>
    <n v="65081.933916793547"/>
    <n v="35255.33051145677"/>
  </r>
  <r>
    <s v="ORD102985"/>
    <d v="2026-06-01T00:00:00"/>
    <x v="4"/>
    <n v="6"/>
    <x v="0"/>
    <x v="1"/>
    <x v="2"/>
    <n v="145877.62279385101"/>
    <n v="34"/>
    <n v="92357.609264155923"/>
    <n v="53520.013529695032"/>
  </r>
  <r>
    <s v="ORD102986"/>
    <d v="2026-06-01T00:00:00"/>
    <x v="4"/>
    <n v="6"/>
    <x v="1"/>
    <x v="0"/>
    <x v="2"/>
    <n v="75974.072962897451"/>
    <n v="18"/>
    <n v="47314.476857769092"/>
    <n v="28659.596105128359"/>
  </r>
  <r>
    <s v="ORD102987"/>
    <d v="2026-06-01T00:00:00"/>
    <x v="4"/>
    <n v="6"/>
    <x v="1"/>
    <x v="1"/>
    <x v="2"/>
    <n v="105871.4309563604"/>
    <n v="25"/>
    <n v="67742.716145074082"/>
    <n v="38128.714811286372"/>
  </r>
  <r>
    <s v="ORD102988"/>
    <d v="2026-06-01T00:00:00"/>
    <x v="4"/>
    <n v="6"/>
    <x v="2"/>
    <x v="0"/>
    <x v="2"/>
    <n v="55697.225022651714"/>
    <n v="13"/>
    <n v="35535.320692898596"/>
    <n v="20161.90432975311"/>
  </r>
  <r>
    <s v="ORD102989"/>
    <d v="2026-06-01T00:00:00"/>
    <x v="4"/>
    <n v="6"/>
    <x v="2"/>
    <x v="1"/>
    <x v="2"/>
    <n v="75938.28022010834"/>
    <n v="18"/>
    <n v="48219.288642209038"/>
    <n v="27718.991577899302"/>
  </r>
  <r>
    <s v="ORD102990"/>
    <d v="2026-06-01T00:00:00"/>
    <x v="4"/>
    <n v="6"/>
    <x v="3"/>
    <x v="0"/>
    <x v="2"/>
    <n v="37726.653978152157"/>
    <n v="9"/>
    <n v="24337.294346216389"/>
    <n v="13389.359631935769"/>
  </r>
  <r>
    <s v="ORD102991"/>
    <d v="2026-06-01T00:00:00"/>
    <x v="4"/>
    <n v="6"/>
    <x v="3"/>
    <x v="1"/>
    <x v="2"/>
    <n v="53839.011516425628"/>
    <n v="13"/>
    <n v="33991.345790204359"/>
    <n v="19847.665726221279"/>
  </r>
  <r>
    <s v="ORD102992"/>
    <d v="2026-06-01T00:00:00"/>
    <x v="4"/>
    <n v="6"/>
    <x v="0"/>
    <x v="0"/>
    <x v="3"/>
    <n v="89881.721558753721"/>
    <n v="106"/>
    <n v="42248.61031114174"/>
    <n v="47633.111247611982"/>
  </r>
  <r>
    <s v="ORD102993"/>
    <d v="2026-06-01T00:00:00"/>
    <x v="4"/>
    <n v="6"/>
    <x v="0"/>
    <x v="1"/>
    <x v="3"/>
    <n v="120916.4113847668"/>
    <n v="142"/>
    <n v="58153.83838487466"/>
    <n v="62762.57299989216"/>
  </r>
  <r>
    <s v="ORD102994"/>
    <d v="2026-06-01T00:00:00"/>
    <x v="4"/>
    <n v="6"/>
    <x v="1"/>
    <x v="0"/>
    <x v="3"/>
    <n v="67957.659323468077"/>
    <n v="80"/>
    <n v="32846.300427141723"/>
    <n v="35111.358896326361"/>
  </r>
  <r>
    <s v="ORD102995"/>
    <d v="2026-06-01T00:00:00"/>
    <x v="4"/>
    <n v="6"/>
    <x v="1"/>
    <x v="1"/>
    <x v="3"/>
    <n v="104804.415578085"/>
    <n v="123"/>
    <n v="49240.655537133433"/>
    <n v="55563.760040951587"/>
  </r>
  <r>
    <s v="ORD102996"/>
    <d v="2026-06-01T00:00:00"/>
    <x v="4"/>
    <n v="6"/>
    <x v="2"/>
    <x v="0"/>
    <x v="3"/>
    <n v="51617.530155957757"/>
    <n v="61"/>
    <n v="25190.32011252626"/>
    <n v="26427.2100434315"/>
  </r>
  <r>
    <s v="ORD102997"/>
    <d v="2026-06-01T00:00:00"/>
    <x v="4"/>
    <n v="6"/>
    <x v="2"/>
    <x v="1"/>
    <x v="3"/>
    <n v="70182.674838550651"/>
    <n v="83"/>
    <n v="32614.102561221491"/>
    <n v="37568.572277329164"/>
  </r>
  <r>
    <s v="ORD102998"/>
    <d v="2026-06-01T00:00:00"/>
    <x v="4"/>
    <n v="6"/>
    <x v="3"/>
    <x v="0"/>
    <x v="3"/>
    <n v="39397.362040496773"/>
    <n v="46"/>
    <n v="18713.947884620971"/>
    <n v="20683.414155875791"/>
  </r>
  <r>
    <s v="ORD102999"/>
    <d v="2026-06-01T00:00:00"/>
    <x v="4"/>
    <n v="6"/>
    <x v="3"/>
    <x v="1"/>
    <x v="3"/>
    <n v="52941.004204819707"/>
    <n v="62"/>
    <n v="25293.666262475901"/>
    <n v="27647.337942343809"/>
  </r>
  <r>
    <s v="ORD103000"/>
    <d v="2026-06-01T00:00:00"/>
    <x v="4"/>
    <n v="6"/>
    <x v="0"/>
    <x v="0"/>
    <x v="4"/>
    <n v="82220.36624750105"/>
    <n v="114"/>
    <n v="44703.327024096667"/>
    <n v="37517.039223404383"/>
  </r>
  <r>
    <s v="ORD103001"/>
    <d v="2026-06-01T00:00:00"/>
    <x v="4"/>
    <n v="6"/>
    <x v="0"/>
    <x v="1"/>
    <x v="4"/>
    <n v="104562.0089502648"/>
    <n v="145"/>
    <n v="56924.174725545941"/>
    <n v="47637.834224718892"/>
  </r>
  <r>
    <s v="ORD103002"/>
    <d v="2026-06-01T00:00:00"/>
    <x v="4"/>
    <n v="6"/>
    <x v="1"/>
    <x v="0"/>
    <x v="4"/>
    <n v="63094.519763917211"/>
    <n v="88"/>
    <n v="35870.725874601587"/>
    <n v="27223.793889315621"/>
  </r>
  <r>
    <s v="ORD103003"/>
    <d v="2026-06-01T00:00:00"/>
    <x v="4"/>
    <n v="6"/>
    <x v="1"/>
    <x v="1"/>
    <x v="4"/>
    <n v="87657.703761539626"/>
    <n v="122"/>
    <n v="47473.330269264246"/>
    <n v="40184.373492275379"/>
  </r>
  <r>
    <s v="ORD103004"/>
    <d v="2026-06-01T00:00:00"/>
    <x v="4"/>
    <n v="6"/>
    <x v="2"/>
    <x v="0"/>
    <x v="4"/>
    <n v="47762.843484708173"/>
    <n v="66"/>
    <n v="27423.90085790426"/>
    <n v="20338.94262680391"/>
  </r>
  <r>
    <s v="ORD103005"/>
    <d v="2026-06-01T00:00:00"/>
    <x v="4"/>
    <n v="6"/>
    <x v="2"/>
    <x v="1"/>
    <x v="4"/>
    <n v="62458.537455381753"/>
    <n v="87"/>
    <n v="34622.48836397133"/>
    <n v="27836.049091410419"/>
  </r>
  <r>
    <s v="ORD103006"/>
    <d v="2026-06-01T00:00:00"/>
    <x v="4"/>
    <n v="6"/>
    <x v="3"/>
    <x v="0"/>
    <x v="4"/>
    <n v="31312.140295117952"/>
    <n v="43"/>
    <n v="17250.213351721432"/>
    <n v="14061.92694339652"/>
  </r>
  <r>
    <s v="ORD103007"/>
    <d v="2026-06-01T00:00:00"/>
    <x v="4"/>
    <n v="6"/>
    <x v="3"/>
    <x v="1"/>
    <x v="4"/>
    <n v="46801.158561885713"/>
    <n v="65"/>
    <n v="25961.294351932549"/>
    <n v="20839.864209953172"/>
  </r>
  <r>
    <s v="ORD103008"/>
    <d v="2026-06-01T00:00:00"/>
    <x v="4"/>
    <n v="6"/>
    <x v="0"/>
    <x v="0"/>
    <x v="5"/>
    <n v="66444.293446732729"/>
    <n v="12"/>
    <n v="47934.355309433056"/>
    <n v="18509.938137299661"/>
  </r>
  <r>
    <s v="ORD103009"/>
    <d v="2026-06-01T00:00:00"/>
    <x v="4"/>
    <n v="6"/>
    <x v="0"/>
    <x v="1"/>
    <x v="5"/>
    <n v="90938.457861733186"/>
    <n v="17"/>
    <n v="61625.316695840811"/>
    <n v="29313.141165892379"/>
  </r>
  <r>
    <s v="ORD103010"/>
    <d v="2026-06-01T00:00:00"/>
    <x v="4"/>
    <n v="6"/>
    <x v="1"/>
    <x v="0"/>
    <x v="5"/>
    <n v="51834.604036065452"/>
    <n v="10"/>
    <n v="35044.567658632543"/>
    <n v="16790.036377432909"/>
  </r>
  <r>
    <s v="ORD103011"/>
    <d v="2026-06-01T00:00:00"/>
    <x v="4"/>
    <n v="6"/>
    <x v="1"/>
    <x v="1"/>
    <x v="5"/>
    <n v="70962.822974849405"/>
    <n v="13"/>
    <n v="48299.040294085353"/>
    <n v="22663.782680764049"/>
  </r>
  <r>
    <s v="ORD103012"/>
    <d v="2026-06-01T00:00:00"/>
    <x v="4"/>
    <n v="6"/>
    <x v="2"/>
    <x v="0"/>
    <x v="5"/>
    <n v="39324.359764733577"/>
    <n v="7"/>
    <n v="27149.507225412221"/>
    <n v="12174.852539321369"/>
  </r>
  <r>
    <s v="ORD103013"/>
    <d v="2026-06-01T00:00:00"/>
    <x v="4"/>
    <n v="6"/>
    <x v="2"/>
    <x v="1"/>
    <x v="5"/>
    <n v="52036.058916993134"/>
    <n v="10"/>
    <n v="34789.535739859588"/>
    <n v="17246.523177133538"/>
  </r>
  <r>
    <s v="ORD103014"/>
    <d v="2026-06-01T00:00:00"/>
    <x v="4"/>
    <n v="6"/>
    <x v="3"/>
    <x v="0"/>
    <x v="5"/>
    <n v="26069.694639322031"/>
    <n v="5"/>
    <n v="17995.322425304279"/>
    <n v="8074.3722140177488"/>
  </r>
  <r>
    <s v="ORD103015"/>
    <d v="2026-06-01T00:00:00"/>
    <x v="4"/>
    <n v="6"/>
    <x v="3"/>
    <x v="1"/>
    <x v="5"/>
    <n v="36249.189227474853"/>
    <n v="7"/>
    <n v="25774.400771426761"/>
    <n v="10474.788456048091"/>
  </r>
  <r>
    <s v="ORD103016"/>
    <d v="2026-06-01T00:00:00"/>
    <x v="4"/>
    <n v="6"/>
    <x v="0"/>
    <x v="0"/>
    <x v="6"/>
    <n v="135919.85859916659"/>
    <n v="39"/>
    <n v="80411.268432851444"/>
    <n v="55508.590166315167"/>
  </r>
  <r>
    <s v="ORD103017"/>
    <d v="2026-06-01T00:00:00"/>
    <x v="4"/>
    <n v="6"/>
    <x v="0"/>
    <x v="1"/>
    <x v="6"/>
    <n v="192551.0202510728"/>
    <n v="55"/>
    <n v="113006.59184283169"/>
    <n v="79544.42840824103"/>
  </r>
  <r>
    <s v="ORD103018"/>
    <d v="2026-06-01T00:00:00"/>
    <x v="4"/>
    <n v="6"/>
    <x v="1"/>
    <x v="0"/>
    <x v="6"/>
    <n v="105812.2153466094"/>
    <n v="30"/>
    <n v="61734.564254911667"/>
    <n v="44077.651091697757"/>
  </r>
  <r>
    <s v="ORD103019"/>
    <d v="2026-06-01T00:00:00"/>
    <x v="4"/>
    <n v="6"/>
    <x v="1"/>
    <x v="1"/>
    <x v="6"/>
    <n v="157944.8755149291"/>
    <n v="45"/>
    <n v="94694.617245030167"/>
    <n v="63250.258269898928"/>
  </r>
  <r>
    <s v="ORD103020"/>
    <d v="2026-06-01T00:00:00"/>
    <x v="4"/>
    <n v="6"/>
    <x v="2"/>
    <x v="0"/>
    <x v="6"/>
    <n v="75801.689406360369"/>
    <n v="22"/>
    <n v="44058.189853952063"/>
    <n v="31743.49955240831"/>
  </r>
  <r>
    <s v="ORD103021"/>
    <d v="2026-06-01T00:00:00"/>
    <x v="4"/>
    <n v="6"/>
    <x v="2"/>
    <x v="1"/>
    <x v="6"/>
    <n v="108365.8713596755"/>
    <n v="31"/>
    <n v="66060.780638058073"/>
    <n v="42305.090721617453"/>
  </r>
  <r>
    <s v="ORD103022"/>
    <d v="2026-06-01T00:00:00"/>
    <x v="4"/>
    <n v="6"/>
    <x v="3"/>
    <x v="0"/>
    <x v="6"/>
    <n v="56132.892669744528"/>
    <n v="16"/>
    <n v="34270.942973884303"/>
    <n v="21861.949695860229"/>
  </r>
  <r>
    <s v="ORD103023"/>
    <d v="2026-06-01T00:00:00"/>
    <x v="4"/>
    <n v="6"/>
    <x v="3"/>
    <x v="1"/>
    <x v="6"/>
    <n v="68386.99979209555"/>
    <n v="20"/>
    <n v="40534.800263908532"/>
    <n v="27852.199528187019"/>
  </r>
  <r>
    <s v="ORD103024"/>
    <d v="2026-07-01T00:00:00"/>
    <x v="4"/>
    <n v="7"/>
    <x v="0"/>
    <x v="0"/>
    <x v="0"/>
    <n v="136391.17208937151"/>
    <n v="26"/>
    <n v="84544.99928643844"/>
    <n v="51846.172802933012"/>
  </r>
  <r>
    <s v="ORD103025"/>
    <d v="2026-07-01T00:00:00"/>
    <x v="4"/>
    <n v="7"/>
    <x v="0"/>
    <x v="1"/>
    <x v="0"/>
    <n v="202531.8805532337"/>
    <n v="39"/>
    <n v="127899.3207389845"/>
    <n v="74632.559814249209"/>
  </r>
  <r>
    <s v="ORD103026"/>
    <d v="2026-07-01T00:00:00"/>
    <x v="4"/>
    <n v="7"/>
    <x v="1"/>
    <x v="0"/>
    <x v="0"/>
    <n v="129620.38400504561"/>
    <n v="25"/>
    <n v="81948.333620426376"/>
    <n v="47672.050384619222"/>
  </r>
  <r>
    <s v="ORD103027"/>
    <d v="2026-07-01T00:00:00"/>
    <x v="4"/>
    <n v="7"/>
    <x v="1"/>
    <x v="1"/>
    <x v="0"/>
    <n v="159414.48540705789"/>
    <n v="31"/>
    <n v="97403.068743707074"/>
    <n v="62011.416663350872"/>
  </r>
  <r>
    <s v="ORD103028"/>
    <d v="2026-07-01T00:00:00"/>
    <x v="4"/>
    <n v="7"/>
    <x v="2"/>
    <x v="0"/>
    <x v="0"/>
    <n v="82368.172369472362"/>
    <n v="16"/>
    <n v="50584.24222398737"/>
    <n v="31783.930145484988"/>
  </r>
  <r>
    <s v="ORD103029"/>
    <d v="2026-07-01T00:00:00"/>
    <x v="4"/>
    <n v="7"/>
    <x v="2"/>
    <x v="1"/>
    <x v="0"/>
    <n v="106830.4319842775"/>
    <n v="21"/>
    <n v="64658.328694137454"/>
    <n v="42172.103290140018"/>
  </r>
  <r>
    <s v="ORD103030"/>
    <d v="2026-07-01T00:00:00"/>
    <x v="4"/>
    <n v="7"/>
    <x v="3"/>
    <x v="0"/>
    <x v="0"/>
    <n v="56789.091805672673"/>
    <n v="11"/>
    <n v="35468.488477443942"/>
    <n v="21320.603328228721"/>
  </r>
  <r>
    <s v="ORD103031"/>
    <d v="2026-07-01T00:00:00"/>
    <x v="4"/>
    <n v="7"/>
    <x v="3"/>
    <x v="1"/>
    <x v="0"/>
    <n v="85201.699499140828"/>
    <n v="16"/>
    <n v="53458.917456688418"/>
    <n v="31742.7820424524"/>
  </r>
  <r>
    <s v="ORD103032"/>
    <d v="2026-07-01T00:00:00"/>
    <x v="4"/>
    <n v="7"/>
    <x v="0"/>
    <x v="0"/>
    <x v="1"/>
    <n v="148268.40687209021"/>
    <n v="24"/>
    <n v="95479.350809768293"/>
    <n v="52789.056062321863"/>
  </r>
  <r>
    <s v="ORD103033"/>
    <d v="2026-07-01T00:00:00"/>
    <x v="4"/>
    <n v="7"/>
    <x v="0"/>
    <x v="1"/>
    <x v="1"/>
    <n v="210577.0517978821"/>
    <n v="35"/>
    <n v="137842.1033995114"/>
    <n v="72734.948398370732"/>
  </r>
  <r>
    <s v="ORD103034"/>
    <d v="2026-07-01T00:00:00"/>
    <x v="4"/>
    <n v="7"/>
    <x v="1"/>
    <x v="0"/>
    <x v="1"/>
    <n v="119535.02013948769"/>
    <n v="20"/>
    <n v="76979.910284909303"/>
    <n v="42555.109854578361"/>
  </r>
  <r>
    <s v="ORD103035"/>
    <d v="2026-07-01T00:00:00"/>
    <x v="4"/>
    <n v="7"/>
    <x v="1"/>
    <x v="1"/>
    <x v="1"/>
    <n v="166004.24790993039"/>
    <n v="27"/>
    <n v="107790.2531326832"/>
    <n v="58213.994777247208"/>
  </r>
  <r>
    <s v="ORD103036"/>
    <d v="2026-07-01T00:00:00"/>
    <x v="4"/>
    <n v="7"/>
    <x v="2"/>
    <x v="0"/>
    <x v="1"/>
    <n v="83264.943025231187"/>
    <n v="14"/>
    <n v="55499.921597665583"/>
    <n v="27765.021427565611"/>
  </r>
  <r>
    <s v="ORD103037"/>
    <d v="2026-07-01T00:00:00"/>
    <x v="4"/>
    <n v="7"/>
    <x v="2"/>
    <x v="1"/>
    <x v="1"/>
    <n v="114615.6020853324"/>
    <n v="19"/>
    <n v="74647.563730668815"/>
    <n v="39968.0383546636"/>
  </r>
  <r>
    <s v="ORD103038"/>
    <d v="2026-07-01T00:00:00"/>
    <x v="4"/>
    <n v="7"/>
    <x v="3"/>
    <x v="0"/>
    <x v="1"/>
    <n v="58647.599779392593"/>
    <n v="10"/>
    <n v="38497.820337560188"/>
    <n v="20149.779441832401"/>
  </r>
  <r>
    <s v="ORD103039"/>
    <d v="2026-07-01T00:00:00"/>
    <x v="4"/>
    <n v="7"/>
    <x v="3"/>
    <x v="1"/>
    <x v="1"/>
    <n v="84659.305603973902"/>
    <n v="14"/>
    <n v="54238.468777658803"/>
    <n v="30420.836826315099"/>
  </r>
  <r>
    <s v="ORD103040"/>
    <d v="2026-07-01T00:00:00"/>
    <x v="4"/>
    <n v="7"/>
    <x v="0"/>
    <x v="0"/>
    <x v="2"/>
    <n v="96012.029125723362"/>
    <n v="22"/>
    <n v="61654.520765468762"/>
    <n v="34357.5083602546"/>
  </r>
  <r>
    <s v="ORD103041"/>
    <d v="2026-07-01T00:00:00"/>
    <x v="4"/>
    <n v="7"/>
    <x v="0"/>
    <x v="1"/>
    <x v="2"/>
    <n v="151177.07528396981"/>
    <n v="35"/>
    <n v="96676.223542937456"/>
    <n v="54500.851741032377"/>
  </r>
  <r>
    <s v="ORD103042"/>
    <d v="2026-07-01T00:00:00"/>
    <x v="4"/>
    <n v="7"/>
    <x v="1"/>
    <x v="0"/>
    <x v="2"/>
    <n v="88295.278723422452"/>
    <n v="21"/>
    <n v="55767.509017950681"/>
    <n v="32527.769705471768"/>
  </r>
  <r>
    <s v="ORD103043"/>
    <d v="2026-07-01T00:00:00"/>
    <x v="4"/>
    <n v="7"/>
    <x v="1"/>
    <x v="1"/>
    <x v="2"/>
    <n v="112013.7775434682"/>
    <n v="26"/>
    <n v="71444.913820538655"/>
    <n v="40568.863722929513"/>
  </r>
  <r>
    <s v="ORD103044"/>
    <d v="2026-07-01T00:00:00"/>
    <x v="4"/>
    <n v="7"/>
    <x v="2"/>
    <x v="0"/>
    <x v="2"/>
    <n v="50049.072349659516"/>
    <n v="12"/>
    <n v="32135.35807807625"/>
    <n v="17913.714271583271"/>
  </r>
  <r>
    <s v="ORD103045"/>
    <d v="2026-07-01T00:00:00"/>
    <x v="4"/>
    <n v="7"/>
    <x v="2"/>
    <x v="1"/>
    <x v="2"/>
    <n v="81329.548500059725"/>
    <n v="19"/>
    <n v="51287.447708529893"/>
    <n v="30042.100791529829"/>
  </r>
  <r>
    <s v="ORD103046"/>
    <d v="2026-07-01T00:00:00"/>
    <x v="4"/>
    <n v="7"/>
    <x v="3"/>
    <x v="0"/>
    <x v="2"/>
    <n v="41203.03691349391"/>
    <n v="10"/>
    <n v="25669.22234354731"/>
    <n v="15533.8145699466"/>
  </r>
  <r>
    <s v="ORD103047"/>
    <d v="2026-07-01T00:00:00"/>
    <x v="4"/>
    <n v="7"/>
    <x v="3"/>
    <x v="1"/>
    <x v="2"/>
    <n v="57124.828054740618"/>
    <n v="13"/>
    <n v="37748.098801197753"/>
    <n v="19376.729253542871"/>
  </r>
  <r>
    <s v="ORD103048"/>
    <d v="2026-07-01T00:00:00"/>
    <x v="4"/>
    <n v="7"/>
    <x v="0"/>
    <x v="0"/>
    <x v="3"/>
    <n v="96642.925815299895"/>
    <n v="114"/>
    <n v="45859.82492587241"/>
    <n v="50783.100889427493"/>
  </r>
  <r>
    <s v="ORD103049"/>
    <d v="2026-07-01T00:00:00"/>
    <x v="4"/>
    <n v="7"/>
    <x v="0"/>
    <x v="1"/>
    <x v="3"/>
    <n v="121535.846036096"/>
    <n v="143"/>
    <n v="58235.60124385704"/>
    <n v="63300.244792238918"/>
  </r>
  <r>
    <s v="ORD103050"/>
    <d v="2026-07-01T00:00:00"/>
    <x v="4"/>
    <n v="7"/>
    <x v="1"/>
    <x v="0"/>
    <x v="3"/>
    <n v="74382.185928634586"/>
    <n v="88"/>
    <n v="36353.077618892443"/>
    <n v="38029.108309742151"/>
  </r>
  <r>
    <s v="ORD103051"/>
    <d v="2026-07-01T00:00:00"/>
    <x v="4"/>
    <n v="7"/>
    <x v="1"/>
    <x v="1"/>
    <x v="3"/>
    <n v="108765.8311962024"/>
    <n v="128"/>
    <n v="55523.98193800469"/>
    <n v="53241.849258197712"/>
  </r>
  <r>
    <s v="ORD103052"/>
    <d v="2026-07-01T00:00:00"/>
    <x v="4"/>
    <n v="7"/>
    <x v="2"/>
    <x v="0"/>
    <x v="3"/>
    <n v="48372.75449055888"/>
    <n v="57"/>
    <n v="22698.80074340518"/>
    <n v="25673.953747153701"/>
  </r>
  <r>
    <s v="ORD103053"/>
    <d v="2026-07-01T00:00:00"/>
    <x v="4"/>
    <n v="7"/>
    <x v="2"/>
    <x v="1"/>
    <x v="3"/>
    <n v="68161.496131537351"/>
    <n v="80"/>
    <n v="32982.428283612673"/>
    <n v="35179.067847924693"/>
  </r>
  <r>
    <s v="ORD103054"/>
    <d v="2026-07-01T00:00:00"/>
    <x v="4"/>
    <n v="7"/>
    <x v="3"/>
    <x v="0"/>
    <x v="3"/>
    <n v="39275.851361132569"/>
    <n v="46"/>
    <n v="18612.30548647614"/>
    <n v="20663.545874656429"/>
  </r>
  <r>
    <s v="ORD103055"/>
    <d v="2026-07-01T00:00:00"/>
    <x v="4"/>
    <n v="7"/>
    <x v="3"/>
    <x v="1"/>
    <x v="3"/>
    <n v="52609.739188195847"/>
    <n v="62"/>
    <n v="25007.768675990159"/>
    <n v="27601.970512205698"/>
  </r>
  <r>
    <s v="ORD103056"/>
    <d v="2026-07-01T00:00:00"/>
    <x v="4"/>
    <n v="7"/>
    <x v="0"/>
    <x v="0"/>
    <x v="4"/>
    <n v="85659.429390823832"/>
    <n v="119"/>
    <n v="46501.92595243056"/>
    <n v="39157.503438393273"/>
  </r>
  <r>
    <s v="ORD103057"/>
    <d v="2026-07-01T00:00:00"/>
    <x v="4"/>
    <n v="7"/>
    <x v="0"/>
    <x v="1"/>
    <x v="4"/>
    <n v="105107.20633160359"/>
    <n v="146"/>
    <n v="56637.650437689757"/>
    <n v="48469.55589391385"/>
  </r>
  <r>
    <s v="ORD103058"/>
    <d v="2026-07-01T00:00:00"/>
    <x v="4"/>
    <n v="7"/>
    <x v="1"/>
    <x v="0"/>
    <x v="4"/>
    <n v="65105.364031965502"/>
    <n v="90"/>
    <n v="35781.336155091412"/>
    <n v="29324.027876874101"/>
  </r>
  <r>
    <s v="ORD103059"/>
    <d v="2026-07-01T00:00:00"/>
    <x v="4"/>
    <n v="7"/>
    <x v="1"/>
    <x v="1"/>
    <x v="4"/>
    <n v="90174.091659977115"/>
    <n v="125"/>
    <n v="48279.427202485189"/>
    <n v="41894.664457491926"/>
  </r>
  <r>
    <s v="ORD103060"/>
    <d v="2026-07-01T00:00:00"/>
    <x v="4"/>
    <n v="7"/>
    <x v="2"/>
    <x v="0"/>
    <x v="4"/>
    <n v="42895.566182611787"/>
    <n v="60"/>
    <n v="23994.638482088409"/>
    <n v="18900.927700523382"/>
  </r>
  <r>
    <s v="ORD103061"/>
    <d v="2026-07-01T00:00:00"/>
    <x v="4"/>
    <n v="7"/>
    <x v="2"/>
    <x v="1"/>
    <x v="4"/>
    <n v="60554.515135568086"/>
    <n v="84"/>
    <n v="33337.957018175533"/>
    <n v="27216.55811739256"/>
  </r>
  <r>
    <s v="ORD103062"/>
    <d v="2026-07-01T00:00:00"/>
    <x v="4"/>
    <n v="7"/>
    <x v="3"/>
    <x v="0"/>
    <x v="4"/>
    <n v="33387.116434762203"/>
    <n v="46"/>
    <n v="18502.542506820329"/>
    <n v="14884.57392794187"/>
  </r>
  <r>
    <s v="ORD103063"/>
    <d v="2026-07-01T00:00:00"/>
    <x v="4"/>
    <n v="7"/>
    <x v="3"/>
    <x v="1"/>
    <x v="4"/>
    <n v="47927.801555567843"/>
    <n v="67"/>
    <n v="26139.091242282149"/>
    <n v="21788.71031328569"/>
  </r>
  <r>
    <s v="ORD103064"/>
    <d v="2026-07-01T00:00:00"/>
    <x v="4"/>
    <n v="7"/>
    <x v="0"/>
    <x v="0"/>
    <x v="5"/>
    <n v="70721.937388325648"/>
    <n v="13"/>
    <n v="48475.597177285337"/>
    <n v="22246.3402110403"/>
  </r>
  <r>
    <s v="ORD103065"/>
    <d v="2026-07-01T00:00:00"/>
    <x v="4"/>
    <n v="7"/>
    <x v="0"/>
    <x v="1"/>
    <x v="5"/>
    <n v="100736.3077191934"/>
    <n v="19"/>
    <n v="69867.83645165863"/>
    <n v="30868.471267534798"/>
  </r>
  <r>
    <s v="ORD103066"/>
    <d v="2026-07-01T00:00:00"/>
    <x v="4"/>
    <n v="7"/>
    <x v="1"/>
    <x v="0"/>
    <x v="5"/>
    <n v="55760.525182758618"/>
    <n v="10"/>
    <n v="37668.604089543231"/>
    <n v="18091.921093215391"/>
  </r>
  <r>
    <s v="ORD103067"/>
    <d v="2026-07-01T00:00:00"/>
    <x v="4"/>
    <n v="7"/>
    <x v="1"/>
    <x v="1"/>
    <x v="5"/>
    <n v="75488.696011944106"/>
    <n v="14"/>
    <n v="51751.559298245069"/>
    <n v="23737.136713699041"/>
  </r>
  <r>
    <s v="ORD103068"/>
    <d v="2026-07-01T00:00:00"/>
    <x v="4"/>
    <n v="7"/>
    <x v="2"/>
    <x v="0"/>
    <x v="5"/>
    <n v="40562.046151312512"/>
    <n v="8"/>
    <n v="27554.755221269541"/>
    <n v="13007.290930042969"/>
  </r>
  <r>
    <s v="ORD103069"/>
    <d v="2026-07-01T00:00:00"/>
    <x v="4"/>
    <n v="7"/>
    <x v="2"/>
    <x v="1"/>
    <x v="5"/>
    <n v="54319.132587771979"/>
    <n v="10"/>
    <n v="36879.384913323898"/>
    <n v="17439.747674448081"/>
  </r>
  <r>
    <s v="ORD103070"/>
    <d v="2026-07-01T00:00:00"/>
    <x v="4"/>
    <n v="7"/>
    <x v="3"/>
    <x v="0"/>
    <x v="5"/>
    <n v="30673.666988312569"/>
    <n v="6"/>
    <n v="20361.051595081059"/>
    <n v="10312.615393231499"/>
  </r>
  <r>
    <s v="ORD103071"/>
    <d v="2026-07-01T00:00:00"/>
    <x v="4"/>
    <n v="7"/>
    <x v="3"/>
    <x v="1"/>
    <x v="5"/>
    <n v="39307.63544130927"/>
    <n v="7"/>
    <n v="27776.128810049751"/>
    <n v="11531.506631259521"/>
  </r>
  <r>
    <s v="ORD103072"/>
    <d v="2026-07-01T00:00:00"/>
    <x v="4"/>
    <n v="7"/>
    <x v="0"/>
    <x v="0"/>
    <x v="6"/>
    <n v="147336.11657763721"/>
    <n v="42"/>
    <n v="85854.075031771426"/>
    <n v="61482.041545865752"/>
  </r>
  <r>
    <s v="ORD103073"/>
    <d v="2026-07-01T00:00:00"/>
    <x v="4"/>
    <n v="7"/>
    <x v="0"/>
    <x v="1"/>
    <x v="6"/>
    <n v="226817.15825111311"/>
    <n v="65"/>
    <n v="136624.46153975459"/>
    <n v="90192.696711358556"/>
  </r>
  <r>
    <s v="ORD103074"/>
    <d v="2026-07-01T00:00:00"/>
    <x v="4"/>
    <n v="7"/>
    <x v="1"/>
    <x v="0"/>
    <x v="6"/>
    <n v="123308.15641066281"/>
    <n v="35"/>
    <n v="74151.430692318027"/>
    <n v="49156.725718344773"/>
  </r>
  <r>
    <s v="ORD103075"/>
    <d v="2026-07-01T00:00:00"/>
    <x v="4"/>
    <n v="7"/>
    <x v="1"/>
    <x v="1"/>
    <x v="6"/>
    <n v="165380.84894142221"/>
    <n v="47"/>
    <n v="95316.04221503259"/>
    <n v="70064.806726389565"/>
  </r>
  <r>
    <s v="ORD103076"/>
    <d v="2026-07-01T00:00:00"/>
    <x v="4"/>
    <n v="7"/>
    <x v="2"/>
    <x v="0"/>
    <x v="6"/>
    <n v="81287.092928095459"/>
    <n v="23"/>
    <n v="47019.79322813508"/>
    <n v="34267.299699960378"/>
  </r>
  <r>
    <s v="ORD103077"/>
    <d v="2026-07-01T00:00:00"/>
    <x v="4"/>
    <n v="7"/>
    <x v="2"/>
    <x v="1"/>
    <x v="6"/>
    <n v="109363.9211405442"/>
    <n v="31"/>
    <n v="67498.596429302968"/>
    <n v="41865.324711241257"/>
  </r>
  <r>
    <s v="ORD103078"/>
    <d v="2026-07-01T00:00:00"/>
    <x v="4"/>
    <n v="7"/>
    <x v="3"/>
    <x v="0"/>
    <x v="6"/>
    <n v="59431.756322242327"/>
    <n v="17"/>
    <n v="36169.859843741768"/>
    <n v="23261.896478500559"/>
  </r>
  <r>
    <s v="ORD103079"/>
    <d v="2026-07-01T00:00:00"/>
    <x v="4"/>
    <n v="7"/>
    <x v="3"/>
    <x v="1"/>
    <x v="6"/>
    <n v="94238.850243445995"/>
    <n v="27"/>
    <n v="55569.377392615323"/>
    <n v="38669.47285083068"/>
  </r>
  <r>
    <s v="ORD103080"/>
    <d v="2026-08-01T00:00:00"/>
    <x v="4"/>
    <n v="8"/>
    <x v="0"/>
    <x v="0"/>
    <x v="0"/>
    <n v="129554.4649100245"/>
    <n v="25"/>
    <n v="80695.885443754087"/>
    <n v="48858.579466270407"/>
  </r>
  <r>
    <s v="ORD103081"/>
    <d v="2026-08-01T00:00:00"/>
    <x v="4"/>
    <n v="8"/>
    <x v="0"/>
    <x v="1"/>
    <x v="0"/>
    <n v="161947.6388267318"/>
    <n v="31"/>
    <n v="99267.384879290606"/>
    <n v="62680.253947441219"/>
  </r>
  <r>
    <s v="ORD103082"/>
    <d v="2026-08-01T00:00:00"/>
    <x v="4"/>
    <n v="8"/>
    <x v="1"/>
    <x v="0"/>
    <x v="0"/>
    <n v="95804.070115686918"/>
    <n v="18"/>
    <n v="59860.783502890758"/>
    <n v="35943.286612796153"/>
  </r>
  <r>
    <s v="ORD103083"/>
    <d v="2026-08-01T00:00:00"/>
    <x v="4"/>
    <n v="8"/>
    <x v="1"/>
    <x v="1"/>
    <x v="0"/>
    <n v="142282.46641060599"/>
    <n v="27"/>
    <n v="87076.335882325497"/>
    <n v="55206.130528280468"/>
  </r>
  <r>
    <s v="ORD103084"/>
    <d v="2026-08-01T00:00:00"/>
    <x v="4"/>
    <n v="8"/>
    <x v="2"/>
    <x v="0"/>
    <x v="0"/>
    <n v="75071.76730144945"/>
    <n v="14"/>
    <n v="44841.787867135878"/>
    <n v="30229.979434313569"/>
  </r>
  <r>
    <s v="ORD103085"/>
    <d v="2026-08-01T00:00:00"/>
    <x v="4"/>
    <n v="8"/>
    <x v="2"/>
    <x v="1"/>
    <x v="0"/>
    <n v="91377.616652198034"/>
    <n v="18"/>
    <n v="55306.433826988381"/>
    <n v="36071.182825209653"/>
  </r>
  <r>
    <s v="ORD103086"/>
    <d v="2026-08-01T00:00:00"/>
    <x v="4"/>
    <n v="8"/>
    <x v="3"/>
    <x v="0"/>
    <x v="0"/>
    <n v="47557.266726699483"/>
    <n v="9"/>
    <n v="29496.700116494179"/>
    <n v="18060.5666102053"/>
  </r>
  <r>
    <s v="ORD103087"/>
    <d v="2026-08-01T00:00:00"/>
    <x v="4"/>
    <n v="8"/>
    <x v="3"/>
    <x v="1"/>
    <x v="0"/>
    <n v="70091.659363997154"/>
    <n v="13"/>
    <n v="42572.082091701173"/>
    <n v="27519.577272295981"/>
  </r>
  <r>
    <s v="ORD103088"/>
    <d v="2026-08-01T00:00:00"/>
    <x v="4"/>
    <n v="8"/>
    <x v="0"/>
    <x v="0"/>
    <x v="1"/>
    <n v="157024.22003295389"/>
    <n v="26"/>
    <n v="103510.4826272779"/>
    <n v="53513.737405675987"/>
  </r>
  <r>
    <s v="ORD103089"/>
    <d v="2026-08-01T00:00:00"/>
    <x v="4"/>
    <n v="8"/>
    <x v="0"/>
    <x v="1"/>
    <x v="1"/>
    <n v="218229.14606005719"/>
    <n v="36"/>
    <n v="141245.1107516771"/>
    <n v="76984.035308380087"/>
  </r>
  <r>
    <s v="ORD103090"/>
    <d v="2026-08-01T00:00:00"/>
    <x v="4"/>
    <n v="8"/>
    <x v="1"/>
    <x v="0"/>
    <x v="1"/>
    <n v="122576.0743583061"/>
    <n v="20"/>
    <n v="79760.942350242098"/>
    <n v="42815.132008063971"/>
  </r>
  <r>
    <s v="ORD103091"/>
    <d v="2026-08-01T00:00:00"/>
    <x v="4"/>
    <n v="8"/>
    <x v="1"/>
    <x v="1"/>
    <x v="1"/>
    <n v="148947.74221332479"/>
    <n v="24"/>
    <n v="99815.185168759155"/>
    <n v="49132.557044565598"/>
  </r>
  <r>
    <s v="ORD103092"/>
    <d v="2026-08-01T00:00:00"/>
    <x v="4"/>
    <n v="8"/>
    <x v="2"/>
    <x v="0"/>
    <x v="1"/>
    <n v="88906.368669003205"/>
    <n v="15"/>
    <n v="58939.594171608063"/>
    <n v="29966.774497395141"/>
  </r>
  <r>
    <s v="ORD103093"/>
    <d v="2026-08-01T00:00:00"/>
    <x v="4"/>
    <n v="8"/>
    <x v="2"/>
    <x v="1"/>
    <x v="1"/>
    <n v="117764.09406205171"/>
    <n v="19"/>
    <n v="77710.781193725372"/>
    <n v="40053.312868326313"/>
  </r>
  <r>
    <s v="ORD103094"/>
    <d v="2026-08-01T00:00:00"/>
    <x v="4"/>
    <n v="8"/>
    <x v="3"/>
    <x v="0"/>
    <x v="1"/>
    <n v="59802.065837652583"/>
    <n v="10"/>
    <n v="40093.822126122272"/>
    <n v="19708.243711530311"/>
  </r>
  <r>
    <s v="ORD103095"/>
    <d v="2026-08-01T00:00:00"/>
    <x v="4"/>
    <n v="8"/>
    <x v="3"/>
    <x v="1"/>
    <x v="1"/>
    <n v="82833.567027927915"/>
    <n v="14"/>
    <n v="55143.103265111502"/>
    <n v="27690.463762816409"/>
  </r>
  <r>
    <s v="ORD103096"/>
    <d v="2026-08-01T00:00:00"/>
    <x v="4"/>
    <n v="8"/>
    <x v="0"/>
    <x v="0"/>
    <x v="2"/>
    <n v="103429.02087350391"/>
    <n v="24"/>
    <n v="67918.156877264788"/>
    <n v="35510.863996239161"/>
  </r>
  <r>
    <s v="ORD103097"/>
    <d v="2026-08-01T00:00:00"/>
    <x v="4"/>
    <n v="8"/>
    <x v="0"/>
    <x v="1"/>
    <x v="2"/>
    <n v="130697.7565374003"/>
    <n v="30"/>
    <n v="82954.182532521416"/>
    <n v="47743.574004878872"/>
  </r>
  <r>
    <s v="ORD103098"/>
    <d v="2026-08-01T00:00:00"/>
    <x v="4"/>
    <n v="8"/>
    <x v="1"/>
    <x v="0"/>
    <x v="2"/>
    <n v="77610.573938555826"/>
    <n v="18"/>
    <n v="49286.641937752996"/>
    <n v="28323.93200080283"/>
  </r>
  <r>
    <s v="ORD103099"/>
    <d v="2026-08-01T00:00:00"/>
    <x v="4"/>
    <n v="8"/>
    <x v="1"/>
    <x v="1"/>
    <x v="2"/>
    <n v="114571.2236962311"/>
    <n v="27"/>
    <n v="71608.300442622567"/>
    <n v="42962.923253608496"/>
  </r>
  <r>
    <s v="ORD103100"/>
    <d v="2026-08-01T00:00:00"/>
    <x v="4"/>
    <n v="8"/>
    <x v="2"/>
    <x v="0"/>
    <x v="2"/>
    <n v="57239.046704773376"/>
    <n v="13"/>
    <n v="36350.122657961663"/>
    <n v="20888.92404681172"/>
  </r>
  <r>
    <s v="ORD103101"/>
    <d v="2026-08-01T00:00:00"/>
    <x v="4"/>
    <n v="8"/>
    <x v="2"/>
    <x v="1"/>
    <x v="2"/>
    <n v="77537.156369985372"/>
    <n v="18"/>
    <n v="50485.539599862946"/>
    <n v="27051.616770122419"/>
  </r>
  <r>
    <s v="ORD103102"/>
    <d v="2026-08-01T00:00:00"/>
    <x v="4"/>
    <n v="8"/>
    <x v="3"/>
    <x v="0"/>
    <x v="2"/>
    <n v="43649.586339849273"/>
    <n v="10"/>
    <n v="28589.425112756559"/>
    <n v="15060.161227092711"/>
  </r>
  <r>
    <s v="ORD103103"/>
    <d v="2026-08-01T00:00:00"/>
    <x v="4"/>
    <n v="8"/>
    <x v="3"/>
    <x v="1"/>
    <x v="2"/>
    <n v="55105.555519304791"/>
    <n v="13"/>
    <n v="35877.172617538134"/>
    <n v="19228.382901766661"/>
  </r>
  <r>
    <s v="ORD103104"/>
    <d v="2026-08-01T00:00:00"/>
    <x v="4"/>
    <n v="8"/>
    <x v="0"/>
    <x v="0"/>
    <x v="3"/>
    <n v="85817.47774622064"/>
    <n v="101"/>
    <n v="39862.062420374219"/>
    <n v="45955.415325846421"/>
  </r>
  <r>
    <s v="ORD103105"/>
    <d v="2026-08-01T00:00:00"/>
    <x v="4"/>
    <n v="8"/>
    <x v="0"/>
    <x v="1"/>
    <x v="3"/>
    <n v="122463.1242892422"/>
    <n v="144"/>
    <n v="59928.355455200079"/>
    <n v="62534.768834042123"/>
  </r>
  <r>
    <s v="ORD103106"/>
    <d v="2026-08-01T00:00:00"/>
    <x v="4"/>
    <n v="8"/>
    <x v="1"/>
    <x v="0"/>
    <x v="3"/>
    <n v="67510.660458515864"/>
    <n v="79"/>
    <n v="31332.723619734261"/>
    <n v="36177.936838781599"/>
  </r>
  <r>
    <s v="ORD103107"/>
    <d v="2026-08-01T00:00:00"/>
    <x v="4"/>
    <n v="8"/>
    <x v="1"/>
    <x v="1"/>
    <x v="3"/>
    <n v="91262.992667019294"/>
    <n v="107"/>
    <n v="44514.412998143183"/>
    <n v="46748.579668876111"/>
  </r>
  <r>
    <s v="ORD103108"/>
    <d v="2026-08-01T00:00:00"/>
    <x v="4"/>
    <n v="8"/>
    <x v="2"/>
    <x v="0"/>
    <x v="3"/>
    <n v="49458.357979388791"/>
    <n v="58"/>
    <n v="23582.850067895532"/>
    <n v="25875.50791149326"/>
  </r>
  <r>
    <s v="ORD103109"/>
    <d v="2026-08-01T00:00:00"/>
    <x v="4"/>
    <n v="8"/>
    <x v="2"/>
    <x v="1"/>
    <x v="3"/>
    <n v="76582.6842335744"/>
    <n v="90"/>
    <n v="37224.536735316738"/>
    <n v="39358.147498257662"/>
  </r>
  <r>
    <s v="ORD103110"/>
    <d v="2026-08-01T00:00:00"/>
    <x v="4"/>
    <n v="8"/>
    <x v="3"/>
    <x v="0"/>
    <x v="3"/>
    <n v="37287.566177620261"/>
    <n v="44"/>
    <n v="17468.76411384645"/>
    <n v="19818.802063773819"/>
  </r>
  <r>
    <s v="ORD103111"/>
    <d v="2026-08-01T00:00:00"/>
    <x v="4"/>
    <n v="8"/>
    <x v="3"/>
    <x v="1"/>
    <x v="3"/>
    <n v="49506.799097152201"/>
    <n v="58"/>
    <n v="24264.217339093761"/>
    <n v="25242.581758058441"/>
  </r>
  <r>
    <s v="ORD103112"/>
    <d v="2026-08-01T00:00:00"/>
    <x v="4"/>
    <n v="8"/>
    <x v="0"/>
    <x v="0"/>
    <x v="4"/>
    <n v="71528.431283270067"/>
    <n v="99"/>
    <n v="38303.242485759503"/>
    <n v="33225.188797510571"/>
  </r>
  <r>
    <s v="ORD103113"/>
    <d v="2026-08-01T00:00:00"/>
    <x v="4"/>
    <n v="8"/>
    <x v="0"/>
    <x v="1"/>
    <x v="4"/>
    <n v="107064.1580002531"/>
    <n v="149"/>
    <n v="58176.768034442102"/>
    <n v="48887.389965811053"/>
  </r>
  <r>
    <s v="ORD103114"/>
    <d v="2026-08-01T00:00:00"/>
    <x v="4"/>
    <n v="8"/>
    <x v="1"/>
    <x v="0"/>
    <x v="4"/>
    <n v="59505.344031682303"/>
    <n v="83"/>
    <n v="32139.958771829719"/>
    <n v="27365.385259852581"/>
  </r>
  <r>
    <s v="ORD103115"/>
    <d v="2026-08-01T00:00:00"/>
    <x v="4"/>
    <n v="8"/>
    <x v="1"/>
    <x v="1"/>
    <x v="4"/>
    <n v="86109.623738617127"/>
    <n v="120"/>
    <n v="45864.791051031098"/>
    <n v="40244.832687586022"/>
  </r>
  <r>
    <s v="ORD103116"/>
    <d v="2026-08-01T00:00:00"/>
    <x v="4"/>
    <n v="8"/>
    <x v="2"/>
    <x v="0"/>
    <x v="4"/>
    <n v="40278.680804243282"/>
    <n v="56"/>
    <n v="22190.968154982569"/>
    <n v="18087.712649260709"/>
  </r>
  <r>
    <s v="ORD103117"/>
    <d v="2026-08-01T00:00:00"/>
    <x v="4"/>
    <n v="8"/>
    <x v="2"/>
    <x v="1"/>
    <x v="4"/>
    <n v="51698.811693930751"/>
    <n v="72"/>
    <n v="29358.73577759647"/>
    <n v="22340.075916334281"/>
  </r>
  <r>
    <s v="ORD103118"/>
    <d v="2026-08-01T00:00:00"/>
    <x v="4"/>
    <n v="8"/>
    <x v="3"/>
    <x v="0"/>
    <x v="4"/>
    <n v="32490.305034557459"/>
    <n v="45"/>
    <n v="18727.488554303771"/>
    <n v="13762.816480253679"/>
  </r>
  <r>
    <s v="ORD103119"/>
    <d v="2026-08-01T00:00:00"/>
    <x v="4"/>
    <n v="8"/>
    <x v="3"/>
    <x v="1"/>
    <x v="4"/>
    <n v="44725.098981077019"/>
    <n v="62"/>
    <n v="24641.822931313131"/>
    <n v="20083.276049763888"/>
  </r>
  <r>
    <s v="ORD103120"/>
    <d v="2026-08-01T00:00:00"/>
    <x v="4"/>
    <n v="8"/>
    <x v="0"/>
    <x v="0"/>
    <x v="5"/>
    <n v="71075.54885660563"/>
    <n v="13"/>
    <n v="50027.888393837493"/>
    <n v="21047.660462768141"/>
  </r>
  <r>
    <s v="ORD103121"/>
    <d v="2026-08-01T00:00:00"/>
    <x v="4"/>
    <n v="8"/>
    <x v="0"/>
    <x v="1"/>
    <x v="5"/>
    <n v="96806.852694489207"/>
    <n v="18"/>
    <n v="67075.78528389764"/>
    <n v="29731.067410591571"/>
  </r>
  <r>
    <s v="ORD103122"/>
    <d v="2026-08-01T00:00:00"/>
    <x v="4"/>
    <n v="8"/>
    <x v="1"/>
    <x v="0"/>
    <x v="5"/>
    <n v="55873.923279417832"/>
    <n v="10"/>
    <n v="38899.209114763682"/>
    <n v="16974.714164654149"/>
  </r>
  <r>
    <s v="ORD103123"/>
    <d v="2026-08-01T00:00:00"/>
    <x v="4"/>
    <n v="8"/>
    <x v="1"/>
    <x v="1"/>
    <x v="5"/>
    <n v="78587.797696188034"/>
    <n v="15"/>
    <n v="53891.622644877752"/>
    <n v="24696.175051310289"/>
  </r>
  <r>
    <s v="ORD103124"/>
    <d v="2026-08-01T00:00:00"/>
    <x v="4"/>
    <n v="8"/>
    <x v="2"/>
    <x v="0"/>
    <x v="5"/>
    <n v="39938.984697318498"/>
    <n v="7"/>
    <n v="27654.665826443292"/>
    <n v="12284.31887087521"/>
  </r>
  <r>
    <s v="ORD103125"/>
    <d v="2026-08-01T00:00:00"/>
    <x v="4"/>
    <n v="8"/>
    <x v="2"/>
    <x v="1"/>
    <x v="5"/>
    <n v="54076.732436657512"/>
    <n v="10"/>
    <n v="37673.933825168257"/>
    <n v="16402.798611489248"/>
  </r>
  <r>
    <s v="ORD103126"/>
    <d v="2026-08-01T00:00:00"/>
    <x v="4"/>
    <n v="8"/>
    <x v="3"/>
    <x v="0"/>
    <x v="5"/>
    <n v="27214.001096959779"/>
    <n v="5"/>
    <n v="18582.1425869956"/>
    <n v="8631.8585099641823"/>
  </r>
  <r>
    <s v="ORD103127"/>
    <d v="2026-08-01T00:00:00"/>
    <x v="4"/>
    <n v="8"/>
    <x v="3"/>
    <x v="1"/>
    <x v="5"/>
    <n v="40659.956483660033"/>
    <n v="8"/>
    <n v="28016.23561114708"/>
    <n v="12643.72087251296"/>
  </r>
  <r>
    <s v="ORD103128"/>
    <d v="2026-08-01T00:00:00"/>
    <x v="4"/>
    <n v="8"/>
    <x v="0"/>
    <x v="0"/>
    <x v="6"/>
    <n v="136304.7869652932"/>
    <n v="39"/>
    <n v="80335.243391248092"/>
    <n v="55969.543574045143"/>
  </r>
  <r>
    <s v="ORD103129"/>
    <d v="2026-08-01T00:00:00"/>
    <x v="4"/>
    <n v="8"/>
    <x v="0"/>
    <x v="1"/>
    <x v="6"/>
    <n v="195801.04202433981"/>
    <n v="56"/>
    <n v="117241.0436920301"/>
    <n v="78559.998332309668"/>
  </r>
  <r>
    <s v="ORD103130"/>
    <d v="2026-08-01T00:00:00"/>
    <x v="4"/>
    <n v="8"/>
    <x v="1"/>
    <x v="0"/>
    <x v="6"/>
    <n v="108148.3288701734"/>
    <n v="31"/>
    <n v="62583.138503880851"/>
    <n v="45565.190366292532"/>
  </r>
  <r>
    <s v="ORD103131"/>
    <d v="2026-08-01T00:00:00"/>
    <x v="4"/>
    <n v="8"/>
    <x v="1"/>
    <x v="1"/>
    <x v="6"/>
    <n v="159541.26347293289"/>
    <n v="46"/>
    <n v="94042.016030564162"/>
    <n v="65499.247442368687"/>
  </r>
  <r>
    <s v="ORD103132"/>
    <d v="2026-08-01T00:00:00"/>
    <x v="4"/>
    <n v="8"/>
    <x v="2"/>
    <x v="0"/>
    <x v="6"/>
    <n v="89828.374652854021"/>
    <n v="26"/>
    <n v="54822.750934347263"/>
    <n v="35005.623718506758"/>
  </r>
  <r>
    <s v="ORD103133"/>
    <d v="2026-08-01T00:00:00"/>
    <x v="4"/>
    <n v="8"/>
    <x v="2"/>
    <x v="1"/>
    <x v="6"/>
    <n v="114340.9030447697"/>
    <n v="33"/>
    <n v="68874.651494073172"/>
    <n v="45466.251550696499"/>
  </r>
  <r>
    <s v="ORD103134"/>
    <d v="2026-08-01T00:00:00"/>
    <x v="4"/>
    <n v="8"/>
    <x v="3"/>
    <x v="0"/>
    <x v="6"/>
    <n v="61094.895622843484"/>
    <n v="17"/>
    <n v="36921.373280125881"/>
    <n v="24173.522342717599"/>
  </r>
  <r>
    <s v="ORD103135"/>
    <d v="2026-08-01T00:00:00"/>
    <x v="4"/>
    <n v="8"/>
    <x v="3"/>
    <x v="1"/>
    <x v="6"/>
    <n v="91012.400684858265"/>
    <n v="26"/>
    <n v="53720.93104060911"/>
    <n v="37291.469644249148"/>
  </r>
  <r>
    <s v="ORD103136"/>
    <d v="2026-09-01T00:00:00"/>
    <x v="4"/>
    <n v="9"/>
    <x v="0"/>
    <x v="0"/>
    <x v="0"/>
    <n v="129165.95601530161"/>
    <n v="25"/>
    <n v="80545.608171750675"/>
    <n v="48620.347843550888"/>
  </r>
  <r>
    <s v="ORD103137"/>
    <d v="2026-09-01T00:00:00"/>
    <x v="4"/>
    <n v="9"/>
    <x v="0"/>
    <x v="1"/>
    <x v="0"/>
    <n v="188798.15706803289"/>
    <n v="36"/>
    <n v="119166.5563902006"/>
    <n v="69631.600677832364"/>
  </r>
  <r>
    <s v="ORD103138"/>
    <d v="2026-09-01T00:00:00"/>
    <x v="4"/>
    <n v="9"/>
    <x v="1"/>
    <x v="0"/>
    <x v="0"/>
    <n v="113418.4449465848"/>
    <n v="22"/>
    <n v="72294.329062488992"/>
    <n v="41124.115884095852"/>
  </r>
  <r>
    <s v="ORD103139"/>
    <d v="2026-09-01T00:00:00"/>
    <x v="4"/>
    <n v="9"/>
    <x v="1"/>
    <x v="1"/>
    <x v="0"/>
    <n v="160501.7324397371"/>
    <n v="31"/>
    <n v="96015.364274795123"/>
    <n v="64486.368164942003"/>
  </r>
  <r>
    <s v="ORD103140"/>
    <d v="2026-09-01T00:00:00"/>
    <x v="4"/>
    <n v="9"/>
    <x v="2"/>
    <x v="0"/>
    <x v="0"/>
    <n v="80588.772866942338"/>
    <n v="15"/>
    <n v="48781.969801540101"/>
    <n v="31806.80306540224"/>
  </r>
  <r>
    <s v="ORD103141"/>
    <d v="2026-09-01T00:00:00"/>
    <x v="4"/>
    <n v="9"/>
    <x v="2"/>
    <x v="1"/>
    <x v="0"/>
    <n v="107236.7813087743"/>
    <n v="21"/>
    <n v="68053.89798087813"/>
    <n v="39182.883327896139"/>
  </r>
  <r>
    <s v="ORD103142"/>
    <d v="2026-09-01T00:00:00"/>
    <x v="4"/>
    <n v="9"/>
    <x v="3"/>
    <x v="0"/>
    <x v="0"/>
    <n v="58374.389424332679"/>
    <n v="11"/>
    <n v="36011.739605661183"/>
    <n v="22362.6498186715"/>
  </r>
  <r>
    <s v="ORD103143"/>
    <d v="2026-09-01T00:00:00"/>
    <x v="4"/>
    <n v="9"/>
    <x v="3"/>
    <x v="1"/>
    <x v="0"/>
    <n v="88365.595754171809"/>
    <n v="17"/>
    <n v="54124.245161395032"/>
    <n v="34241.350592776776"/>
  </r>
  <r>
    <s v="ORD103144"/>
    <d v="2026-09-01T00:00:00"/>
    <x v="4"/>
    <n v="9"/>
    <x v="0"/>
    <x v="0"/>
    <x v="1"/>
    <n v="154621.8676254368"/>
    <n v="25"/>
    <n v="99746.654549135084"/>
    <n v="54875.213076301719"/>
  </r>
  <r>
    <s v="ORD103145"/>
    <d v="2026-09-01T00:00:00"/>
    <x v="4"/>
    <n v="9"/>
    <x v="0"/>
    <x v="1"/>
    <x v="1"/>
    <n v="226784.46676556749"/>
    <n v="37"/>
    <n v="148182.42236481121"/>
    <n v="78602.044400756247"/>
  </r>
  <r>
    <s v="ORD103146"/>
    <d v="2026-09-01T00:00:00"/>
    <x v="4"/>
    <n v="9"/>
    <x v="1"/>
    <x v="0"/>
    <x v="1"/>
    <n v="129979.4838286334"/>
    <n v="21"/>
    <n v="83620.982008010935"/>
    <n v="46358.501820622492"/>
  </r>
  <r>
    <s v="ORD103147"/>
    <d v="2026-09-01T00:00:00"/>
    <x v="4"/>
    <n v="9"/>
    <x v="1"/>
    <x v="1"/>
    <x v="1"/>
    <n v="175824.24964377831"/>
    <n v="29"/>
    <n v="120411.86593237219"/>
    <n v="55412.383711406059"/>
  </r>
  <r>
    <s v="ORD103148"/>
    <d v="2026-09-01T00:00:00"/>
    <x v="4"/>
    <n v="9"/>
    <x v="2"/>
    <x v="0"/>
    <x v="1"/>
    <n v="82382.688081372879"/>
    <n v="14"/>
    <n v="54350.615827513619"/>
    <n v="28032.07225385926"/>
  </r>
  <r>
    <s v="ORD103149"/>
    <d v="2026-09-01T00:00:00"/>
    <x v="4"/>
    <n v="9"/>
    <x v="2"/>
    <x v="1"/>
    <x v="1"/>
    <n v="119713.5058981472"/>
    <n v="20"/>
    <n v="78928.496838002553"/>
    <n v="40785.009060144628"/>
  </r>
  <r>
    <s v="ORD103150"/>
    <d v="2026-09-01T00:00:00"/>
    <x v="4"/>
    <n v="9"/>
    <x v="3"/>
    <x v="0"/>
    <x v="1"/>
    <n v="67135.676829685195"/>
    <n v="11"/>
    <n v="44778.580103900124"/>
    <n v="22357.096725785072"/>
  </r>
  <r>
    <s v="ORD103151"/>
    <d v="2026-09-01T00:00:00"/>
    <x v="4"/>
    <n v="9"/>
    <x v="3"/>
    <x v="1"/>
    <x v="1"/>
    <n v="81807.410547334934"/>
    <n v="13"/>
    <n v="54928.167321484223"/>
    <n v="26879.243225850722"/>
  </r>
  <r>
    <s v="ORD103152"/>
    <d v="2026-09-01T00:00:00"/>
    <x v="4"/>
    <n v="9"/>
    <x v="0"/>
    <x v="0"/>
    <x v="2"/>
    <n v="101993.4868291591"/>
    <n v="24"/>
    <n v="66387.217018516807"/>
    <n v="35606.269810642247"/>
  </r>
  <r>
    <s v="ORD103153"/>
    <d v="2026-09-01T00:00:00"/>
    <x v="4"/>
    <n v="9"/>
    <x v="0"/>
    <x v="1"/>
    <x v="2"/>
    <n v="147906.93744393569"/>
    <n v="34"/>
    <n v="96489.771424296472"/>
    <n v="51417.166019639219"/>
  </r>
  <r>
    <s v="ORD103154"/>
    <d v="2026-09-01T00:00:00"/>
    <x v="4"/>
    <n v="9"/>
    <x v="1"/>
    <x v="0"/>
    <x v="2"/>
    <n v="83143.863927495564"/>
    <n v="19"/>
    <n v="52607.838123570938"/>
    <n v="30536.025803924629"/>
  </r>
  <r>
    <s v="ORD103155"/>
    <d v="2026-09-01T00:00:00"/>
    <x v="4"/>
    <n v="9"/>
    <x v="1"/>
    <x v="1"/>
    <x v="2"/>
    <n v="107452.627274509"/>
    <n v="25"/>
    <n v="68400.965760409861"/>
    <n v="39051.661514099149"/>
  </r>
  <r>
    <s v="ORD103156"/>
    <d v="2026-09-01T00:00:00"/>
    <x v="4"/>
    <n v="9"/>
    <x v="2"/>
    <x v="0"/>
    <x v="2"/>
    <n v="53273.629434471171"/>
    <n v="12"/>
    <n v="34567.086955717466"/>
    <n v="18706.542478753701"/>
  </r>
  <r>
    <s v="ORD103157"/>
    <d v="2026-09-01T00:00:00"/>
    <x v="4"/>
    <n v="9"/>
    <x v="2"/>
    <x v="1"/>
    <x v="2"/>
    <n v="75477.605603166186"/>
    <n v="18"/>
    <n v="47847.101733425101"/>
    <n v="27630.503869741089"/>
  </r>
  <r>
    <s v="ORD103158"/>
    <d v="2026-09-01T00:00:00"/>
    <x v="4"/>
    <n v="9"/>
    <x v="3"/>
    <x v="0"/>
    <x v="2"/>
    <n v="42787.526234712714"/>
    <n v="10"/>
    <n v="27381.49966846699"/>
    <n v="15406.02656624572"/>
  </r>
  <r>
    <s v="ORD103159"/>
    <d v="2026-09-01T00:00:00"/>
    <x v="4"/>
    <n v="9"/>
    <x v="3"/>
    <x v="1"/>
    <x v="2"/>
    <n v="58683.924106140941"/>
    <n v="14"/>
    <n v="37827.291206989488"/>
    <n v="20856.632899151449"/>
  </r>
  <r>
    <s v="ORD103160"/>
    <d v="2026-09-01T00:00:00"/>
    <x v="4"/>
    <n v="9"/>
    <x v="0"/>
    <x v="0"/>
    <x v="3"/>
    <n v="97534.922887890832"/>
    <n v="115"/>
    <n v="47478.43981636627"/>
    <n v="50056.483071524563"/>
  </r>
  <r>
    <s v="ORD103161"/>
    <d v="2026-09-01T00:00:00"/>
    <x v="4"/>
    <n v="9"/>
    <x v="0"/>
    <x v="1"/>
    <x v="3"/>
    <n v="129083.4467809293"/>
    <n v="152"/>
    <n v="59977.440688673647"/>
    <n v="69106.006092255659"/>
  </r>
  <r>
    <s v="ORD103162"/>
    <d v="2026-09-01T00:00:00"/>
    <x v="4"/>
    <n v="9"/>
    <x v="1"/>
    <x v="0"/>
    <x v="3"/>
    <n v="74838.349154702781"/>
    <n v="88"/>
    <n v="36384.564516364931"/>
    <n v="38453.784638337849"/>
  </r>
  <r>
    <s v="ORD103163"/>
    <d v="2026-09-01T00:00:00"/>
    <x v="4"/>
    <n v="9"/>
    <x v="1"/>
    <x v="1"/>
    <x v="3"/>
    <n v="109850.5914912912"/>
    <n v="129"/>
    <n v="52506.454283173232"/>
    <n v="57344.137208117972"/>
  </r>
  <r>
    <s v="ORD103164"/>
    <d v="2026-09-01T00:00:00"/>
    <x v="4"/>
    <n v="9"/>
    <x v="2"/>
    <x v="0"/>
    <x v="3"/>
    <n v="53839.703941998123"/>
    <n v="63"/>
    <n v="26172.149562565301"/>
    <n v="27667.554379432819"/>
  </r>
  <r>
    <s v="ORD103165"/>
    <d v="2026-09-01T00:00:00"/>
    <x v="4"/>
    <n v="9"/>
    <x v="2"/>
    <x v="1"/>
    <x v="3"/>
    <n v="69104.045014435425"/>
    <n v="81"/>
    <n v="33633.815626552678"/>
    <n v="35470.22938788274"/>
  </r>
  <r>
    <s v="ORD103166"/>
    <d v="2026-09-01T00:00:00"/>
    <x v="4"/>
    <n v="9"/>
    <x v="3"/>
    <x v="0"/>
    <x v="3"/>
    <n v="38363.190390999393"/>
    <n v="45"/>
    <n v="18947.287641696119"/>
    <n v="19415.90274930327"/>
  </r>
  <r>
    <s v="ORD103167"/>
    <d v="2026-09-01T00:00:00"/>
    <x v="4"/>
    <n v="9"/>
    <x v="3"/>
    <x v="1"/>
    <x v="3"/>
    <n v="57687.154234115922"/>
    <n v="68"/>
    <n v="28364.41835609225"/>
    <n v="29322.735878023679"/>
  </r>
  <r>
    <s v="ORD103168"/>
    <d v="2026-09-01T00:00:00"/>
    <x v="4"/>
    <n v="9"/>
    <x v="0"/>
    <x v="0"/>
    <x v="4"/>
    <n v="73909.840347831574"/>
    <n v="103"/>
    <n v="41635.708667651743"/>
    <n v="32274.131680179838"/>
  </r>
  <r>
    <s v="ORD103169"/>
    <d v="2026-09-01T00:00:00"/>
    <x v="4"/>
    <n v="9"/>
    <x v="0"/>
    <x v="1"/>
    <x v="4"/>
    <n v="101771.4847973795"/>
    <n v="141"/>
    <n v="57428.868910759353"/>
    <n v="44342.615886620188"/>
  </r>
  <r>
    <s v="ORD103170"/>
    <d v="2026-09-01T00:00:00"/>
    <x v="4"/>
    <n v="9"/>
    <x v="1"/>
    <x v="0"/>
    <x v="4"/>
    <n v="65796.651237363621"/>
    <n v="91"/>
    <n v="36377.95861882413"/>
    <n v="29418.692618539491"/>
  </r>
  <r>
    <s v="ORD103171"/>
    <d v="2026-09-01T00:00:00"/>
    <x v="4"/>
    <n v="9"/>
    <x v="1"/>
    <x v="1"/>
    <x v="4"/>
    <n v="96351.286813450337"/>
    <n v="134"/>
    <n v="53023.908385464492"/>
    <n v="43327.378427985837"/>
  </r>
  <r>
    <s v="ORD103172"/>
    <d v="2026-09-01T00:00:00"/>
    <x v="4"/>
    <n v="9"/>
    <x v="2"/>
    <x v="0"/>
    <x v="4"/>
    <n v="43922.2487358453"/>
    <n v="61"/>
    <n v="24536.76408609463"/>
    <n v="19385.48464975067"/>
  </r>
  <r>
    <s v="ORD103173"/>
    <d v="2026-09-01T00:00:00"/>
    <x v="4"/>
    <n v="9"/>
    <x v="2"/>
    <x v="1"/>
    <x v="4"/>
    <n v="57876.766838769523"/>
    <n v="80"/>
    <n v="32251.68949880185"/>
    <n v="25625.077339967669"/>
  </r>
  <r>
    <s v="ORD103174"/>
    <d v="2026-09-01T00:00:00"/>
    <x v="4"/>
    <n v="9"/>
    <x v="3"/>
    <x v="0"/>
    <x v="4"/>
    <n v="30541.4764062535"/>
    <n v="42"/>
    <n v="16704.362565584041"/>
    <n v="13837.11384066945"/>
  </r>
  <r>
    <s v="ORD103175"/>
    <d v="2026-09-01T00:00:00"/>
    <x v="4"/>
    <n v="9"/>
    <x v="3"/>
    <x v="1"/>
    <x v="4"/>
    <n v="43857.624756723861"/>
    <n v="61"/>
    <n v="24297.464088445009"/>
    <n v="19560.160668278852"/>
  </r>
  <r>
    <s v="ORD103176"/>
    <d v="2026-09-01T00:00:00"/>
    <x v="4"/>
    <n v="9"/>
    <x v="0"/>
    <x v="0"/>
    <x v="5"/>
    <n v="69595.586748972928"/>
    <n v="13"/>
    <n v="47990.618271543593"/>
    <n v="21604.968477429331"/>
  </r>
  <r>
    <s v="ORD103177"/>
    <d v="2026-09-01T00:00:00"/>
    <x v="4"/>
    <n v="9"/>
    <x v="0"/>
    <x v="1"/>
    <x v="5"/>
    <n v="97516.528499701701"/>
    <n v="18"/>
    <n v="66252.159310560062"/>
    <n v="31264.369189141638"/>
  </r>
  <r>
    <s v="ORD103178"/>
    <d v="2026-09-01T00:00:00"/>
    <x v="4"/>
    <n v="9"/>
    <x v="1"/>
    <x v="0"/>
    <x v="5"/>
    <n v="60222.586494320924"/>
    <n v="11"/>
    <n v="42518.803535580497"/>
    <n v="17703.782958740409"/>
  </r>
  <r>
    <s v="ORD103179"/>
    <d v="2026-09-01T00:00:00"/>
    <x v="4"/>
    <n v="9"/>
    <x v="1"/>
    <x v="1"/>
    <x v="5"/>
    <n v="81037.81812339359"/>
    <n v="15"/>
    <n v="55971.651974256223"/>
    <n v="25066.166149137371"/>
  </r>
  <r>
    <s v="ORD103180"/>
    <d v="2026-09-01T00:00:00"/>
    <x v="4"/>
    <n v="9"/>
    <x v="2"/>
    <x v="0"/>
    <x v="5"/>
    <n v="39763.034262941481"/>
    <n v="7"/>
    <n v="28448.262320968599"/>
    <n v="11314.77194197288"/>
  </r>
  <r>
    <s v="ORD103181"/>
    <d v="2026-09-01T00:00:00"/>
    <x v="4"/>
    <n v="9"/>
    <x v="2"/>
    <x v="1"/>
    <x v="5"/>
    <n v="56071.558464971757"/>
    <n v="10"/>
    <n v="37557.36829083367"/>
    <n v="18514.19017413809"/>
  </r>
  <r>
    <s v="ORD103182"/>
    <d v="2026-09-01T00:00:00"/>
    <x v="4"/>
    <n v="9"/>
    <x v="3"/>
    <x v="0"/>
    <x v="5"/>
    <n v="30162.09262548243"/>
    <n v="6"/>
    <n v="20603.26723913629"/>
    <n v="9558.8253863461359"/>
  </r>
  <r>
    <s v="ORD103183"/>
    <d v="2026-09-01T00:00:00"/>
    <x v="4"/>
    <n v="9"/>
    <x v="3"/>
    <x v="1"/>
    <x v="5"/>
    <n v="41971.172275327743"/>
    <n v="8"/>
    <n v="28977.122906727371"/>
    <n v="12994.049368600379"/>
  </r>
  <r>
    <s v="ORD103184"/>
    <d v="2026-09-01T00:00:00"/>
    <x v="4"/>
    <n v="9"/>
    <x v="0"/>
    <x v="0"/>
    <x v="6"/>
    <n v="147425.1768864567"/>
    <n v="42"/>
    <n v="88761.601195955271"/>
    <n v="58663.575690501428"/>
  </r>
  <r>
    <s v="ORD103185"/>
    <d v="2026-09-01T00:00:00"/>
    <x v="4"/>
    <n v="9"/>
    <x v="0"/>
    <x v="1"/>
    <x v="6"/>
    <n v="205890.88298663721"/>
    <n v="59"/>
    <n v="122349.0851837755"/>
    <n v="83541.797802861707"/>
  </r>
  <r>
    <s v="ORD103186"/>
    <d v="2026-09-01T00:00:00"/>
    <x v="4"/>
    <n v="9"/>
    <x v="1"/>
    <x v="0"/>
    <x v="6"/>
    <n v="117292.5112085896"/>
    <n v="34"/>
    <n v="69589.320903044732"/>
    <n v="47703.19030554482"/>
  </r>
  <r>
    <s v="ORD103187"/>
    <d v="2026-09-01T00:00:00"/>
    <x v="4"/>
    <n v="9"/>
    <x v="1"/>
    <x v="1"/>
    <x v="6"/>
    <n v="162324.97046958251"/>
    <n v="46"/>
    <n v="93828.45246033647"/>
    <n v="68496.518009246065"/>
  </r>
  <r>
    <s v="ORD103188"/>
    <d v="2026-09-01T00:00:00"/>
    <x v="4"/>
    <n v="9"/>
    <x v="2"/>
    <x v="0"/>
    <x v="6"/>
    <n v="78274.761442402581"/>
    <n v="22"/>
    <n v="45220.369358947763"/>
    <n v="33054.392083454833"/>
  </r>
  <r>
    <s v="ORD103189"/>
    <d v="2026-09-01T00:00:00"/>
    <x v="4"/>
    <n v="9"/>
    <x v="2"/>
    <x v="1"/>
    <x v="6"/>
    <n v="115816.0830508159"/>
    <n v="33"/>
    <n v="68728.159025628178"/>
    <n v="47087.924025187749"/>
  </r>
  <r>
    <s v="ORD103190"/>
    <d v="2026-09-01T00:00:00"/>
    <x v="4"/>
    <n v="9"/>
    <x v="3"/>
    <x v="0"/>
    <x v="6"/>
    <n v="63976.823920653609"/>
    <n v="18"/>
    <n v="36819.506298664492"/>
    <n v="27157.317621989121"/>
  </r>
  <r>
    <s v="ORD103191"/>
    <d v="2026-09-01T00:00:00"/>
    <x v="4"/>
    <n v="9"/>
    <x v="3"/>
    <x v="1"/>
    <x v="6"/>
    <n v="87200.326139760247"/>
    <n v="25"/>
    <n v="50955.637743300576"/>
    <n v="36244.688396459671"/>
  </r>
  <r>
    <s v="ORD103192"/>
    <d v="2026-10-01T00:00:00"/>
    <x v="4"/>
    <n v="10"/>
    <x v="0"/>
    <x v="0"/>
    <x v="0"/>
    <n v="157037.52885367861"/>
    <n v="30"/>
    <n v="98241.144955119787"/>
    <n v="58796.383898558823"/>
  </r>
  <r>
    <s v="ORD103193"/>
    <d v="2026-10-01T00:00:00"/>
    <x v="4"/>
    <n v="10"/>
    <x v="0"/>
    <x v="1"/>
    <x v="0"/>
    <n v="209648.15002249021"/>
    <n v="40"/>
    <n v="127683.53508886389"/>
    <n v="81964.614933626232"/>
  </r>
  <r>
    <s v="ORD103194"/>
    <d v="2026-10-01T00:00:00"/>
    <x v="4"/>
    <n v="10"/>
    <x v="1"/>
    <x v="0"/>
    <x v="0"/>
    <n v="120556.2617552359"/>
    <n v="23"/>
    <n v="76904.740852120667"/>
    <n v="43651.520903115219"/>
  </r>
  <r>
    <s v="ORD103195"/>
    <d v="2026-10-01T00:00:00"/>
    <x v="4"/>
    <n v="10"/>
    <x v="1"/>
    <x v="1"/>
    <x v="0"/>
    <n v="175203.71801396599"/>
    <n v="34"/>
    <n v="111019.4354597105"/>
    <n v="64184.282554255537"/>
  </r>
  <r>
    <s v="ORD103196"/>
    <d v="2026-10-01T00:00:00"/>
    <x v="4"/>
    <n v="10"/>
    <x v="2"/>
    <x v="0"/>
    <x v="0"/>
    <n v="85899.004441281839"/>
    <n v="17"/>
    <n v="51750.967859867931"/>
    <n v="34148.036581413908"/>
  </r>
  <r>
    <s v="ORD103197"/>
    <d v="2026-10-01T00:00:00"/>
    <x v="4"/>
    <n v="10"/>
    <x v="2"/>
    <x v="1"/>
    <x v="0"/>
    <n v="115996.777920294"/>
    <n v="22"/>
    <n v="70711.025320595596"/>
    <n v="45285.752599698397"/>
  </r>
  <r>
    <s v="ORD103198"/>
    <d v="2026-10-01T00:00:00"/>
    <x v="4"/>
    <n v="10"/>
    <x v="3"/>
    <x v="0"/>
    <x v="0"/>
    <n v="58566.714638799203"/>
    <n v="11"/>
    <n v="34817.368702210348"/>
    <n v="23749.345936588848"/>
  </r>
  <r>
    <s v="ORD103199"/>
    <d v="2026-10-01T00:00:00"/>
    <x v="4"/>
    <n v="10"/>
    <x v="3"/>
    <x v="1"/>
    <x v="0"/>
    <n v="92105.493913655766"/>
    <n v="18"/>
    <n v="56300.982668449149"/>
    <n v="35804.511245206617"/>
  </r>
  <r>
    <s v="ORD103200"/>
    <d v="2026-10-01T00:00:00"/>
    <x v="4"/>
    <n v="10"/>
    <x v="0"/>
    <x v="0"/>
    <x v="1"/>
    <n v="173014.65799347681"/>
    <n v="28"/>
    <n v="115764.9199848467"/>
    <n v="57249.73800863004"/>
  </r>
  <r>
    <s v="ORD103201"/>
    <d v="2026-10-01T00:00:00"/>
    <x v="4"/>
    <n v="10"/>
    <x v="0"/>
    <x v="1"/>
    <x v="1"/>
    <n v="244290.9469258734"/>
    <n v="40"/>
    <n v="160030.8288170477"/>
    <n v="84260.1181088257"/>
  </r>
  <r>
    <s v="ORD103202"/>
    <d v="2026-10-01T00:00:00"/>
    <x v="4"/>
    <n v="10"/>
    <x v="1"/>
    <x v="0"/>
    <x v="1"/>
    <n v="129404.26680206689"/>
    <n v="21"/>
    <n v="86115.210147284044"/>
    <n v="43289.056654782828"/>
  </r>
  <r>
    <s v="ORD103203"/>
    <d v="2026-10-01T00:00:00"/>
    <x v="4"/>
    <n v="10"/>
    <x v="1"/>
    <x v="1"/>
    <x v="1"/>
    <n v="174646.94879493839"/>
    <n v="29"/>
    <n v="112108.43820510271"/>
    <n v="62538.510589835787"/>
  </r>
  <r>
    <s v="ORD103204"/>
    <d v="2026-10-01T00:00:00"/>
    <x v="4"/>
    <n v="10"/>
    <x v="2"/>
    <x v="0"/>
    <x v="1"/>
    <n v="95252.790996873067"/>
    <n v="16"/>
    <n v="63769.833375263173"/>
    <n v="31482.95762160989"/>
  </r>
  <r>
    <s v="ORD103205"/>
    <d v="2026-10-01T00:00:00"/>
    <x v="4"/>
    <n v="10"/>
    <x v="2"/>
    <x v="1"/>
    <x v="1"/>
    <n v="122273.4541622665"/>
    <n v="20"/>
    <n v="79894.123288990406"/>
    <n v="42379.330873276049"/>
  </r>
  <r>
    <s v="ORD103206"/>
    <d v="2026-10-01T00:00:00"/>
    <x v="4"/>
    <n v="10"/>
    <x v="3"/>
    <x v="0"/>
    <x v="1"/>
    <n v="66488.197627685091"/>
    <n v="11"/>
    <n v="43891.823020331583"/>
    <n v="22596.374607353511"/>
  </r>
  <r>
    <s v="ORD103207"/>
    <d v="2026-10-01T00:00:00"/>
    <x v="4"/>
    <n v="10"/>
    <x v="3"/>
    <x v="1"/>
    <x v="1"/>
    <n v="87787.248575950769"/>
    <n v="14"/>
    <n v="57842.724080478401"/>
    <n v="29944.524495472371"/>
  </r>
  <r>
    <s v="ORD103208"/>
    <d v="2026-10-01T00:00:00"/>
    <x v="4"/>
    <n v="10"/>
    <x v="0"/>
    <x v="0"/>
    <x v="2"/>
    <n v="113287.2245938639"/>
    <n v="26"/>
    <n v="70844.365403029835"/>
    <n v="42442.859190834053"/>
  </r>
  <r>
    <s v="ORD103209"/>
    <d v="2026-10-01T00:00:00"/>
    <x v="4"/>
    <n v="10"/>
    <x v="0"/>
    <x v="1"/>
    <x v="2"/>
    <n v="153220.5904951806"/>
    <n v="36"/>
    <n v="96025.86737637264"/>
    <n v="57194.72311880799"/>
  </r>
  <r>
    <s v="ORD103210"/>
    <d v="2026-10-01T00:00:00"/>
    <x v="4"/>
    <n v="10"/>
    <x v="1"/>
    <x v="0"/>
    <x v="2"/>
    <n v="96809.312771023382"/>
    <n v="23"/>
    <n v="63037.286454453839"/>
    <n v="33772.026316569543"/>
  </r>
  <r>
    <s v="ORD103211"/>
    <d v="2026-10-01T00:00:00"/>
    <x v="4"/>
    <n v="10"/>
    <x v="1"/>
    <x v="1"/>
    <x v="2"/>
    <n v="126725.0349176008"/>
    <n v="29"/>
    <n v="81686.499986715731"/>
    <n v="45038.534930885071"/>
  </r>
  <r>
    <s v="ORD103212"/>
    <d v="2026-10-01T00:00:00"/>
    <x v="4"/>
    <n v="10"/>
    <x v="2"/>
    <x v="0"/>
    <x v="2"/>
    <n v="61753.246167284698"/>
    <n v="14"/>
    <n v="40269.079700735077"/>
    <n v="21484.16646654961"/>
  </r>
  <r>
    <s v="ORD103213"/>
    <d v="2026-10-01T00:00:00"/>
    <x v="4"/>
    <n v="10"/>
    <x v="2"/>
    <x v="1"/>
    <x v="2"/>
    <n v="81094.098775843449"/>
    <n v="19"/>
    <n v="52203.520244589839"/>
    <n v="28890.57853125361"/>
  </r>
  <r>
    <s v="ORD103214"/>
    <d v="2026-10-01T00:00:00"/>
    <x v="4"/>
    <n v="10"/>
    <x v="3"/>
    <x v="0"/>
    <x v="2"/>
    <n v="46887.654296678047"/>
    <n v="11"/>
    <n v="30085.334537487881"/>
    <n v="16802.319759190181"/>
  </r>
  <r>
    <s v="ORD103215"/>
    <d v="2026-10-01T00:00:00"/>
    <x v="4"/>
    <n v="10"/>
    <x v="3"/>
    <x v="1"/>
    <x v="2"/>
    <n v="64459.819740527993"/>
    <n v="15"/>
    <n v="39972.588633751708"/>
    <n v="24487.231106776278"/>
  </r>
  <r>
    <s v="ORD103216"/>
    <d v="2026-10-01T00:00:00"/>
    <x v="4"/>
    <n v="10"/>
    <x v="0"/>
    <x v="0"/>
    <x v="3"/>
    <n v="106317.63883450811"/>
    <n v="125"/>
    <n v="50784.112010766563"/>
    <n v="55533.5268237415"/>
  </r>
  <r>
    <s v="ORD103217"/>
    <d v="2026-10-01T00:00:00"/>
    <x v="4"/>
    <n v="10"/>
    <x v="0"/>
    <x v="1"/>
    <x v="3"/>
    <n v="136485.65006764399"/>
    <n v="161"/>
    <n v="65480.819455559322"/>
    <n v="71004.830612084639"/>
  </r>
  <r>
    <s v="ORD103218"/>
    <d v="2026-10-01T00:00:00"/>
    <x v="4"/>
    <n v="10"/>
    <x v="1"/>
    <x v="0"/>
    <x v="3"/>
    <n v="79048.435205718008"/>
    <n v="93"/>
    <n v="39277.179084644391"/>
    <n v="39771.256121073617"/>
  </r>
  <r>
    <s v="ORD103219"/>
    <d v="2026-10-01T00:00:00"/>
    <x v="4"/>
    <n v="10"/>
    <x v="1"/>
    <x v="1"/>
    <x v="3"/>
    <n v="117000.9211612034"/>
    <n v="138"/>
    <n v="56854.878345006488"/>
    <n v="60146.042816196867"/>
  </r>
  <r>
    <s v="ORD103220"/>
    <d v="2026-10-01T00:00:00"/>
    <x v="4"/>
    <n v="10"/>
    <x v="2"/>
    <x v="0"/>
    <x v="3"/>
    <n v="56527.607482865969"/>
    <n v="67"/>
    <n v="27883.461612841991"/>
    <n v="28644.145870023971"/>
  </r>
  <r>
    <s v="ORD103221"/>
    <d v="2026-10-01T00:00:00"/>
    <x v="4"/>
    <n v="10"/>
    <x v="2"/>
    <x v="1"/>
    <x v="3"/>
    <n v="77208.436837037574"/>
    <n v="91"/>
    <n v="37458.655668987543"/>
    <n v="39749.781168050038"/>
  </r>
  <r>
    <s v="ORD103222"/>
    <d v="2026-10-01T00:00:00"/>
    <x v="4"/>
    <n v="10"/>
    <x v="3"/>
    <x v="0"/>
    <x v="3"/>
    <n v="45512.538136372328"/>
    <n v="54"/>
    <n v="21566.31372575865"/>
    <n v="23946.224410613671"/>
  </r>
  <r>
    <s v="ORD103223"/>
    <d v="2026-10-01T00:00:00"/>
    <x v="4"/>
    <n v="10"/>
    <x v="3"/>
    <x v="1"/>
    <x v="3"/>
    <n v="60565.816059619297"/>
    <n v="71"/>
    <n v="29132.88148165707"/>
    <n v="31432.934577962231"/>
  </r>
  <r>
    <s v="ORD103224"/>
    <d v="2026-10-01T00:00:00"/>
    <x v="4"/>
    <n v="10"/>
    <x v="0"/>
    <x v="0"/>
    <x v="4"/>
    <n v="91578.585104503494"/>
    <n v="127"/>
    <n v="50582.388777678672"/>
    <n v="40996.196326824822"/>
  </r>
  <r>
    <s v="ORD103225"/>
    <d v="2026-10-01T00:00:00"/>
    <x v="4"/>
    <n v="10"/>
    <x v="0"/>
    <x v="1"/>
    <x v="4"/>
    <n v="124423.0968404309"/>
    <n v="173"/>
    <n v="67275.862082619497"/>
    <n v="57147.234757811369"/>
  </r>
  <r>
    <s v="ORD103226"/>
    <d v="2026-10-01T00:00:00"/>
    <x v="4"/>
    <n v="10"/>
    <x v="1"/>
    <x v="0"/>
    <x v="4"/>
    <n v="69853.189716449386"/>
    <n v="97"/>
    <n v="38153.4325690638"/>
    <n v="31699.75714738559"/>
  </r>
  <r>
    <s v="ORD103227"/>
    <d v="2026-10-01T00:00:00"/>
    <x v="4"/>
    <n v="10"/>
    <x v="1"/>
    <x v="1"/>
    <x v="4"/>
    <n v="97370.006243766198"/>
    <n v="135"/>
    <n v="53355.151652826251"/>
    <n v="44014.854590939947"/>
  </r>
  <r>
    <s v="ORD103228"/>
    <d v="2026-10-01T00:00:00"/>
    <x v="4"/>
    <n v="10"/>
    <x v="2"/>
    <x v="0"/>
    <x v="4"/>
    <n v="48648.943094456787"/>
    <n v="68"/>
    <n v="27530.224609822581"/>
    <n v="21118.718484634221"/>
  </r>
  <r>
    <s v="ORD103229"/>
    <d v="2026-10-01T00:00:00"/>
    <x v="4"/>
    <n v="10"/>
    <x v="2"/>
    <x v="1"/>
    <x v="4"/>
    <n v="63810.233206092918"/>
    <n v="89"/>
    <n v="33781.180135502087"/>
    <n v="30029.05307059082"/>
  </r>
  <r>
    <s v="ORD103230"/>
    <d v="2026-10-01T00:00:00"/>
    <x v="4"/>
    <n v="10"/>
    <x v="3"/>
    <x v="0"/>
    <x v="4"/>
    <n v="37627.405400508876"/>
    <n v="52"/>
    <n v="21144.253973981158"/>
    <n v="16483.151426527718"/>
  </r>
  <r>
    <s v="ORD103231"/>
    <d v="2026-10-01T00:00:00"/>
    <x v="4"/>
    <n v="10"/>
    <x v="3"/>
    <x v="1"/>
    <x v="4"/>
    <n v="48701.599587288358"/>
    <n v="68"/>
    <n v="26334.207851368708"/>
    <n v="22367.391735919649"/>
  </r>
  <r>
    <s v="ORD103232"/>
    <d v="2026-10-01T00:00:00"/>
    <x v="4"/>
    <n v="10"/>
    <x v="0"/>
    <x v="0"/>
    <x v="5"/>
    <n v="75971.899789526826"/>
    <n v="14"/>
    <n v="51125.956730293197"/>
    <n v="24845.943059233621"/>
  </r>
  <r>
    <s v="ORD103233"/>
    <d v="2026-10-01T00:00:00"/>
    <x v="4"/>
    <n v="10"/>
    <x v="0"/>
    <x v="1"/>
    <x v="5"/>
    <n v="108684.1606016752"/>
    <n v="20"/>
    <n v="76584.824283081252"/>
    <n v="32099.336318593971"/>
  </r>
  <r>
    <s v="ORD103234"/>
    <d v="2026-10-01T00:00:00"/>
    <x v="4"/>
    <n v="10"/>
    <x v="1"/>
    <x v="0"/>
    <x v="5"/>
    <n v="66037.141512530361"/>
    <n v="12"/>
    <n v="46165.916751771023"/>
    <n v="19871.224760759349"/>
  </r>
  <r>
    <s v="ORD103235"/>
    <d v="2026-10-01T00:00:00"/>
    <x v="4"/>
    <n v="10"/>
    <x v="1"/>
    <x v="1"/>
    <x v="5"/>
    <n v="86123.250195822489"/>
    <n v="16"/>
    <n v="60766.93952787749"/>
    <n v="25356.310667944999"/>
  </r>
  <r>
    <s v="ORD103236"/>
    <d v="2026-10-01T00:00:00"/>
    <x v="4"/>
    <n v="10"/>
    <x v="2"/>
    <x v="0"/>
    <x v="5"/>
    <n v="44871.702657834947"/>
    <n v="8"/>
    <n v="31407.711271477168"/>
    <n v="13463.99138635778"/>
  </r>
  <r>
    <s v="ORD103237"/>
    <d v="2026-10-01T00:00:00"/>
    <x v="4"/>
    <n v="10"/>
    <x v="2"/>
    <x v="1"/>
    <x v="5"/>
    <n v="58050.339137906289"/>
    <n v="11"/>
    <n v="41539.851790611261"/>
    <n v="16510.487347295031"/>
  </r>
  <r>
    <s v="ORD103238"/>
    <d v="2026-10-01T00:00:00"/>
    <x v="4"/>
    <n v="10"/>
    <x v="3"/>
    <x v="0"/>
    <x v="5"/>
    <n v="33212.725274518583"/>
    <n v="6"/>
    <n v="23147.255166373288"/>
    <n v="10065.470108145289"/>
  </r>
  <r>
    <s v="ORD103239"/>
    <d v="2026-10-01T00:00:00"/>
    <x v="4"/>
    <n v="10"/>
    <x v="3"/>
    <x v="1"/>
    <x v="5"/>
    <n v="48540.631732551461"/>
    <n v="9"/>
    <n v="33398.699652704738"/>
    <n v="15141.93207984672"/>
  </r>
  <r>
    <s v="ORD103240"/>
    <d v="2026-10-01T00:00:00"/>
    <x v="4"/>
    <n v="10"/>
    <x v="0"/>
    <x v="0"/>
    <x v="6"/>
    <n v="159586.08721728419"/>
    <n v="46"/>
    <n v="94736.984538632169"/>
    <n v="64849.102678652023"/>
  </r>
  <r>
    <s v="ORD103241"/>
    <d v="2026-10-01T00:00:00"/>
    <x v="4"/>
    <n v="10"/>
    <x v="0"/>
    <x v="1"/>
    <x v="6"/>
    <n v="216251.7697528298"/>
    <n v="62"/>
    <n v="130444.28763832329"/>
    <n v="85807.482114506522"/>
  </r>
  <r>
    <s v="ORD103242"/>
    <d v="2026-10-01T00:00:00"/>
    <x v="4"/>
    <n v="10"/>
    <x v="1"/>
    <x v="0"/>
    <x v="6"/>
    <n v="131498.0446138265"/>
    <n v="38"/>
    <n v="76495.441483836898"/>
    <n v="55002.603129989569"/>
  </r>
  <r>
    <s v="ORD103243"/>
    <d v="2026-10-01T00:00:00"/>
    <x v="4"/>
    <n v="10"/>
    <x v="1"/>
    <x v="1"/>
    <x v="6"/>
    <n v="167169.02318685071"/>
    <n v="48"/>
    <n v="97472.403046465188"/>
    <n v="69696.620140385523"/>
  </r>
  <r>
    <s v="ORD103244"/>
    <d v="2026-10-01T00:00:00"/>
    <x v="4"/>
    <n v="10"/>
    <x v="2"/>
    <x v="0"/>
    <x v="6"/>
    <n v="89562.519622775581"/>
    <n v="26"/>
    <n v="52548.018036567373"/>
    <n v="37014.501586208207"/>
  </r>
  <r>
    <s v="ORD103245"/>
    <d v="2026-10-01T00:00:00"/>
    <x v="4"/>
    <n v="10"/>
    <x v="2"/>
    <x v="1"/>
    <x v="6"/>
    <n v="123381.57414789651"/>
    <n v="35"/>
    <n v="70037.467982941962"/>
    <n v="53344.106164954559"/>
  </r>
  <r>
    <s v="ORD103246"/>
    <d v="2026-10-01T00:00:00"/>
    <x v="4"/>
    <n v="10"/>
    <x v="3"/>
    <x v="0"/>
    <x v="6"/>
    <n v="59824.578919854153"/>
    <n v="17"/>
    <n v="35384.227888366717"/>
    <n v="24440.351031487429"/>
  </r>
  <r>
    <s v="ORD103247"/>
    <d v="2026-10-01T00:00:00"/>
    <x v="4"/>
    <n v="10"/>
    <x v="3"/>
    <x v="1"/>
    <x v="6"/>
    <n v="89638.684932855977"/>
    <n v="26"/>
    <n v="51091.299684107718"/>
    <n v="38547.385248748258"/>
  </r>
  <r>
    <s v="ORD103248"/>
    <d v="2026-11-01T00:00:00"/>
    <x v="4"/>
    <n v="11"/>
    <x v="0"/>
    <x v="0"/>
    <x v="0"/>
    <n v="174284.7132187715"/>
    <n v="34"/>
    <n v="108159.7234824989"/>
    <n v="66124.989736272561"/>
  </r>
  <r>
    <s v="ORD103249"/>
    <d v="2026-11-01T00:00:00"/>
    <x v="4"/>
    <n v="11"/>
    <x v="0"/>
    <x v="1"/>
    <x v="0"/>
    <n v="243036.0641572965"/>
    <n v="47"/>
    <n v="153029.27001974781"/>
    <n v="90006.794137548684"/>
  </r>
  <r>
    <s v="ORD103250"/>
    <d v="2026-11-01T00:00:00"/>
    <x v="4"/>
    <n v="11"/>
    <x v="1"/>
    <x v="0"/>
    <x v="0"/>
    <n v="164354.03707006201"/>
    <n v="32"/>
    <n v="101024.82044560451"/>
    <n v="63329.216624457491"/>
  </r>
  <r>
    <s v="ORD103251"/>
    <d v="2026-11-01T00:00:00"/>
    <x v="4"/>
    <n v="11"/>
    <x v="1"/>
    <x v="1"/>
    <x v="0"/>
    <n v="197166.55425228141"/>
    <n v="38"/>
    <n v="125933.5537508397"/>
    <n v="71233.000501441697"/>
  </r>
  <r>
    <s v="ORD103252"/>
    <d v="2026-11-01T00:00:00"/>
    <x v="4"/>
    <n v="11"/>
    <x v="2"/>
    <x v="0"/>
    <x v="0"/>
    <n v="93089.67793977799"/>
    <n v="18"/>
    <n v="56198.313971391282"/>
    <n v="36891.363968386708"/>
  </r>
  <r>
    <s v="ORD103253"/>
    <d v="2026-11-01T00:00:00"/>
    <x v="4"/>
    <n v="11"/>
    <x v="2"/>
    <x v="1"/>
    <x v="0"/>
    <n v="129397.3625712412"/>
    <n v="25"/>
    <n v="81946.63404634138"/>
    <n v="47450.728524899838"/>
  </r>
  <r>
    <s v="ORD103254"/>
    <d v="2026-11-01T00:00:00"/>
    <x v="4"/>
    <n v="11"/>
    <x v="3"/>
    <x v="0"/>
    <x v="0"/>
    <n v="77428.779050086567"/>
    <n v="15"/>
    <n v="48589.232434788362"/>
    <n v="28839.546615298212"/>
  </r>
  <r>
    <s v="ORD103255"/>
    <d v="2026-11-01T00:00:00"/>
    <x v="4"/>
    <n v="11"/>
    <x v="3"/>
    <x v="1"/>
    <x v="0"/>
    <n v="96354.630255339405"/>
    <n v="19"/>
    <n v="57894.58987783164"/>
    <n v="38460.040377507758"/>
  </r>
  <r>
    <s v="ORD103256"/>
    <d v="2026-11-01T00:00:00"/>
    <x v="4"/>
    <n v="11"/>
    <x v="0"/>
    <x v="0"/>
    <x v="1"/>
    <n v="165925.65995130301"/>
    <n v="27"/>
    <n v="114854.4447246191"/>
    <n v="51071.21522668394"/>
  </r>
  <r>
    <s v="ORD103257"/>
    <d v="2026-11-01T00:00:00"/>
    <x v="4"/>
    <n v="11"/>
    <x v="0"/>
    <x v="1"/>
    <x v="1"/>
    <n v="238111.3305575597"/>
    <n v="39"/>
    <n v="156973.15788798171"/>
    <n v="81138.172669577994"/>
  </r>
  <r>
    <s v="ORD103258"/>
    <d v="2026-11-01T00:00:00"/>
    <x v="4"/>
    <n v="11"/>
    <x v="1"/>
    <x v="0"/>
    <x v="1"/>
    <n v="151430.44984241191"/>
    <n v="25"/>
    <n v="98365.508629561722"/>
    <n v="53064.941212850194"/>
  </r>
  <r>
    <s v="ORD103259"/>
    <d v="2026-11-01T00:00:00"/>
    <x v="4"/>
    <n v="11"/>
    <x v="1"/>
    <x v="1"/>
    <x v="1"/>
    <n v="202831.6866956208"/>
    <n v="33"/>
    <n v="130478.339014845"/>
    <n v="72353.347680775812"/>
  </r>
  <r>
    <s v="ORD103260"/>
    <d v="2026-11-01T00:00:00"/>
    <x v="4"/>
    <n v="11"/>
    <x v="2"/>
    <x v="0"/>
    <x v="1"/>
    <n v="99857.996290024457"/>
    <n v="16"/>
    <n v="65645.267305865564"/>
    <n v="34212.728984158894"/>
  </r>
  <r>
    <s v="ORD103261"/>
    <d v="2026-11-01T00:00:00"/>
    <x v="4"/>
    <n v="11"/>
    <x v="2"/>
    <x v="1"/>
    <x v="1"/>
    <n v="148542.17604811399"/>
    <n v="24"/>
    <n v="97813.003698223969"/>
    <n v="50729.172349890046"/>
  </r>
  <r>
    <s v="ORD103262"/>
    <d v="2026-11-01T00:00:00"/>
    <x v="4"/>
    <n v="11"/>
    <x v="3"/>
    <x v="0"/>
    <x v="1"/>
    <n v="71431.835189044694"/>
    <n v="12"/>
    <n v="47232.117267482638"/>
    <n v="24199.717921562049"/>
  </r>
  <r>
    <s v="ORD103263"/>
    <d v="2026-11-01T00:00:00"/>
    <x v="4"/>
    <n v="11"/>
    <x v="3"/>
    <x v="1"/>
    <x v="1"/>
    <n v="93587.223770027704"/>
    <n v="15"/>
    <n v="61436.473091954889"/>
    <n v="32150.750678072811"/>
  </r>
  <r>
    <s v="ORD103264"/>
    <d v="2026-11-01T00:00:00"/>
    <x v="4"/>
    <n v="11"/>
    <x v="0"/>
    <x v="0"/>
    <x v="2"/>
    <n v="118140.0488973021"/>
    <n v="27"/>
    <n v="76471.43407430542"/>
    <n v="41668.614822996678"/>
  </r>
  <r>
    <s v="ORD103265"/>
    <d v="2026-11-01T00:00:00"/>
    <x v="4"/>
    <n v="11"/>
    <x v="0"/>
    <x v="1"/>
    <x v="2"/>
    <n v="161695.99378889901"/>
    <n v="38"/>
    <n v="102763.3832644059"/>
    <n v="58932.610524493073"/>
  </r>
  <r>
    <s v="ORD103266"/>
    <d v="2026-11-01T00:00:00"/>
    <x v="4"/>
    <n v="11"/>
    <x v="1"/>
    <x v="0"/>
    <x v="2"/>
    <n v="104246.7818914246"/>
    <n v="24"/>
    <n v="64394.19763844226"/>
    <n v="39852.584252982393"/>
  </r>
  <r>
    <s v="ORD103267"/>
    <d v="2026-11-01T00:00:00"/>
    <x v="4"/>
    <n v="11"/>
    <x v="1"/>
    <x v="1"/>
    <x v="2"/>
    <n v="145046.5570168751"/>
    <n v="34"/>
    <n v="92580.222940395164"/>
    <n v="52466.334076479972"/>
  </r>
  <r>
    <s v="ORD103268"/>
    <d v="2026-11-01T00:00:00"/>
    <x v="4"/>
    <n v="11"/>
    <x v="2"/>
    <x v="0"/>
    <x v="2"/>
    <n v="68739.30137947356"/>
    <n v="16"/>
    <n v="42118.402368534051"/>
    <n v="26620.899010939509"/>
  </r>
  <r>
    <s v="ORD103269"/>
    <d v="2026-11-01T00:00:00"/>
    <x v="4"/>
    <n v="11"/>
    <x v="2"/>
    <x v="1"/>
    <x v="2"/>
    <n v="95862.534619275684"/>
    <n v="22"/>
    <n v="61742.703940861218"/>
    <n v="34119.830678414473"/>
  </r>
  <r>
    <s v="ORD103270"/>
    <d v="2026-11-01T00:00:00"/>
    <x v="4"/>
    <n v="11"/>
    <x v="3"/>
    <x v="0"/>
    <x v="2"/>
    <n v="49506.498792526188"/>
    <n v="12"/>
    <n v="31125.649747521311"/>
    <n v="18380.849045004881"/>
  </r>
  <r>
    <s v="ORD103271"/>
    <d v="2026-11-01T00:00:00"/>
    <x v="4"/>
    <n v="11"/>
    <x v="3"/>
    <x v="1"/>
    <x v="2"/>
    <n v="74328.075983181334"/>
    <n v="17"/>
    <n v="47709.847474490947"/>
    <n v="26618.228508690379"/>
  </r>
  <r>
    <s v="ORD103272"/>
    <d v="2026-11-01T00:00:00"/>
    <x v="4"/>
    <n v="11"/>
    <x v="0"/>
    <x v="0"/>
    <x v="3"/>
    <n v="120581.3216583598"/>
    <n v="142"/>
    <n v="59248.06743499553"/>
    <n v="61333.254223364238"/>
  </r>
  <r>
    <s v="ORD103273"/>
    <d v="2026-11-01T00:00:00"/>
    <x v="4"/>
    <n v="11"/>
    <x v="0"/>
    <x v="1"/>
    <x v="3"/>
    <n v="163256.19049614691"/>
    <n v="192"/>
    <n v="77024.729633783674"/>
    <n v="86231.460862363238"/>
  </r>
  <r>
    <s v="ORD103274"/>
    <d v="2026-11-01T00:00:00"/>
    <x v="4"/>
    <n v="11"/>
    <x v="1"/>
    <x v="0"/>
    <x v="3"/>
    <n v="91494.127259680521"/>
    <n v="108"/>
    <n v="44756.11398372789"/>
    <n v="46738.013275952631"/>
  </r>
  <r>
    <s v="ORD103275"/>
    <d v="2026-11-01T00:00:00"/>
    <x v="4"/>
    <n v="11"/>
    <x v="1"/>
    <x v="1"/>
    <x v="3"/>
    <n v="134376.7122774267"/>
    <n v="158"/>
    <n v="63997.650194643567"/>
    <n v="70379.062082783115"/>
  </r>
  <r>
    <s v="ORD103276"/>
    <d v="2026-11-01T00:00:00"/>
    <x v="4"/>
    <n v="11"/>
    <x v="2"/>
    <x v="0"/>
    <x v="3"/>
    <n v="59603.840400084817"/>
    <n v="70"/>
    <n v="29512.698709051761"/>
    <n v="30091.141691033059"/>
  </r>
  <r>
    <s v="ORD103277"/>
    <d v="2026-11-01T00:00:00"/>
    <x v="4"/>
    <n v="11"/>
    <x v="2"/>
    <x v="1"/>
    <x v="3"/>
    <n v="94274.460697455084"/>
    <n v="111"/>
    <n v="44954.312887290027"/>
    <n v="49320.14781016505"/>
  </r>
  <r>
    <s v="ORD103278"/>
    <d v="2026-11-01T00:00:00"/>
    <x v="4"/>
    <n v="11"/>
    <x v="3"/>
    <x v="0"/>
    <x v="3"/>
    <n v="51591.181804864282"/>
    <n v="61"/>
    <n v="24389.119358057509"/>
    <n v="27202.062446806769"/>
  </r>
  <r>
    <s v="ORD103279"/>
    <d v="2026-11-01T00:00:00"/>
    <x v="4"/>
    <n v="11"/>
    <x v="3"/>
    <x v="1"/>
    <x v="3"/>
    <n v="65280.908660648318"/>
    <n v="77"/>
    <n v="31722.45723350325"/>
    <n v="33558.451427145061"/>
  </r>
  <r>
    <s v="ORD103280"/>
    <d v="2026-11-01T00:00:00"/>
    <x v="4"/>
    <n v="11"/>
    <x v="0"/>
    <x v="0"/>
    <x v="4"/>
    <n v="94816.464756319503"/>
    <n v="132"/>
    <n v="51739.987204729478"/>
    <n v="43076.477551590018"/>
  </r>
  <r>
    <s v="ORD103281"/>
    <d v="2026-11-01T00:00:00"/>
    <x v="4"/>
    <n v="11"/>
    <x v="0"/>
    <x v="1"/>
    <x v="4"/>
    <n v="128314.384366383"/>
    <n v="178"/>
    <n v="69504.0076453402"/>
    <n v="58810.376721042827"/>
  </r>
  <r>
    <s v="ORD103282"/>
    <d v="2026-11-01T00:00:00"/>
    <x v="4"/>
    <n v="11"/>
    <x v="1"/>
    <x v="0"/>
    <x v="4"/>
    <n v="79164.909373610033"/>
    <n v="110"/>
    <n v="43166.201485572477"/>
    <n v="35998.707888037548"/>
  </r>
  <r>
    <s v="ORD103283"/>
    <d v="2026-11-01T00:00:00"/>
    <x v="4"/>
    <n v="11"/>
    <x v="1"/>
    <x v="1"/>
    <x v="4"/>
    <n v="112389.3752925497"/>
    <n v="156"/>
    <n v="61764.524738070817"/>
    <n v="50624.850554478922"/>
  </r>
  <r>
    <s v="ORD103284"/>
    <d v="2026-11-01T00:00:00"/>
    <x v="4"/>
    <n v="11"/>
    <x v="2"/>
    <x v="0"/>
    <x v="4"/>
    <n v="48218.910186286463"/>
    <n v="67"/>
    <n v="27161.113388160458"/>
    <n v="21057.796798126001"/>
  </r>
  <r>
    <s v="ORD103285"/>
    <d v="2026-11-01T00:00:00"/>
    <x v="4"/>
    <n v="11"/>
    <x v="2"/>
    <x v="1"/>
    <x v="4"/>
    <n v="75271.717189835879"/>
    <n v="105"/>
    <n v="39958.181607023776"/>
    <n v="35313.535582812103"/>
  </r>
  <r>
    <s v="ORD103286"/>
    <d v="2026-11-01T00:00:00"/>
    <x v="4"/>
    <n v="11"/>
    <x v="3"/>
    <x v="0"/>
    <x v="4"/>
    <n v="42927.727619309437"/>
    <n v="60"/>
    <n v="23620.059113003099"/>
    <n v="19307.668506306341"/>
  </r>
  <r>
    <s v="ORD103287"/>
    <d v="2026-11-01T00:00:00"/>
    <x v="4"/>
    <n v="11"/>
    <x v="3"/>
    <x v="1"/>
    <x v="4"/>
    <n v="52333.615309515313"/>
    <n v="73"/>
    <n v="29107.252717082189"/>
    <n v="23226.362592433121"/>
  </r>
  <r>
    <s v="ORD103288"/>
    <d v="2026-11-01T00:00:00"/>
    <x v="4"/>
    <n v="11"/>
    <x v="0"/>
    <x v="0"/>
    <x v="5"/>
    <n v="90988.647252369308"/>
    <n v="17"/>
    <n v="63000.778776095227"/>
    <n v="27987.868476274081"/>
  </r>
  <r>
    <s v="ORD103289"/>
    <d v="2026-11-01T00:00:00"/>
    <x v="4"/>
    <n v="11"/>
    <x v="0"/>
    <x v="1"/>
    <x v="5"/>
    <n v="123187.33565262319"/>
    <n v="23"/>
    <n v="87003.337899870661"/>
    <n v="36183.997752752519"/>
  </r>
  <r>
    <s v="ORD103290"/>
    <d v="2026-11-01T00:00:00"/>
    <x v="4"/>
    <n v="11"/>
    <x v="1"/>
    <x v="0"/>
    <x v="5"/>
    <n v="70386.395792888361"/>
    <n v="13"/>
    <n v="48501.620481505721"/>
    <n v="21884.77531138264"/>
  </r>
  <r>
    <s v="ORD103291"/>
    <d v="2026-11-01T00:00:00"/>
    <x v="4"/>
    <n v="11"/>
    <x v="1"/>
    <x v="1"/>
    <x v="5"/>
    <n v="102211.8631845506"/>
    <n v="19"/>
    <n v="70291.902830590378"/>
    <n v="31919.96035396021"/>
  </r>
  <r>
    <s v="ORD103292"/>
    <d v="2026-11-01T00:00:00"/>
    <x v="4"/>
    <n v="11"/>
    <x v="2"/>
    <x v="0"/>
    <x v="5"/>
    <n v="51869.393733538876"/>
    <n v="10"/>
    <n v="36171.470955357843"/>
    <n v="15697.92277818103"/>
  </r>
  <r>
    <s v="ORD103293"/>
    <d v="2026-11-01T00:00:00"/>
    <x v="4"/>
    <n v="11"/>
    <x v="2"/>
    <x v="1"/>
    <x v="5"/>
    <n v="70641.36932964671"/>
    <n v="13"/>
    <n v="48829.679382864641"/>
    <n v="21811.689946782069"/>
  </r>
  <r>
    <s v="ORD103294"/>
    <d v="2026-11-01T00:00:00"/>
    <x v="4"/>
    <n v="11"/>
    <x v="3"/>
    <x v="0"/>
    <x v="5"/>
    <n v="36225.720355638783"/>
    <n v="7"/>
    <n v="24820.093000196121"/>
    <n v="11405.627355442661"/>
  </r>
  <r>
    <s v="ORD103295"/>
    <d v="2026-11-01T00:00:00"/>
    <x v="4"/>
    <n v="11"/>
    <x v="3"/>
    <x v="1"/>
    <x v="5"/>
    <n v="53138.969140136243"/>
    <n v="10"/>
    <n v="37006.536545111761"/>
    <n v="16132.432595024469"/>
  </r>
  <r>
    <s v="ORD103296"/>
    <d v="2026-11-01T00:00:00"/>
    <x v="4"/>
    <n v="11"/>
    <x v="0"/>
    <x v="0"/>
    <x v="6"/>
    <n v="195488.8265625448"/>
    <n v="56"/>
    <n v="113983.69933449299"/>
    <n v="81505.127228051861"/>
  </r>
  <r>
    <s v="ORD103297"/>
    <d v="2026-11-01T00:00:00"/>
    <x v="4"/>
    <n v="11"/>
    <x v="0"/>
    <x v="1"/>
    <x v="6"/>
    <n v="279337.23271613999"/>
    <n v="80"/>
    <n v="162995.872747785"/>
    <n v="116341.359968355"/>
  </r>
  <r>
    <s v="ORD103298"/>
    <d v="2026-11-01T00:00:00"/>
    <x v="4"/>
    <n v="11"/>
    <x v="1"/>
    <x v="0"/>
    <x v="6"/>
    <n v="159614.2118393381"/>
    <n v="46"/>
    <n v="93277.380772032659"/>
    <n v="66336.831067305407"/>
  </r>
  <r>
    <s v="ORD103299"/>
    <d v="2026-11-01T00:00:00"/>
    <x v="4"/>
    <n v="11"/>
    <x v="1"/>
    <x v="1"/>
    <x v="6"/>
    <n v="227295.15509060081"/>
    <n v="65"/>
    <n v="137370.28070959501"/>
    <n v="89924.874381005822"/>
  </r>
  <r>
    <s v="ORD103300"/>
    <d v="2026-11-01T00:00:00"/>
    <x v="4"/>
    <n v="11"/>
    <x v="2"/>
    <x v="0"/>
    <x v="6"/>
    <n v="102453.0270086844"/>
    <n v="29"/>
    <n v="56942.655395028189"/>
    <n v="45510.371613656222"/>
  </r>
  <r>
    <s v="ORD103301"/>
    <d v="2026-11-01T00:00:00"/>
    <x v="4"/>
    <n v="11"/>
    <x v="2"/>
    <x v="1"/>
    <x v="6"/>
    <n v="148285.8628806526"/>
    <n v="42"/>
    <n v="88111.646508290869"/>
    <n v="60174.216372361727"/>
  </r>
  <r>
    <s v="ORD103302"/>
    <d v="2026-11-01T00:00:00"/>
    <x v="4"/>
    <n v="11"/>
    <x v="3"/>
    <x v="0"/>
    <x v="6"/>
    <n v="77454.433525132918"/>
    <n v="22"/>
    <n v="45726.306611827953"/>
    <n v="31728.126913304968"/>
  </r>
  <r>
    <s v="ORD103303"/>
    <d v="2026-11-01T00:00:00"/>
    <x v="4"/>
    <n v="11"/>
    <x v="3"/>
    <x v="1"/>
    <x v="6"/>
    <n v="103906.6193002631"/>
    <n v="30"/>
    <n v="59450.084506665407"/>
    <n v="44456.534793597682"/>
  </r>
  <r>
    <s v="ORD103304"/>
    <d v="2026-12-01T00:00:00"/>
    <x v="4"/>
    <n v="12"/>
    <x v="0"/>
    <x v="0"/>
    <x v="0"/>
    <n v="156623.5584138291"/>
    <n v="30"/>
    <n v="97647.983511347207"/>
    <n v="58975.574902481872"/>
  </r>
  <r>
    <s v="ORD103305"/>
    <d v="2026-12-01T00:00:00"/>
    <x v="4"/>
    <n v="12"/>
    <x v="0"/>
    <x v="1"/>
    <x v="0"/>
    <n v="217439.51496947289"/>
    <n v="42"/>
    <n v="135966.97095209491"/>
    <n v="81472.544017378037"/>
  </r>
  <r>
    <s v="ORD103306"/>
    <d v="2026-12-01T00:00:00"/>
    <x v="4"/>
    <n v="12"/>
    <x v="1"/>
    <x v="0"/>
    <x v="0"/>
    <n v="134170.1512912871"/>
    <n v="26"/>
    <n v="84068.383551842053"/>
    <n v="50101.767739445007"/>
  </r>
  <r>
    <s v="ORD103307"/>
    <d v="2026-12-01T00:00:00"/>
    <x v="4"/>
    <n v="12"/>
    <x v="1"/>
    <x v="1"/>
    <x v="0"/>
    <n v="189053.87796302329"/>
    <n v="36"/>
    <n v="111618.4680273249"/>
    <n v="77435.409935698466"/>
  </r>
  <r>
    <s v="ORD103308"/>
    <d v="2026-12-01T00:00:00"/>
    <x v="4"/>
    <n v="12"/>
    <x v="2"/>
    <x v="0"/>
    <x v="0"/>
    <n v="86887.73714358914"/>
    <n v="17"/>
    <n v="55195.339951056667"/>
    <n v="31692.397192532469"/>
  </r>
  <r>
    <s v="ORD103309"/>
    <d v="2026-12-01T00:00:00"/>
    <x v="4"/>
    <n v="12"/>
    <x v="2"/>
    <x v="1"/>
    <x v="0"/>
    <n v="129027.21292478"/>
    <n v="25"/>
    <n v="78934.572695967407"/>
    <n v="50092.640228812641"/>
  </r>
  <r>
    <s v="ORD103310"/>
    <d v="2026-12-01T00:00:00"/>
    <x v="4"/>
    <n v="12"/>
    <x v="3"/>
    <x v="0"/>
    <x v="0"/>
    <n v="70325.77756558999"/>
    <n v="14"/>
    <n v="44140.824953429088"/>
    <n v="26184.952612160901"/>
  </r>
  <r>
    <s v="ORD103311"/>
    <d v="2026-12-01T00:00:00"/>
    <x v="4"/>
    <n v="12"/>
    <x v="3"/>
    <x v="1"/>
    <x v="0"/>
    <n v="100474.9306808962"/>
    <n v="19"/>
    <n v="63125.423220212891"/>
    <n v="37349.507460683279"/>
  </r>
  <r>
    <s v="ORD103312"/>
    <d v="2026-12-01T00:00:00"/>
    <x v="4"/>
    <n v="12"/>
    <x v="0"/>
    <x v="0"/>
    <x v="1"/>
    <n v="181354.34201199241"/>
    <n v="30"/>
    <n v="117805.0309894119"/>
    <n v="63549.311022580478"/>
  </r>
  <r>
    <s v="ORD103313"/>
    <d v="2026-12-01T00:00:00"/>
    <x v="4"/>
    <n v="12"/>
    <x v="0"/>
    <x v="1"/>
    <x v="1"/>
    <n v="247667.42972965431"/>
    <n v="41"/>
    <n v="165403.76771737059"/>
    <n v="82263.662012283719"/>
  </r>
  <r>
    <s v="ORD103314"/>
    <d v="2026-12-01T00:00:00"/>
    <x v="4"/>
    <n v="12"/>
    <x v="1"/>
    <x v="0"/>
    <x v="1"/>
    <n v="159905.20817975729"/>
    <n v="26"/>
    <n v="104805.12596059281"/>
    <n v="55100.082219164447"/>
  </r>
  <r>
    <s v="ORD103315"/>
    <d v="2026-12-01T00:00:00"/>
    <x v="4"/>
    <n v="12"/>
    <x v="1"/>
    <x v="1"/>
    <x v="1"/>
    <n v="213014.59108333039"/>
    <n v="35"/>
    <n v="135347.7753885056"/>
    <n v="77666.815694824763"/>
  </r>
  <r>
    <s v="ORD103316"/>
    <d v="2026-12-01T00:00:00"/>
    <x v="4"/>
    <n v="12"/>
    <x v="2"/>
    <x v="0"/>
    <x v="1"/>
    <n v="102749.9489371964"/>
    <n v="17"/>
    <n v="69240.393126400886"/>
    <n v="33509.555810795529"/>
  </r>
  <r>
    <s v="ORD103317"/>
    <d v="2026-12-01T00:00:00"/>
    <x v="4"/>
    <n v="12"/>
    <x v="2"/>
    <x v="1"/>
    <x v="1"/>
    <n v="139666.03160635609"/>
    <n v="23"/>
    <n v="90893.601103099427"/>
    <n v="48772.430503256634"/>
  </r>
  <r>
    <s v="ORD103318"/>
    <d v="2026-12-01T00:00:00"/>
    <x v="4"/>
    <n v="12"/>
    <x v="3"/>
    <x v="0"/>
    <x v="1"/>
    <n v="76848.400048585885"/>
    <n v="13"/>
    <n v="49939.826541161543"/>
    <n v="26908.573507424349"/>
  </r>
  <r>
    <s v="ORD103319"/>
    <d v="2026-12-01T00:00:00"/>
    <x v="4"/>
    <n v="12"/>
    <x v="3"/>
    <x v="1"/>
    <x v="1"/>
    <n v="106072.5006451189"/>
    <n v="17"/>
    <n v="69499.930475755929"/>
    <n v="36572.570169362953"/>
  </r>
  <r>
    <s v="ORD103320"/>
    <d v="2026-12-01T00:00:00"/>
    <x v="4"/>
    <n v="12"/>
    <x v="0"/>
    <x v="0"/>
    <x v="2"/>
    <n v="125426.2295920747"/>
    <n v="29"/>
    <n v="80666.144550612604"/>
    <n v="44760.085041462051"/>
  </r>
  <r>
    <s v="ORD103321"/>
    <d v="2026-12-01T00:00:00"/>
    <x v="4"/>
    <n v="12"/>
    <x v="0"/>
    <x v="1"/>
    <x v="2"/>
    <n v="170962.57554990501"/>
    <n v="40"/>
    <n v="109303.2549152256"/>
    <n v="61659.320634679447"/>
  </r>
  <r>
    <s v="ORD103322"/>
    <d v="2026-12-01T00:00:00"/>
    <x v="4"/>
    <n v="12"/>
    <x v="1"/>
    <x v="0"/>
    <x v="2"/>
    <n v="93819.669658793238"/>
    <n v="22"/>
    <n v="60636.940735794"/>
    <n v="33182.728922999238"/>
  </r>
  <r>
    <s v="ORD103323"/>
    <d v="2026-12-01T00:00:00"/>
    <x v="4"/>
    <n v="12"/>
    <x v="1"/>
    <x v="1"/>
    <x v="2"/>
    <n v="137970.15235607201"/>
    <n v="32"/>
    <n v="86171.891469084541"/>
    <n v="51798.260886987409"/>
  </r>
  <r>
    <s v="ORD103324"/>
    <d v="2026-12-01T00:00:00"/>
    <x v="4"/>
    <n v="12"/>
    <x v="2"/>
    <x v="0"/>
    <x v="2"/>
    <n v="62394.855362676368"/>
    <n v="15"/>
    <n v="39399.088472936899"/>
    <n v="22995.766889739469"/>
  </r>
  <r>
    <s v="ORD103325"/>
    <d v="2026-12-01T00:00:00"/>
    <x v="4"/>
    <n v="12"/>
    <x v="2"/>
    <x v="1"/>
    <x v="2"/>
    <n v="95169.528750679005"/>
    <n v="22"/>
    <n v="60781.324665543427"/>
    <n v="34388.20408513557"/>
  </r>
  <r>
    <s v="ORD103326"/>
    <d v="2026-12-01T00:00:00"/>
    <x v="4"/>
    <n v="12"/>
    <x v="3"/>
    <x v="0"/>
    <x v="2"/>
    <n v="50229.925527131709"/>
    <n v="12"/>
    <n v="33245.362431856753"/>
    <n v="16984.56309527496"/>
  </r>
  <r>
    <s v="ORD103327"/>
    <d v="2026-12-01T00:00:00"/>
    <x v="4"/>
    <n v="12"/>
    <x v="3"/>
    <x v="1"/>
    <x v="2"/>
    <n v="68687.887659098255"/>
    <n v="16"/>
    <n v="43870.190008159079"/>
    <n v="24817.697650939179"/>
  </r>
  <r>
    <s v="ORD103328"/>
    <d v="2026-12-01T00:00:00"/>
    <x v="4"/>
    <n v="12"/>
    <x v="0"/>
    <x v="0"/>
    <x v="3"/>
    <n v="116111.8651367689"/>
    <n v="137"/>
    <n v="56822.39731054056"/>
    <n v="59289.467826228392"/>
  </r>
  <r>
    <s v="ORD103329"/>
    <d v="2026-12-01T00:00:00"/>
    <x v="4"/>
    <n v="12"/>
    <x v="0"/>
    <x v="1"/>
    <x v="3"/>
    <n v="160002.63628068761"/>
    <n v="188"/>
    <n v="76854.564958246527"/>
    <n v="83148.071322441116"/>
  </r>
  <r>
    <s v="ORD103330"/>
    <d v="2026-12-01T00:00:00"/>
    <x v="4"/>
    <n v="12"/>
    <x v="1"/>
    <x v="0"/>
    <x v="3"/>
    <n v="87445.141327804784"/>
    <n v="103"/>
    <n v="41608.251151445867"/>
    <n v="45836.890176358917"/>
  </r>
  <r>
    <s v="ORD103331"/>
    <d v="2026-12-01T00:00:00"/>
    <x v="4"/>
    <n v="12"/>
    <x v="1"/>
    <x v="1"/>
    <x v="3"/>
    <n v="115998.6226142004"/>
    <n v="136"/>
    <n v="55432.064704163691"/>
    <n v="60566.557910036703"/>
  </r>
  <r>
    <s v="ORD103332"/>
    <d v="2026-12-01T00:00:00"/>
    <x v="4"/>
    <n v="12"/>
    <x v="2"/>
    <x v="0"/>
    <x v="3"/>
    <n v="62774.815359669527"/>
    <n v="74"/>
    <n v="30040.56483158869"/>
    <n v="32734.25052808084"/>
  </r>
  <r>
    <s v="ORD103333"/>
    <d v="2026-12-01T00:00:00"/>
    <x v="4"/>
    <n v="12"/>
    <x v="2"/>
    <x v="1"/>
    <x v="3"/>
    <n v="92189.504056159523"/>
    <n v="108"/>
    <n v="44731.776230192067"/>
    <n v="47457.727825967457"/>
  </r>
  <r>
    <s v="ORD103334"/>
    <d v="2026-12-01T00:00:00"/>
    <x v="4"/>
    <n v="12"/>
    <x v="3"/>
    <x v="0"/>
    <x v="3"/>
    <n v="46691.506117170829"/>
    <n v="55"/>
    <n v="22966.461208573881"/>
    <n v="23725.044908596949"/>
  </r>
  <r>
    <s v="ORD103335"/>
    <d v="2026-12-01T00:00:00"/>
    <x v="4"/>
    <n v="12"/>
    <x v="3"/>
    <x v="1"/>
    <x v="3"/>
    <n v="67986.662591631262"/>
    <n v="80"/>
    <n v="32844.876287718267"/>
    <n v="35141.786303913002"/>
  </r>
  <r>
    <s v="ORD103336"/>
    <d v="2026-12-01T00:00:00"/>
    <x v="4"/>
    <n v="12"/>
    <x v="0"/>
    <x v="0"/>
    <x v="4"/>
    <n v="87072.341427521998"/>
    <n v="121"/>
    <n v="48913.06795128659"/>
    <n v="38159.273476235408"/>
  </r>
  <r>
    <s v="ORD103337"/>
    <d v="2026-12-01T00:00:00"/>
    <x v="4"/>
    <n v="12"/>
    <x v="0"/>
    <x v="1"/>
    <x v="4"/>
    <n v="134427.4998764928"/>
    <n v="187"/>
    <n v="72651.151635944072"/>
    <n v="61776.348240548701"/>
  </r>
  <r>
    <s v="ORD103338"/>
    <d v="2026-12-01T00:00:00"/>
    <x v="4"/>
    <n v="12"/>
    <x v="1"/>
    <x v="0"/>
    <x v="4"/>
    <n v="77018.606557501233"/>
    <n v="107"/>
    <n v="42044.084392777353"/>
    <n v="34974.522164723887"/>
  </r>
  <r>
    <s v="ORD103339"/>
    <d v="2026-12-01T00:00:00"/>
    <x v="4"/>
    <n v="12"/>
    <x v="1"/>
    <x v="1"/>
    <x v="4"/>
    <n v="107172.9505056497"/>
    <n v="149"/>
    <n v="58176.628945574783"/>
    <n v="48996.321560074961"/>
  </r>
  <r>
    <s v="ORD103340"/>
    <d v="2026-12-01T00:00:00"/>
    <x v="4"/>
    <n v="12"/>
    <x v="2"/>
    <x v="0"/>
    <x v="4"/>
    <n v="51069.009543422988"/>
    <n v="71"/>
    <n v="28246.93314962407"/>
    <n v="22822.07639379891"/>
  </r>
  <r>
    <s v="ORD103341"/>
    <d v="2026-12-01T00:00:00"/>
    <x v="4"/>
    <n v="12"/>
    <x v="2"/>
    <x v="1"/>
    <x v="4"/>
    <n v="75892.674374819573"/>
    <n v="105"/>
    <n v="41471.2720189295"/>
    <n v="34421.402355890074"/>
  </r>
  <r>
    <s v="ORD103342"/>
    <d v="2026-12-01T00:00:00"/>
    <x v="4"/>
    <n v="12"/>
    <x v="3"/>
    <x v="0"/>
    <x v="4"/>
    <n v="40374.388514469749"/>
    <n v="56"/>
    <n v="22497.60863022129"/>
    <n v="17876.779884248459"/>
  </r>
  <r>
    <s v="ORD103343"/>
    <d v="2026-12-01T00:00:00"/>
    <x v="4"/>
    <n v="12"/>
    <x v="3"/>
    <x v="1"/>
    <x v="4"/>
    <n v="54839.373431923639"/>
    <n v="76"/>
    <n v="29656.205437311281"/>
    <n v="25183.167994612351"/>
  </r>
  <r>
    <s v="ORD103344"/>
    <d v="2026-12-01T00:00:00"/>
    <x v="4"/>
    <n v="12"/>
    <x v="0"/>
    <x v="0"/>
    <x v="5"/>
    <n v="85747.69820635856"/>
    <n v="16"/>
    <n v="59211.739164257793"/>
    <n v="26535.959042100771"/>
  </r>
  <r>
    <s v="ORD103345"/>
    <d v="2026-12-01T00:00:00"/>
    <x v="4"/>
    <n v="12"/>
    <x v="0"/>
    <x v="1"/>
    <x v="5"/>
    <n v="123419.4188775834"/>
    <n v="23"/>
    <n v="86212.262350051838"/>
    <n v="37207.15652753161"/>
  </r>
  <r>
    <s v="ORD103346"/>
    <d v="2026-12-01T00:00:00"/>
    <x v="4"/>
    <n v="12"/>
    <x v="1"/>
    <x v="0"/>
    <x v="5"/>
    <n v="70127.863136413012"/>
    <n v="13"/>
    <n v="46589.371506461161"/>
    <n v="23538.491629951852"/>
  </r>
  <r>
    <s v="ORD103347"/>
    <d v="2026-12-01T00:00:00"/>
    <x v="4"/>
    <n v="12"/>
    <x v="1"/>
    <x v="1"/>
    <x v="5"/>
    <n v="104164.60208191061"/>
    <n v="19"/>
    <n v="74618.38153720407"/>
    <n v="29546.220544706521"/>
  </r>
  <r>
    <s v="ORD103348"/>
    <d v="2026-12-01T00:00:00"/>
    <x v="4"/>
    <n v="12"/>
    <x v="2"/>
    <x v="0"/>
    <x v="5"/>
    <n v="51405.417461655357"/>
    <n v="10"/>
    <n v="35288.958231218683"/>
    <n v="16116.459230436691"/>
  </r>
  <r>
    <s v="ORD103349"/>
    <d v="2026-12-01T00:00:00"/>
    <x v="4"/>
    <n v="12"/>
    <x v="2"/>
    <x v="1"/>
    <x v="5"/>
    <n v="66031.379895311809"/>
    <n v="12"/>
    <n v="43900.89717411359"/>
    <n v="22130.482721198219"/>
  </r>
  <r>
    <s v="ORD103350"/>
    <d v="2026-12-01T00:00:00"/>
    <x v="4"/>
    <n v="12"/>
    <x v="3"/>
    <x v="0"/>
    <x v="5"/>
    <n v="36716.616337129097"/>
    <n v="7"/>
    <n v="25406.559311518591"/>
    <n v="11310.057025610509"/>
  </r>
  <r>
    <s v="ORD103351"/>
    <d v="2026-12-01T00:00:00"/>
    <x v="4"/>
    <n v="12"/>
    <x v="3"/>
    <x v="1"/>
    <x v="5"/>
    <n v="51340.818894401273"/>
    <n v="10"/>
    <n v="35446.490363839403"/>
    <n v="15894.32853056187"/>
  </r>
  <r>
    <s v="ORD103352"/>
    <d v="2026-12-01T00:00:00"/>
    <x v="4"/>
    <n v="12"/>
    <x v="0"/>
    <x v="0"/>
    <x v="6"/>
    <n v="179069.02306678909"/>
    <n v="51"/>
    <n v="105494.98400110081"/>
    <n v="73574.039065688325"/>
  </r>
  <r>
    <s v="ORD103353"/>
    <d v="2026-12-01T00:00:00"/>
    <x v="4"/>
    <n v="12"/>
    <x v="0"/>
    <x v="1"/>
    <x v="6"/>
    <n v="270113.48842756078"/>
    <n v="77"/>
    <n v="162210.2941996819"/>
    <n v="107903.19422787891"/>
  </r>
  <r>
    <s v="ORD103354"/>
    <d v="2026-12-01T00:00:00"/>
    <x v="4"/>
    <n v="12"/>
    <x v="1"/>
    <x v="0"/>
    <x v="6"/>
    <n v="139664.08302922841"/>
    <n v="40"/>
    <n v="83510.443706996928"/>
    <n v="56153.63932223148"/>
  </r>
  <r>
    <s v="ORD103355"/>
    <d v="2026-12-01T00:00:00"/>
    <x v="4"/>
    <n v="12"/>
    <x v="1"/>
    <x v="1"/>
    <x v="6"/>
    <n v="197658.92590998751"/>
    <n v="56"/>
    <n v="117244.0494571546"/>
    <n v="80414.876452832934"/>
  </r>
  <r>
    <s v="ORD103356"/>
    <d v="2026-12-01T00:00:00"/>
    <x v="4"/>
    <n v="12"/>
    <x v="2"/>
    <x v="0"/>
    <x v="6"/>
    <n v="106954.0067454586"/>
    <n v="31"/>
    <n v="63614.173955116887"/>
    <n v="43339.832790341658"/>
  </r>
  <r>
    <s v="ORD103357"/>
    <d v="2026-12-01T00:00:00"/>
    <x v="4"/>
    <n v="12"/>
    <x v="2"/>
    <x v="1"/>
    <x v="6"/>
    <n v="144290.7253399732"/>
    <n v="41"/>
    <n v="84971.612453990296"/>
    <n v="59319.112885982933"/>
  </r>
  <r>
    <s v="ORD103358"/>
    <d v="2026-12-01T00:00:00"/>
    <x v="4"/>
    <n v="12"/>
    <x v="3"/>
    <x v="0"/>
    <x v="6"/>
    <n v="72473.847619274718"/>
    <n v="21"/>
    <n v="44126.116152963979"/>
    <n v="28347.731466310739"/>
  </r>
  <r>
    <s v="ORD103359"/>
    <d v="2026-12-01T00:00:00"/>
    <x v="4"/>
    <n v="12"/>
    <x v="3"/>
    <x v="1"/>
    <x v="6"/>
    <n v="102016.7097288326"/>
    <n v="29"/>
    <n v="58587.27195092391"/>
    <n v="43429.43777790869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d v="2022-01-01T00:00:00"/>
    <x v="0"/>
    <n v="1"/>
    <n v="2131659.9591402072"/>
    <n v="1290161.5333330049"/>
    <n v="841498.4258072013"/>
    <n v="551501.84338025679"/>
    <n v="289996.58242694451"/>
    <n v="153061.8839921031"/>
    <n v="136934.69843484141"/>
    <n v="47347.30700185326"/>
    <n v="89587.391432988152"/>
    <n v="24188.5956869068"/>
    <n v="65398.795746081349"/>
  </r>
  <r>
    <d v="2022-02-01T00:00:00"/>
    <x v="0"/>
    <n v="2"/>
    <n v="2070207.230006574"/>
    <n v="1255932.103295472"/>
    <n v="814275.1267111015"/>
    <n v="541054.96227715863"/>
    <n v="273220.16443394287"/>
    <n v="153149.36888079761"/>
    <n v="120070.7955531453"/>
    <n v="48184.213963220784"/>
    <n v="71886.581589924506"/>
    <n v="19409.377029279622"/>
    <n v="52477.204560644888"/>
  </r>
  <r>
    <d v="2022-03-01T00:00:00"/>
    <x v="0"/>
    <n v="3"/>
    <n v="2307904.0625161552"/>
    <n v="1401969.309918616"/>
    <n v="905934.75259753829"/>
    <n v="608944.4247157427"/>
    <n v="296990.32788179559"/>
    <n v="154626.69890790831"/>
    <n v="142363.6289738873"/>
    <n v="47466.925341503003"/>
    <n v="94896.703632384277"/>
    <n v="25622.10998074376"/>
    <n v="69274.59365164052"/>
  </r>
  <r>
    <d v="2022-04-01T00:00:00"/>
    <x v="0"/>
    <n v="4"/>
    <n v="2409981.0182736828"/>
    <n v="1462931.3470174009"/>
    <n v="947049.6712562819"/>
    <n v="630480.36079209938"/>
    <n v="316569.31046418252"/>
    <n v="155995.0131067349"/>
    <n v="160574.29735744759"/>
    <n v="49654.151728940393"/>
    <n v="110920.14562850721"/>
    <n v="29948.439319696961"/>
    <n v="80971.706308810288"/>
  </r>
  <r>
    <d v="2022-05-01T00:00:00"/>
    <x v="0"/>
    <n v="5"/>
    <n v="2596867.5145468488"/>
    <n v="1567592.1014134141"/>
    <n v="1029275.413133435"/>
    <n v="687385.021978262"/>
    <n v="341890.39115517301"/>
    <n v="158811.2714014246"/>
    <n v="183079.11975374841"/>
    <n v="46154.139098820153"/>
    <n v="136924.98065492819"/>
    <n v="36969.744776830623"/>
    <n v="99955.235878097592"/>
  </r>
  <r>
    <d v="2022-06-01T00:00:00"/>
    <x v="0"/>
    <n v="6"/>
    <n v="2535494.5864155418"/>
    <n v="1538794.922323985"/>
    <n v="996699.66409155726"/>
    <n v="683063.43356514501"/>
    <n v="313636.23052641231"/>
    <n v="156341.6928274167"/>
    <n v="157294.53769899561"/>
    <n v="47829.097641538712"/>
    <n v="109465.4400574568"/>
    <n v="29555.668815513349"/>
    <n v="79909.771241943497"/>
  </r>
  <r>
    <d v="2022-07-01T00:00:00"/>
    <x v="0"/>
    <n v="7"/>
    <n v="2528901.4277355731"/>
    <n v="1529725.6282691429"/>
    <n v="999175.79946642974"/>
    <n v="689978.64647941734"/>
    <n v="309197.15298701241"/>
    <n v="155360.73617216191"/>
    <n v="153836.4168148505"/>
    <n v="47617.648287799158"/>
    <n v="106218.7685270513"/>
    <n v="28679.06750230386"/>
    <n v="77539.701024747454"/>
  </r>
  <r>
    <d v="2022-08-01T00:00:00"/>
    <x v="0"/>
    <n v="8"/>
    <n v="2433091.8911615452"/>
    <n v="1474398.5903288969"/>
    <n v="958693.30083264806"/>
    <n v="639969.5487427878"/>
    <n v="318723.75208986033"/>
    <n v="155273.39356448769"/>
    <n v="163450.35852537249"/>
    <n v="48145.351100229142"/>
    <n v="115305.0074251434"/>
    <n v="31132.35200478871"/>
    <n v="84172.655420354669"/>
  </r>
  <r>
    <d v="2022-09-01T00:00:00"/>
    <x v="0"/>
    <n v="9"/>
    <n v="2569747.3349159602"/>
    <n v="1553944.2848774651"/>
    <n v="1015803.050038495"/>
    <n v="694551.42332074966"/>
    <n v="321251.62671774568"/>
    <n v="153653.9371641638"/>
    <n v="167597.68955358191"/>
    <n v="47139.487154087823"/>
    <n v="120458.2023994941"/>
    <n v="32523.714647863409"/>
    <n v="87934.487751630673"/>
  </r>
  <r>
    <d v="2022-10-01T00:00:00"/>
    <x v="0"/>
    <n v="10"/>
    <n v="2855531.144611083"/>
    <n v="1725337.518288394"/>
    <n v="1130193.6263226881"/>
    <n v="743834.81983087515"/>
    <n v="386358.80649181292"/>
    <n v="153956.78253790969"/>
    <n v="232402.0239539032"/>
    <n v="48224.888893878502"/>
    <n v="184177.13506002471"/>
    <n v="49727.826466206679"/>
    <n v="134449.30859381799"/>
  </r>
  <r>
    <d v="2022-11-01T00:00:00"/>
    <x v="0"/>
    <n v="11"/>
    <n v="3307858.3184503498"/>
    <n v="2009798.724465657"/>
    <n v="1298059.593984694"/>
    <n v="947500.14761205914"/>
    <n v="350559.44637263438"/>
    <n v="156392.6664944159"/>
    <n v="194166.77987821851"/>
    <n v="48819.215018246548"/>
    <n v="145347.5648599719"/>
    <n v="39243.842512192423"/>
    <n v="106103.72234777951"/>
  </r>
  <r>
    <d v="2022-12-01T00:00:00"/>
    <x v="0"/>
    <n v="12"/>
    <n v="3330659.267993351"/>
    <n v="2023972.363251575"/>
    <n v="1306686.9047417759"/>
    <n v="960308.47288219165"/>
    <n v="346378.43185958482"/>
    <n v="153851.0081963694"/>
    <n v="192527.4236632153"/>
    <n v="48272.490784610629"/>
    <n v="144254.93287860471"/>
    <n v="38948.831877223267"/>
    <n v="105306.10100138139"/>
  </r>
  <r>
    <d v="2023-01-01T00:00:00"/>
    <x v="1"/>
    <n v="1"/>
    <n v="2514614.5749123739"/>
    <n v="1530374.8316606849"/>
    <n v="984239.74325168855"/>
    <n v="685249.86986710737"/>
    <n v="298989.87338458118"/>
    <n v="165885.8985452374"/>
    <n v="133103.97483934369"/>
    <n v="50592.540232318512"/>
    <n v="82511.434607025236"/>
    <n v="22278.087343896819"/>
    <n v="60233.347263128417"/>
  </r>
  <r>
    <d v="2023-02-01T00:00:00"/>
    <x v="1"/>
    <n v="2"/>
    <n v="2339753.6534984359"/>
    <n v="1420935.6571732911"/>
    <n v="918817.99632514454"/>
    <n v="655532.44148147642"/>
    <n v="263285.55484366813"/>
    <n v="163380.69036292209"/>
    <n v="99904.864480745979"/>
    <n v="49221.542710379712"/>
    <n v="50683.321770366267"/>
    <n v="13684.49687799889"/>
    <n v="36998.824892367367"/>
  </r>
  <r>
    <d v="2023-03-01T00:00:00"/>
    <x v="1"/>
    <n v="3"/>
    <n v="2710488.6969533218"/>
    <n v="1643230.3016111681"/>
    <n v="1067258.395342154"/>
    <n v="737048.8196763728"/>
    <n v="330209.57566578122"/>
    <n v="163993.80385507151"/>
    <n v="166215.7718107097"/>
    <n v="48303.169250799037"/>
    <n v="117912.60255991069"/>
    <n v="31836.402691175881"/>
    <n v="86076.19986873478"/>
  </r>
  <r>
    <d v="2023-04-01T00:00:00"/>
    <x v="1"/>
    <n v="4"/>
    <n v="2877734.8909791792"/>
    <n v="1747627.088903948"/>
    <n v="1130107.802075231"/>
    <n v="788934.49707364244"/>
    <n v="341173.30500158807"/>
    <n v="163050.10007061879"/>
    <n v="178123.20493096931"/>
    <n v="50176.247030810227"/>
    <n v="127946.957900159"/>
    <n v="34545.678633042953"/>
    <n v="93401.279267116101"/>
  </r>
  <r>
    <d v="2023-05-01T00:00:00"/>
    <x v="1"/>
    <n v="5"/>
    <n v="3081955.1654242161"/>
    <n v="1869335.2372922241"/>
    <n v="1212619.928131992"/>
    <n v="852868.22500554682"/>
    <n v="359751.70312644518"/>
    <n v="165099.61606513421"/>
    <n v="194652.087061311"/>
    <n v="49172.75939280499"/>
    <n v="145479.32766850601"/>
    <n v="39279.418470496617"/>
    <n v="106199.90919800939"/>
  </r>
  <r>
    <d v="2023-06-01T00:00:00"/>
    <x v="1"/>
    <n v="6"/>
    <n v="3005441.4505228489"/>
    <n v="1813096.733313167"/>
    <n v="1192344.7172096821"/>
    <n v="838609.25303878612"/>
    <n v="353735.46417089569"/>
    <n v="164059.03553249169"/>
    <n v="189676.42863840409"/>
    <n v="48624.585743520569"/>
    <n v="141051.84289488351"/>
    <n v="38083.99758161854"/>
    <n v="102967.8453132649"/>
  </r>
  <r>
    <d v="2023-07-01T00:00:00"/>
    <x v="1"/>
    <n v="7"/>
    <n v="2951999.2839889978"/>
    <n v="1791139.1989792041"/>
    <n v="1160860.085009794"/>
    <n v="830611.73523939401"/>
    <n v="330248.34977040021"/>
    <n v="165250.5783030774"/>
    <n v="164997.7714673228"/>
    <n v="49363.050163948254"/>
    <n v="115634.72130337451"/>
    <n v="31221.37475191112"/>
    <n v="84413.346551463401"/>
  </r>
  <r>
    <d v="2023-08-01T00:00:00"/>
    <x v="1"/>
    <n v="8"/>
    <n v="2934404.3596180561"/>
    <n v="1790173.206244438"/>
    <n v="1144231.1533736179"/>
    <n v="820441.13523004798"/>
    <n v="323790.01814357023"/>
    <n v="162848.12558292091"/>
    <n v="160941.89256064931"/>
    <n v="49082.327470870863"/>
    <n v="111859.56508977849"/>
    <n v="30202.082574240179"/>
    <n v="81657.482515538271"/>
  </r>
  <r>
    <d v="2023-09-01T00:00:00"/>
    <x v="1"/>
    <n v="9"/>
    <n v="3179341.3323501302"/>
    <n v="1930103.7601962821"/>
    <n v="1249237.5721538491"/>
    <n v="883273.51696083916"/>
    <n v="365964.05519300938"/>
    <n v="163370.72920622799"/>
    <n v="202593.32598678139"/>
    <n v="48997.138584691267"/>
    <n v="153596.18740209009"/>
    <n v="41470.970598564338"/>
    <n v="112125.21680352579"/>
  </r>
  <r>
    <d v="2023-10-01T00:00:00"/>
    <x v="1"/>
    <n v="10"/>
    <n v="3341981.8496119939"/>
    <n v="2033218.8799956141"/>
    <n v="1308762.9696163801"/>
    <n v="958878.71359509917"/>
    <n v="349884.25602128112"/>
    <n v="165139.34259943481"/>
    <n v="184744.91342184629"/>
    <n v="49049.143627721613"/>
    <n v="135695.7697941247"/>
    <n v="36637.85784441368"/>
    <n v="99057.911949711051"/>
  </r>
  <r>
    <d v="2023-11-01T00:00:00"/>
    <x v="1"/>
    <n v="11"/>
    <n v="3927107.9284450468"/>
    <n v="2379631.4801812582"/>
    <n v="1547476.4482637891"/>
    <n v="1168387.5071698551"/>
    <n v="379088.94109393418"/>
    <n v="167432.34180704321"/>
    <n v="211656.59928689111"/>
    <n v="50888.80014584239"/>
    <n v="160767.79914104869"/>
    <n v="43407.305768083148"/>
    <n v="117360.4933729655"/>
  </r>
  <r>
    <d v="2023-12-01T00:00:00"/>
    <x v="1"/>
    <n v="12"/>
    <n v="4264608.9214708358"/>
    <n v="2585483.950978064"/>
    <n v="1679124.9704927721"/>
    <n v="1292267.1276305199"/>
    <n v="386857.84286225238"/>
    <n v="161338.1552623231"/>
    <n v="225519.68759992931"/>
    <n v="49508.923581611678"/>
    <n v="176010.7640183176"/>
    <n v="47522.906284945748"/>
    <n v="128487.8577333718"/>
  </r>
  <r>
    <d v="2024-01-01T00:00:00"/>
    <x v="2"/>
    <n v="1"/>
    <n v="2958175.9497846421"/>
    <n v="1796039.4627790791"/>
    <n v="1162136.487005563"/>
    <n v="856113.04895473283"/>
    <n v="306023.43805082969"/>
    <n v="170835.1167751367"/>
    <n v="135188.32127569299"/>
    <n v="50590.521216204666"/>
    <n v="84597.800059488334"/>
    <n v="22841.40601606185"/>
    <n v="61756.39404342648"/>
  </r>
  <r>
    <d v="2024-02-01T00:00:00"/>
    <x v="2"/>
    <n v="2"/>
    <n v="2853997.6844250732"/>
    <n v="1732874.1452105399"/>
    <n v="1121123.5392145331"/>
    <n v="792194.17275948217"/>
    <n v="328929.36645505071"/>
    <n v="177700.7230098077"/>
    <n v="151228.64344524301"/>
    <n v="50609.949584238573"/>
    <n v="100618.6938610044"/>
    <n v="27167.047342471189"/>
    <n v="73451.646518533205"/>
  </r>
  <r>
    <d v="2024-03-01T00:00:00"/>
    <x v="2"/>
    <n v="3"/>
    <n v="3391902.6126483879"/>
    <n v="2056727.650587098"/>
    <n v="1335174.9620612899"/>
    <n v="964729.75798440538"/>
    <n v="370445.20407688478"/>
    <n v="173451.06185993459"/>
    <n v="196994.14221695019"/>
    <n v="51474.516250380853"/>
    <n v="145519.62596656941"/>
    <n v="39290.299010973729"/>
    <n v="106229.32695559561"/>
  </r>
  <r>
    <d v="2024-04-01T00:00:00"/>
    <x v="2"/>
    <n v="4"/>
    <n v="3406596.8396097971"/>
    <n v="2062521.586075379"/>
    <n v="1344075.253534419"/>
    <n v="986235.51468654966"/>
    <n v="357839.73884786892"/>
    <n v="169929.46319550849"/>
    <n v="187910.27565236029"/>
    <n v="50052.316042751299"/>
    <n v="137857.95960960901"/>
    <n v="37221.649094594453"/>
    <n v="100636.3105150146"/>
  </r>
  <r>
    <d v="2024-05-01T00:00:00"/>
    <x v="2"/>
    <n v="5"/>
    <n v="3375428.0079640392"/>
    <n v="2037905.9541626959"/>
    <n v="1337522.0538013431"/>
    <n v="971359.69573016919"/>
    <n v="366162.35807117412"/>
    <n v="169397.95065889761"/>
    <n v="196764.40741227649"/>
    <n v="50020.870702471533"/>
    <n v="146743.53670980499"/>
    <n v="39620.75491164736"/>
    <n v="107122.7817981577"/>
  </r>
  <r>
    <d v="2024-06-01T00:00:00"/>
    <x v="2"/>
    <n v="6"/>
    <n v="3815466.3147034398"/>
    <n v="2317890.9949867981"/>
    <n v="1497575.3197166419"/>
    <n v="1095101.4365338441"/>
    <n v="402473.88318279851"/>
    <n v="165143.61517736709"/>
    <n v="237330.2680054314"/>
    <n v="51477.837570241878"/>
    <n v="185852.43043518951"/>
    <n v="50180.156217501179"/>
    <n v="135672.27421768839"/>
  </r>
  <r>
    <d v="2024-07-01T00:00:00"/>
    <x v="2"/>
    <n v="7"/>
    <n v="3415287.6819018191"/>
    <n v="2065645.9105931011"/>
    <n v="1349641.771308718"/>
    <n v="1010192.341012806"/>
    <n v="339449.43029591162"/>
    <n v="177834.6831578814"/>
    <n v="161614.74713803019"/>
    <n v="51073.750101162099"/>
    <n v="110540.9970368682"/>
    <n v="29846.0691999544"/>
    <n v="80694.927836913746"/>
  </r>
  <r>
    <d v="2024-08-01T00:00:00"/>
    <x v="2"/>
    <n v="8"/>
    <n v="3558676.150255139"/>
    <n v="2164856.7864462738"/>
    <n v="1393819.363808865"/>
    <n v="1051224.670613172"/>
    <n v="342594.69319569302"/>
    <n v="168853.8783453354"/>
    <n v="173740.81485035759"/>
    <n v="50268.555393966177"/>
    <n v="123472.2594563914"/>
    <n v="33337.510053225677"/>
    <n v="90134.749403165741"/>
  </r>
  <r>
    <d v="2024-09-01T00:00:00"/>
    <x v="2"/>
    <n v="9"/>
    <n v="3673854.5092151389"/>
    <n v="2231531.9500558572"/>
    <n v="1442322.5591592819"/>
    <n v="1077698.896003484"/>
    <n v="364623.66315579758"/>
    <n v="171331.4012439911"/>
    <n v="193292.26191180659"/>
    <n v="49886.826537460147"/>
    <n v="143405.43537434639"/>
    <n v="38719.467551073532"/>
    <n v="104685.96782327291"/>
  </r>
  <r>
    <d v="2024-10-01T00:00:00"/>
    <x v="2"/>
    <n v="10"/>
    <n v="3902800.8898576582"/>
    <n v="2364397.1887271702"/>
    <n v="1538403.701130488"/>
    <n v="1160788.2632825091"/>
    <n v="377615.43784797873"/>
    <n v="174744.84111605701"/>
    <n v="202870.59673192169"/>
    <n v="51748.420685834673"/>
    <n v="151122.17604608709"/>
    <n v="40802.987532443512"/>
    <n v="110319.1885136435"/>
  </r>
  <r>
    <d v="2024-11-01T00:00:00"/>
    <x v="2"/>
    <n v="11"/>
    <n v="4357249.5739383157"/>
    <n v="2638338.3474133369"/>
    <n v="1718911.2265249791"/>
    <n v="1398646.4844432171"/>
    <n v="320264.74208176159"/>
    <n v="169528.81634620769"/>
    <n v="150735.9257355539"/>
    <n v="51661.668940852192"/>
    <n v="99074.256794701709"/>
    <n v="26750.049334569459"/>
    <n v="72324.207460132253"/>
  </r>
  <r>
    <d v="2024-12-01T00:00:00"/>
    <x v="2"/>
    <n v="12"/>
    <n v="5009815.8613135451"/>
    <n v="3040266.782747"/>
    <n v="1969549.0785665449"/>
    <n v="1601228.918755126"/>
    <n v="368320.15981141833"/>
    <n v="176469.93504584159"/>
    <n v="191850.22476557671"/>
    <n v="52860.887039930909"/>
    <n v="138989.3377256458"/>
    <n v="37527.12118592437"/>
    <n v="101462.2165397214"/>
  </r>
  <r>
    <d v="2025-01-01T00:00:00"/>
    <x v="3"/>
    <n v="1"/>
    <n v="3827935.9638799359"/>
    <n v="2310433.5674122302"/>
    <n v="1517502.396467706"/>
    <n v="1116268.9996604479"/>
    <n v="401233.39680725802"/>
    <n v="189829.7605506478"/>
    <n v="211403.63625661019"/>
    <n v="51504.68954702581"/>
    <n v="159898.94670958439"/>
    <n v="43172.715611587788"/>
    <n v="116726.2310979966"/>
  </r>
  <r>
    <d v="2025-02-01T00:00:00"/>
    <x v="3"/>
    <n v="2"/>
    <n v="3214414.6344625512"/>
    <n v="1956745.206924757"/>
    <n v="1257669.4275377949"/>
    <n v="927031.54691731394"/>
    <n v="330637.88062048069"/>
    <n v="189717.84893354459"/>
    <n v="140920.03168693621"/>
    <n v="52079.327151075799"/>
    <n v="88840.704535860365"/>
    <n v="23986.9902246823"/>
    <n v="64853.714311178061"/>
  </r>
  <r>
    <d v="2025-03-01T00:00:00"/>
    <x v="3"/>
    <n v="3"/>
    <n v="3747420.4052916178"/>
    <n v="2281049.7306947839"/>
    <n v="1466370.674596834"/>
    <n v="1139638.098459366"/>
    <n v="326732.57613746729"/>
    <n v="180389.91655150399"/>
    <n v="146342.65958596329"/>
    <n v="52794.000782383817"/>
    <n v="93548.658803579485"/>
    <n v="25258.137876966459"/>
    <n v="68290.520926613026"/>
  </r>
  <r>
    <d v="2025-04-01T00:00:00"/>
    <x v="3"/>
    <n v="4"/>
    <n v="3901202.5860191379"/>
    <n v="2373050.3972744462"/>
    <n v="1528152.1887446919"/>
    <n v="1165448.68992676"/>
    <n v="362703.49881793262"/>
    <n v="180418.3209595246"/>
    <n v="182285.1778584079"/>
    <n v="52869.500454409201"/>
    <n v="129415.67740399871"/>
    <n v="34942.23289907966"/>
    <n v="94473.444504919084"/>
  </r>
  <r>
    <d v="2025-05-01T00:00:00"/>
    <x v="3"/>
    <n v="5"/>
    <n v="3873153.2024112321"/>
    <n v="2348575.4162510331"/>
    <n v="1524577.786160199"/>
    <n v="1165839.2359389421"/>
    <n v="358738.55022125691"/>
    <n v="178403.4556140191"/>
    <n v="180335.09460723781"/>
    <n v="52200.440241988828"/>
    <n v="128134.65436524901"/>
    <n v="34596.356678617223"/>
    <n v="93538.297686631762"/>
  </r>
  <r>
    <d v="2025-06-01T00:00:00"/>
    <x v="3"/>
    <n v="6"/>
    <n v="4314027.2389881881"/>
    <n v="2616155.203186891"/>
    <n v="1697872.035801298"/>
    <n v="1301428.9322706759"/>
    <n v="396443.10353062162"/>
    <n v="185517.19557753441"/>
    <n v="210925.90795308721"/>
    <n v="52391.037682750379"/>
    <n v="158534.87027033689"/>
    <n v="42804.414972990948"/>
    <n v="115730.45529734591"/>
  </r>
  <r>
    <d v="2025-07-01T00:00:00"/>
    <x v="3"/>
    <n v="7"/>
    <n v="4508307.0699972762"/>
    <n v="2735095.2435450922"/>
    <n v="1773211.826452184"/>
    <n v="1369337.763787647"/>
    <n v="403874.06266453722"/>
    <n v="182393.9853678089"/>
    <n v="221480.07729672841"/>
    <n v="52949.450792982658"/>
    <n v="168530.62650374571"/>
    <n v="45503.269156011353"/>
    <n v="123027.3573477344"/>
  </r>
  <r>
    <d v="2025-08-01T00:00:00"/>
    <x v="3"/>
    <n v="8"/>
    <n v="4070656.4074953999"/>
    <n v="2469058.7502575759"/>
    <n v="1601597.6572378241"/>
    <n v="1255140.4563055029"/>
    <n v="346457.20093232091"/>
    <n v="185203.449546952"/>
    <n v="161253.7513853689"/>
    <n v="50714.535615286441"/>
    <n v="110539.2157700824"/>
    <n v="29845.58825792226"/>
    <n v="80693.627512160165"/>
  </r>
  <r>
    <d v="2025-09-01T00:00:00"/>
    <x v="3"/>
    <n v="9"/>
    <n v="4485147.0190509073"/>
    <n v="2725839.7763171182"/>
    <n v="1759307.2427337901"/>
    <n v="1343261.97032571"/>
    <n v="416045.27240807941"/>
    <n v="183603.22878376409"/>
    <n v="232442.04362431529"/>
    <n v="52169.613237882018"/>
    <n v="180272.43038643329"/>
    <n v="48673.556204336986"/>
    <n v="131598.8741820963"/>
  </r>
  <r>
    <d v="2025-10-01T00:00:00"/>
    <x v="3"/>
    <n v="10"/>
    <n v="4253039.2362032803"/>
    <n v="2583361.8250302649"/>
    <n v="1669677.4111730149"/>
    <n v="1328157.317009731"/>
    <n v="341520.09416328458"/>
    <n v="182462.35310881451"/>
    <n v="159057.7410544701"/>
    <n v="53562.80272238778"/>
    <n v="105494.9383320824"/>
    <n v="28483.633349662239"/>
    <n v="77011.304982420115"/>
  </r>
  <r>
    <d v="2025-11-01T00:00:00"/>
    <x v="3"/>
    <n v="11"/>
    <n v="5500749.0600316087"/>
    <n v="3326690.6241427632"/>
    <n v="2174058.4358888459"/>
    <n v="1841800.201145052"/>
    <n v="332258.23474379402"/>
    <n v="178747.1507768218"/>
    <n v="153511.0839669721"/>
    <n v="51388.613834337812"/>
    <n v="102122.47013263431"/>
    <n v="27573.066935811268"/>
    <n v="74549.403196823056"/>
  </r>
  <r>
    <d v="2025-12-01T00:00:00"/>
    <x v="3"/>
    <n v="12"/>
    <n v="5928876.8975026226"/>
    <n v="3598579.3642850551"/>
    <n v="2330297.533217568"/>
    <n v="1963045.63947989"/>
    <n v="367251.89373767842"/>
    <n v="176723.47412121799"/>
    <n v="190528.41961646051"/>
    <n v="51874.818429161562"/>
    <n v="138653.60118729889"/>
    <n v="37436.472320570712"/>
    <n v="101217.12886672821"/>
  </r>
  <r>
    <d v="2026-01-01T00:00:00"/>
    <x v="4"/>
    <n v="1"/>
    <n v="4212572.7406411339"/>
    <n v="2550404.467103987"/>
    <n v="1662168.2735371459"/>
    <n v="1312719.4702725911"/>
    <n v="349448.80326455511"/>
    <n v="195849.82164015231"/>
    <n v="153598.9816244028"/>
    <n v="53894.129814719992"/>
    <n v="99704.851809682819"/>
    <n v="26920.309988614361"/>
    <n v="72784.541821068458"/>
  </r>
  <r>
    <d v="2026-02-01T00:00:00"/>
    <x v="4"/>
    <n v="2"/>
    <n v="4035314.06397497"/>
    <n v="2446766.849404322"/>
    <n v="1588547.214570648"/>
    <n v="1252280.511490518"/>
    <n v="336266.70308012929"/>
    <n v="188157.9029149808"/>
    <n v="148108.80016514851"/>
    <n v="53499.652602385009"/>
    <n v="94609.147562763537"/>
    <n v="25544.46984194616"/>
    <n v="69064.677720817388"/>
  </r>
  <r>
    <d v="2026-03-01T00:00:00"/>
    <x v="4"/>
    <n v="3"/>
    <n v="4531062.9001190942"/>
    <n v="2750144.7927663191"/>
    <n v="1780918.107352776"/>
    <n v="1416879.2086711291"/>
    <n v="364038.89868164668"/>
    <n v="187732.38141648809"/>
    <n v="176306.5172651585"/>
    <n v="52808.672284427543"/>
    <n v="123497.844980731"/>
    <n v="33344.418144797368"/>
    <n v="90153.426835933627"/>
  </r>
  <r>
    <d v="2026-04-01T00:00:00"/>
    <x v="4"/>
    <n v="4"/>
    <n v="4816125.2401128169"/>
    <n v="2917841.512844556"/>
    <n v="1898283.7272682609"/>
    <n v="1517388.066203706"/>
    <n v="380895.66106455558"/>
    <n v="193137.72324466839"/>
    <n v="187757.93781988719"/>
    <n v="52756.066300241822"/>
    <n v="135001.87151964541"/>
    <n v="36450.505310304266"/>
    <n v="98551.366209341155"/>
  </r>
  <r>
    <d v="2026-05-01T00:00:00"/>
    <x v="4"/>
    <n v="5"/>
    <n v="4702177.3349259738"/>
    <n v="2857080.8505067369"/>
    <n v="1845096.4844192369"/>
    <n v="1492443.5791378571"/>
    <n v="352652.90528138028"/>
    <n v="195222.5050671442"/>
    <n v="157430.40021423611"/>
    <n v="53947.578226656668"/>
    <n v="103482.8219875794"/>
    <n v="27940.361936646452"/>
    <n v="75542.460050932976"/>
  </r>
  <r>
    <d v="2026-06-01T00:00:00"/>
    <x v="4"/>
    <n v="6"/>
    <n v="4979507.1950580208"/>
    <n v="3006171.1362215918"/>
    <n v="1973336.058836428"/>
    <n v="1605762.6525431769"/>
    <n v="367573.40629325161"/>
    <n v="192264.35647478691"/>
    <n v="175309.0498184647"/>
    <n v="53723.644101591817"/>
    <n v="121585.40571687291"/>
    <n v="32828.059543555682"/>
    <n v="88757.346173317186"/>
  </r>
  <r>
    <d v="2026-07-01T00:00:00"/>
    <x v="4"/>
    <n v="7"/>
    <n v="5237215.710577759"/>
    <n v="3172311.2972327881"/>
    <n v="2064904.4133449709"/>
    <n v="1681389.3844645519"/>
    <n v="383515.02888041869"/>
    <n v="194243.8292139257"/>
    <n v="189271.19966649299"/>
    <n v="54870.618099198371"/>
    <n v="134400.58156729469"/>
    <n v="36288.157023169559"/>
    <n v="98112.424544125097"/>
  </r>
  <r>
    <d v="2026-08-01T00:00:00"/>
    <x v="4"/>
    <n v="8"/>
    <n v="4963206.0573440008"/>
    <n v="3016350.2872082568"/>
    <n v="1946855.770135744"/>
    <n v="1574604.390029615"/>
    <n v="372251.38010612852"/>
    <n v="192982.86694466649"/>
    <n v="179268.513161462"/>
    <n v="54634.670989911443"/>
    <n v="124633.8421715505"/>
    <n v="33651.137386318653"/>
    <n v="90982.704785231879"/>
  </r>
  <r>
    <d v="2026-09-01T00:00:00"/>
    <x v="4"/>
    <n v="9"/>
    <n v="5234289.4773274157"/>
    <n v="3185742.9486177019"/>
    <n v="2048546.5287097141"/>
    <n v="1702756.360376121"/>
    <n v="345790.16833359282"/>
    <n v="191406.9459032412"/>
    <n v="154383.22243035171"/>
    <n v="54610.266970641242"/>
    <n v="99772.955459710414"/>
    <n v="26938.697974121809"/>
    <n v="72834.257485588605"/>
  </r>
  <r>
    <d v="2026-10-01T00:00:00"/>
    <x v="4"/>
    <n v="10"/>
    <n v="5671493.3794715405"/>
    <n v="3439913.9326749342"/>
    <n v="2231579.4467966058"/>
    <n v="1845208.9799058579"/>
    <n v="386370.46689074789"/>
    <n v="191044.6425344889"/>
    <n v="195325.82435625899"/>
    <n v="54026.834121988213"/>
    <n v="141298.99023427081"/>
    <n v="38150.727363253107"/>
    <n v="103148.26287101769"/>
  </r>
  <r>
    <d v="2026-11-01T00:00:00"/>
    <x v="4"/>
    <n v="11"/>
    <n v="6470776.879941145"/>
    <n v="3919590.1148898811"/>
    <n v="2551186.7650512639"/>
    <n v="2240835.8478156249"/>
    <n v="310350.91723563941"/>
    <n v="191226.77343293701"/>
    <n v="119124.1438027024"/>
    <n v="53530.403525664879"/>
    <n v="65593.740277037548"/>
    <n v="17710.309874800139"/>
    <n v="47883.430402237413"/>
  </r>
  <r>
    <d v="2026-12-01T00:00:00"/>
    <x v="4"/>
    <n v="12"/>
    <n v="6294204.2601246517"/>
    <n v="3819099.129775519"/>
    <n v="2475105.1303491322"/>
    <n v="2174978.4059599428"/>
    <n v="300126.72438918939"/>
    <n v="190032.99466109881"/>
    <n v="110093.72972809061"/>
    <n v="54529.75663895328"/>
    <n v="55563.973089137296"/>
    <n v="15002.27273406707"/>
    <n v="40561.70035507022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d v="2022-01-01T00:00:00"/>
    <x v="0"/>
    <n v="1"/>
    <x v="0"/>
    <s v="Personnel"/>
    <n v="218018.2817561297"/>
  </r>
  <r>
    <d v="2022-01-01T00:00:00"/>
    <x v="0"/>
    <n v="1"/>
    <x v="1"/>
    <s v="Facilities"/>
    <n v="62175.127260364679"/>
  </r>
  <r>
    <d v="2022-01-01T00:00:00"/>
    <x v="0"/>
    <n v="1"/>
    <x v="2"/>
    <s v="Sales &amp; Marketing"/>
    <n v="84448.416094225395"/>
  </r>
  <r>
    <d v="2022-01-01T00:00:00"/>
    <x v="0"/>
    <n v="1"/>
    <x v="3"/>
    <s v="Technology"/>
    <n v="28356.850285672132"/>
  </r>
  <r>
    <d v="2022-01-01T00:00:00"/>
    <x v="0"/>
    <n v="1"/>
    <x v="4"/>
    <s v="Operations"/>
    <n v="75199.834736591991"/>
  </r>
  <r>
    <d v="2022-01-01T00:00:00"/>
    <x v="0"/>
    <n v="1"/>
    <x v="5"/>
    <s v="Facilities"/>
    <n v="18695.27552558326"/>
  </r>
  <r>
    <d v="2022-01-01T00:00:00"/>
    <x v="0"/>
    <n v="1"/>
    <x v="6"/>
    <s v="Administration"/>
    <n v="12502.129501291471"/>
  </r>
  <r>
    <d v="2022-01-01T00:00:00"/>
    <x v="0"/>
    <n v="1"/>
    <x v="7"/>
    <s v="Administration"/>
    <n v="17169.56304248032"/>
  </r>
  <r>
    <d v="2022-01-01T00:00:00"/>
    <x v="0"/>
    <n v="1"/>
    <x v="8"/>
    <s v="Administration"/>
    <n v="20034.266717535429"/>
  </r>
  <r>
    <d v="2022-01-01T00:00:00"/>
    <x v="0"/>
    <n v="1"/>
    <x v="9"/>
    <s v="Operations"/>
    <n v="14902.098460382411"/>
  </r>
  <r>
    <d v="2022-02-01T00:00:00"/>
    <x v="0"/>
    <n v="2"/>
    <x v="0"/>
    <s v="Personnel"/>
    <n v="221814.1664260262"/>
  </r>
  <r>
    <d v="2022-02-01T00:00:00"/>
    <x v="0"/>
    <n v="2"/>
    <x v="1"/>
    <s v="Facilities"/>
    <n v="59269.088117686617"/>
  </r>
  <r>
    <d v="2022-02-01T00:00:00"/>
    <x v="0"/>
    <n v="2"/>
    <x v="2"/>
    <s v="Sales &amp; Marketing"/>
    <n v="77204.143920122326"/>
  </r>
  <r>
    <d v="2022-02-01T00:00:00"/>
    <x v="0"/>
    <n v="2"/>
    <x v="3"/>
    <s v="Technology"/>
    <n v="27638.51766438047"/>
  </r>
  <r>
    <d v="2022-02-01T00:00:00"/>
    <x v="0"/>
    <n v="2"/>
    <x v="4"/>
    <s v="Operations"/>
    <n v="75816.483703802922"/>
  </r>
  <r>
    <d v="2022-02-01T00:00:00"/>
    <x v="0"/>
    <n v="2"/>
    <x v="5"/>
    <s v="Facilities"/>
    <n v="18203.254140959561"/>
  </r>
  <r>
    <d v="2022-02-01T00:00:00"/>
    <x v="0"/>
    <n v="2"/>
    <x v="6"/>
    <s v="Administration"/>
    <n v="11789.90580274869"/>
  </r>
  <r>
    <d v="2022-02-01T00:00:00"/>
    <x v="0"/>
    <n v="2"/>
    <x v="7"/>
    <s v="Administration"/>
    <n v="16576.138569175819"/>
  </r>
  <r>
    <d v="2022-02-01T00:00:00"/>
    <x v="0"/>
    <n v="2"/>
    <x v="8"/>
    <s v="Administration"/>
    <n v="19388.997147491918"/>
  </r>
  <r>
    <d v="2022-02-01T00:00:00"/>
    <x v="0"/>
    <n v="2"/>
    <x v="9"/>
    <s v="Operations"/>
    <n v="13354.266784764121"/>
  </r>
  <r>
    <d v="2022-03-01T00:00:00"/>
    <x v="0"/>
    <n v="3"/>
    <x v="0"/>
    <s v="Personnel"/>
    <n v="244304.9034694788"/>
  </r>
  <r>
    <d v="2022-03-01T00:00:00"/>
    <x v="0"/>
    <n v="3"/>
    <x v="1"/>
    <s v="Facilities"/>
    <n v="64059.718663182677"/>
  </r>
  <r>
    <d v="2022-03-01T00:00:00"/>
    <x v="0"/>
    <n v="3"/>
    <x v="2"/>
    <s v="Sales &amp; Marketing"/>
    <n v="90100.698633010092"/>
  </r>
  <r>
    <d v="2022-03-01T00:00:00"/>
    <x v="0"/>
    <n v="3"/>
    <x v="3"/>
    <s v="Technology"/>
    <n v="34167.530693886118"/>
  </r>
  <r>
    <d v="2022-03-01T00:00:00"/>
    <x v="0"/>
    <n v="3"/>
    <x v="4"/>
    <s v="Operations"/>
    <n v="86008.815795872099"/>
  </r>
  <r>
    <d v="2022-03-01T00:00:00"/>
    <x v="0"/>
    <n v="3"/>
    <x v="5"/>
    <s v="Facilities"/>
    <n v="19805.707093337191"/>
  </r>
  <r>
    <d v="2022-03-01T00:00:00"/>
    <x v="0"/>
    <n v="3"/>
    <x v="6"/>
    <s v="Administration"/>
    <n v="13564.936661135711"/>
  </r>
  <r>
    <d v="2022-03-01T00:00:00"/>
    <x v="0"/>
    <n v="3"/>
    <x v="7"/>
    <s v="Administration"/>
    <n v="18089.569283796089"/>
  </r>
  <r>
    <d v="2022-03-01T00:00:00"/>
    <x v="0"/>
    <n v="3"/>
    <x v="8"/>
    <s v="Administration"/>
    <n v="22731.64650104368"/>
  </r>
  <r>
    <d v="2022-03-01T00:00:00"/>
    <x v="0"/>
    <n v="3"/>
    <x v="9"/>
    <s v="Operations"/>
    <n v="16110.89792100012"/>
  </r>
  <r>
    <d v="2022-04-01T00:00:00"/>
    <x v="0"/>
    <n v="4"/>
    <x v="0"/>
    <s v="Personnel"/>
    <n v="243012.15382417789"/>
  </r>
  <r>
    <d v="2022-04-01T00:00:00"/>
    <x v="0"/>
    <n v="4"/>
    <x v="1"/>
    <s v="Facilities"/>
    <n v="74291.212431969674"/>
  </r>
  <r>
    <d v="2022-04-01T00:00:00"/>
    <x v="0"/>
    <n v="4"/>
    <x v="2"/>
    <s v="Sales &amp; Marketing"/>
    <n v="95627.542647750321"/>
  </r>
  <r>
    <d v="2022-04-01T00:00:00"/>
    <x v="0"/>
    <n v="4"/>
    <x v="3"/>
    <s v="Technology"/>
    <n v="33870.226394952842"/>
  </r>
  <r>
    <d v="2022-04-01T00:00:00"/>
    <x v="0"/>
    <n v="4"/>
    <x v="4"/>
    <s v="Operations"/>
    <n v="88874.928544179027"/>
  </r>
  <r>
    <d v="2022-04-01T00:00:00"/>
    <x v="0"/>
    <n v="4"/>
    <x v="5"/>
    <s v="Facilities"/>
    <n v="22072.888876718491"/>
  </r>
  <r>
    <d v="2022-04-01T00:00:00"/>
    <x v="0"/>
    <n v="4"/>
    <x v="6"/>
    <s v="Administration"/>
    <n v="14165.149546609549"/>
  </r>
  <r>
    <d v="2022-04-01T00:00:00"/>
    <x v="0"/>
    <n v="4"/>
    <x v="7"/>
    <s v="Administration"/>
    <n v="19140.92400640402"/>
  </r>
  <r>
    <d v="2022-04-01T00:00:00"/>
    <x v="0"/>
    <n v="4"/>
    <x v="8"/>
    <s v="Administration"/>
    <n v="23206.9850660704"/>
  </r>
  <r>
    <d v="2022-04-01T00:00:00"/>
    <x v="0"/>
    <n v="4"/>
    <x v="9"/>
    <s v="Operations"/>
    <n v="16218.34945326735"/>
  </r>
  <r>
    <d v="2022-05-01T00:00:00"/>
    <x v="0"/>
    <n v="5"/>
    <x v="0"/>
    <s v="Personnel"/>
    <n v="274800.0539293912"/>
  </r>
  <r>
    <d v="2022-05-01T00:00:00"/>
    <x v="0"/>
    <n v="5"/>
    <x v="1"/>
    <s v="Facilities"/>
    <n v="76330.291328130799"/>
  </r>
  <r>
    <d v="2022-05-01T00:00:00"/>
    <x v="0"/>
    <n v="5"/>
    <x v="2"/>
    <s v="Sales &amp; Marketing"/>
    <n v="100718.2859262024"/>
  </r>
  <r>
    <d v="2022-05-01T00:00:00"/>
    <x v="0"/>
    <n v="5"/>
    <x v="3"/>
    <s v="Technology"/>
    <n v="35441.082605773903"/>
  </r>
  <r>
    <d v="2022-05-01T00:00:00"/>
    <x v="0"/>
    <n v="5"/>
    <x v="4"/>
    <s v="Operations"/>
    <n v="99477.718129674526"/>
  </r>
  <r>
    <d v="2022-05-01T00:00:00"/>
    <x v="0"/>
    <n v="5"/>
    <x v="5"/>
    <s v="Facilities"/>
    <n v="22791.74188372209"/>
  </r>
  <r>
    <d v="2022-05-01T00:00:00"/>
    <x v="0"/>
    <n v="5"/>
    <x v="6"/>
    <s v="Administration"/>
    <n v="15391.8533717305"/>
  </r>
  <r>
    <d v="2022-05-01T00:00:00"/>
    <x v="0"/>
    <n v="5"/>
    <x v="7"/>
    <s v="Administration"/>
    <n v="20590.746398082461"/>
  </r>
  <r>
    <d v="2022-05-01T00:00:00"/>
    <x v="0"/>
    <n v="5"/>
    <x v="8"/>
    <s v="Administration"/>
    <n v="24495.49129855309"/>
  </r>
  <r>
    <d v="2022-05-01T00:00:00"/>
    <x v="0"/>
    <n v="5"/>
    <x v="9"/>
    <s v="Operations"/>
    <n v="17347.757107001082"/>
  </r>
  <r>
    <d v="2022-06-01T00:00:00"/>
    <x v="0"/>
    <n v="6"/>
    <x v="0"/>
    <s v="Personnel"/>
    <n v="267652.76056288579"/>
  </r>
  <r>
    <d v="2022-06-01T00:00:00"/>
    <x v="0"/>
    <n v="6"/>
    <x v="1"/>
    <s v="Facilities"/>
    <n v="74437.36952938803"/>
  </r>
  <r>
    <d v="2022-06-01T00:00:00"/>
    <x v="0"/>
    <n v="6"/>
    <x v="2"/>
    <s v="Sales &amp; Marketing"/>
    <n v="103784.1186971085"/>
  </r>
  <r>
    <d v="2022-06-01T00:00:00"/>
    <x v="0"/>
    <n v="6"/>
    <x v="3"/>
    <s v="Technology"/>
    <n v="36244.887850110114"/>
  </r>
  <r>
    <d v="2022-06-01T00:00:00"/>
    <x v="0"/>
    <n v="6"/>
    <x v="4"/>
    <s v="Operations"/>
    <n v="97784.294560420138"/>
  </r>
  <r>
    <d v="2022-06-01T00:00:00"/>
    <x v="0"/>
    <n v="6"/>
    <x v="5"/>
    <s v="Facilities"/>
    <n v="23785.417319545861"/>
  </r>
  <r>
    <d v="2022-06-01T00:00:00"/>
    <x v="0"/>
    <n v="6"/>
    <x v="6"/>
    <s v="Administration"/>
    <n v="15135.430568987569"/>
  </r>
  <r>
    <d v="2022-06-01T00:00:00"/>
    <x v="0"/>
    <n v="6"/>
    <x v="7"/>
    <s v="Administration"/>
    <n v="20550.632793136669"/>
  </r>
  <r>
    <d v="2022-06-01T00:00:00"/>
    <x v="0"/>
    <n v="6"/>
    <x v="8"/>
    <s v="Administration"/>
    <n v="24908.910881239459"/>
  </r>
  <r>
    <d v="2022-06-01T00:00:00"/>
    <x v="0"/>
    <n v="6"/>
    <x v="9"/>
    <s v="Operations"/>
    <n v="18779.610802322801"/>
  </r>
  <r>
    <d v="2022-07-01T00:00:00"/>
    <x v="0"/>
    <n v="7"/>
    <x v="0"/>
    <s v="Personnel"/>
    <n v="278702.73659857828"/>
  </r>
  <r>
    <d v="2022-07-01T00:00:00"/>
    <x v="0"/>
    <n v="7"/>
    <x v="1"/>
    <s v="Facilities"/>
    <n v="75889.576167927793"/>
  </r>
  <r>
    <d v="2022-07-01T00:00:00"/>
    <x v="0"/>
    <n v="7"/>
    <x v="2"/>
    <s v="Sales &amp; Marketing"/>
    <n v="102133.69557817309"/>
  </r>
  <r>
    <d v="2022-07-01T00:00:00"/>
    <x v="0"/>
    <n v="7"/>
    <x v="3"/>
    <s v="Technology"/>
    <n v="36607.755362210941"/>
  </r>
  <r>
    <d v="2022-07-01T00:00:00"/>
    <x v="0"/>
    <n v="7"/>
    <x v="4"/>
    <s v="Operations"/>
    <n v="95744.758015341096"/>
  </r>
  <r>
    <d v="2022-07-01T00:00:00"/>
    <x v="0"/>
    <n v="7"/>
    <x v="5"/>
    <s v="Facilities"/>
    <n v="22386.491900840701"/>
  </r>
  <r>
    <d v="2022-07-01T00:00:00"/>
    <x v="0"/>
    <n v="7"/>
    <x v="6"/>
    <s v="Administration"/>
    <n v="15504.94365578557"/>
  </r>
  <r>
    <d v="2022-07-01T00:00:00"/>
    <x v="0"/>
    <n v="7"/>
    <x v="7"/>
    <s v="Administration"/>
    <n v="20270.884446166881"/>
  </r>
  <r>
    <d v="2022-07-01T00:00:00"/>
    <x v="0"/>
    <n v="7"/>
    <x v="8"/>
    <s v="Administration"/>
    <n v="25404.70800859962"/>
  </r>
  <r>
    <d v="2022-07-01T00:00:00"/>
    <x v="0"/>
    <n v="7"/>
    <x v="9"/>
    <s v="Operations"/>
    <n v="17333.096745793409"/>
  </r>
  <r>
    <d v="2022-08-01T00:00:00"/>
    <x v="0"/>
    <n v="8"/>
    <x v="0"/>
    <s v="Personnel"/>
    <n v="243011.50904052111"/>
  </r>
  <r>
    <d v="2022-08-01T00:00:00"/>
    <x v="0"/>
    <n v="8"/>
    <x v="1"/>
    <s v="Facilities"/>
    <n v="72975.452447392061"/>
  </r>
  <r>
    <d v="2022-08-01T00:00:00"/>
    <x v="0"/>
    <n v="8"/>
    <x v="2"/>
    <s v="Sales &amp; Marketing"/>
    <n v="98917.968888539137"/>
  </r>
  <r>
    <d v="2022-08-01T00:00:00"/>
    <x v="0"/>
    <n v="8"/>
    <x v="3"/>
    <s v="Technology"/>
    <n v="33664.224949034397"/>
  </r>
  <r>
    <d v="2022-08-01T00:00:00"/>
    <x v="0"/>
    <n v="8"/>
    <x v="4"/>
    <s v="Operations"/>
    <n v="95193.024988374644"/>
  </r>
  <r>
    <d v="2022-08-01T00:00:00"/>
    <x v="0"/>
    <n v="8"/>
    <x v="5"/>
    <s v="Facilities"/>
    <n v="21381.146256649761"/>
  </r>
  <r>
    <d v="2022-08-01T00:00:00"/>
    <x v="0"/>
    <n v="8"/>
    <x v="6"/>
    <s v="Administration"/>
    <n v="14126.85408131204"/>
  </r>
  <r>
    <d v="2022-08-01T00:00:00"/>
    <x v="0"/>
    <n v="8"/>
    <x v="7"/>
    <s v="Administration"/>
    <n v="19313.39511377129"/>
  </r>
  <r>
    <d v="2022-08-01T00:00:00"/>
    <x v="0"/>
    <n v="8"/>
    <x v="8"/>
    <s v="Administration"/>
    <n v="24132.456483745871"/>
  </r>
  <r>
    <d v="2022-08-01T00:00:00"/>
    <x v="0"/>
    <n v="8"/>
    <x v="9"/>
    <s v="Operations"/>
    <n v="17253.516493447471"/>
  </r>
  <r>
    <d v="2022-09-01T00:00:00"/>
    <x v="0"/>
    <n v="9"/>
    <x v="0"/>
    <s v="Personnel"/>
    <n v="265383.01373115712"/>
  </r>
  <r>
    <d v="2022-09-01T00:00:00"/>
    <x v="0"/>
    <n v="9"/>
    <x v="1"/>
    <s v="Facilities"/>
    <n v="79966.341553294056"/>
  </r>
  <r>
    <d v="2022-09-01T00:00:00"/>
    <x v="0"/>
    <n v="9"/>
    <x v="2"/>
    <s v="Sales &amp; Marketing"/>
    <n v="108165.1895476522"/>
  </r>
  <r>
    <d v="2022-09-01T00:00:00"/>
    <x v="0"/>
    <n v="9"/>
    <x v="3"/>
    <s v="Technology"/>
    <n v="36048.174509335477"/>
  </r>
  <r>
    <d v="2022-09-01T00:00:00"/>
    <x v="0"/>
    <n v="9"/>
    <x v="4"/>
    <s v="Operations"/>
    <n v="101000.8338914304"/>
  </r>
  <r>
    <d v="2022-09-01T00:00:00"/>
    <x v="0"/>
    <n v="9"/>
    <x v="5"/>
    <s v="Facilities"/>
    <n v="22583.850046643049"/>
  </r>
  <r>
    <d v="2022-09-01T00:00:00"/>
    <x v="0"/>
    <n v="9"/>
    <x v="6"/>
    <s v="Administration"/>
    <n v="15880.04115604757"/>
  </r>
  <r>
    <d v="2022-09-01T00:00:00"/>
    <x v="0"/>
    <n v="9"/>
    <x v="7"/>
    <s v="Administration"/>
    <n v="21158.983096676569"/>
  </r>
  <r>
    <d v="2022-09-01T00:00:00"/>
    <x v="0"/>
    <n v="9"/>
    <x v="8"/>
    <s v="Administration"/>
    <n v="26330.27250327326"/>
  </r>
  <r>
    <d v="2022-09-01T00:00:00"/>
    <x v="0"/>
    <n v="9"/>
    <x v="9"/>
    <s v="Operations"/>
    <n v="18034.723285240081"/>
  </r>
  <r>
    <d v="2022-10-01T00:00:00"/>
    <x v="0"/>
    <n v="10"/>
    <x v="0"/>
    <s v="Personnel"/>
    <n v="280910.63168839639"/>
  </r>
  <r>
    <d v="2022-10-01T00:00:00"/>
    <x v="0"/>
    <n v="10"/>
    <x v="1"/>
    <s v="Facilities"/>
    <n v="85270.293964770099"/>
  </r>
  <r>
    <d v="2022-10-01T00:00:00"/>
    <x v="0"/>
    <n v="10"/>
    <x v="2"/>
    <s v="Sales &amp; Marketing"/>
    <n v="113739.3986780453"/>
  </r>
  <r>
    <d v="2022-10-01T00:00:00"/>
    <x v="0"/>
    <n v="10"/>
    <x v="3"/>
    <s v="Technology"/>
    <n v="39452.560655055429"/>
  </r>
  <r>
    <d v="2022-10-01T00:00:00"/>
    <x v="0"/>
    <n v="10"/>
    <x v="4"/>
    <s v="Operations"/>
    <n v="110105.5660177691"/>
  </r>
  <r>
    <d v="2022-10-01T00:00:00"/>
    <x v="0"/>
    <n v="10"/>
    <x v="5"/>
    <s v="Facilities"/>
    <n v="25725.874466717349"/>
  </r>
  <r>
    <d v="2022-10-01T00:00:00"/>
    <x v="0"/>
    <n v="10"/>
    <x v="6"/>
    <s v="Administration"/>
    <n v="16974.814226750259"/>
  </r>
  <r>
    <d v="2022-10-01T00:00:00"/>
    <x v="0"/>
    <n v="10"/>
    <x v="7"/>
    <s v="Administration"/>
    <n v="22497.786396398209"/>
  </r>
  <r>
    <d v="2022-10-01T00:00:00"/>
    <x v="0"/>
    <n v="10"/>
    <x v="8"/>
    <s v="Administration"/>
    <n v="28370.145273812901"/>
  </r>
  <r>
    <d v="2022-10-01T00:00:00"/>
    <x v="0"/>
    <n v="10"/>
    <x v="9"/>
    <s v="Operations"/>
    <n v="20787.74846316018"/>
  </r>
  <r>
    <d v="2022-11-01T00:00:00"/>
    <x v="0"/>
    <n v="11"/>
    <x v="0"/>
    <s v="Personnel"/>
    <n v="354471.0258995872"/>
  </r>
  <r>
    <d v="2022-11-01T00:00:00"/>
    <x v="0"/>
    <n v="11"/>
    <x v="1"/>
    <s v="Facilities"/>
    <n v="101653.5324709288"/>
  </r>
  <r>
    <d v="2022-11-01T00:00:00"/>
    <x v="0"/>
    <n v="11"/>
    <x v="2"/>
    <s v="Sales &amp; Marketing"/>
    <n v="160170.7975875804"/>
  </r>
  <r>
    <d v="2022-11-01T00:00:00"/>
    <x v="0"/>
    <n v="11"/>
    <x v="3"/>
    <s v="Technology"/>
    <n v="48464.250138538773"/>
  </r>
  <r>
    <d v="2022-11-01T00:00:00"/>
    <x v="0"/>
    <n v="11"/>
    <x v="4"/>
    <s v="Operations"/>
    <n v="147759.5779476309"/>
  </r>
  <r>
    <d v="2022-11-01T00:00:00"/>
    <x v="0"/>
    <n v="11"/>
    <x v="5"/>
    <s v="Facilities"/>
    <n v="28542.246738827569"/>
  </r>
  <r>
    <d v="2022-11-01T00:00:00"/>
    <x v="0"/>
    <n v="11"/>
    <x v="6"/>
    <s v="Administration"/>
    <n v="21121.88250749321"/>
  </r>
  <r>
    <d v="2022-11-01T00:00:00"/>
    <x v="0"/>
    <n v="11"/>
    <x v="7"/>
    <s v="Administration"/>
    <n v="28447.235792996911"/>
  </r>
  <r>
    <d v="2022-11-01T00:00:00"/>
    <x v="0"/>
    <n v="11"/>
    <x v="8"/>
    <s v="Administration"/>
    <n v="33425.182401038233"/>
  </r>
  <r>
    <d v="2022-11-01T00:00:00"/>
    <x v="0"/>
    <n v="11"/>
    <x v="9"/>
    <s v="Operations"/>
    <n v="23444.416127436991"/>
  </r>
  <r>
    <d v="2022-12-01T00:00:00"/>
    <x v="0"/>
    <n v="12"/>
    <x v="0"/>
    <s v="Personnel"/>
    <n v="361703.97732903343"/>
  </r>
  <r>
    <d v="2022-12-01T00:00:00"/>
    <x v="0"/>
    <n v="12"/>
    <x v="1"/>
    <s v="Facilities"/>
    <n v="102545.0632131279"/>
  </r>
  <r>
    <d v="2022-12-01T00:00:00"/>
    <x v="0"/>
    <n v="12"/>
    <x v="2"/>
    <s v="Sales &amp; Marketing"/>
    <n v="165366.19932712341"/>
  </r>
  <r>
    <d v="2022-12-01T00:00:00"/>
    <x v="0"/>
    <n v="12"/>
    <x v="3"/>
    <s v="Technology"/>
    <n v="46402.6340971479"/>
  </r>
  <r>
    <d v="2022-12-01T00:00:00"/>
    <x v="0"/>
    <n v="12"/>
    <x v="4"/>
    <s v="Operations"/>
    <n v="144135.61439078811"/>
  </r>
  <r>
    <d v="2022-12-01T00:00:00"/>
    <x v="0"/>
    <n v="12"/>
    <x v="5"/>
    <s v="Facilities"/>
    <n v="32562.736002926849"/>
  </r>
  <r>
    <d v="2022-12-01T00:00:00"/>
    <x v="0"/>
    <n v="12"/>
    <x v="6"/>
    <s v="Administration"/>
    <n v="20419.012147917609"/>
  </r>
  <r>
    <d v="2022-12-01T00:00:00"/>
    <x v="0"/>
    <n v="12"/>
    <x v="7"/>
    <s v="Administration"/>
    <n v="28738.561431586491"/>
  </r>
  <r>
    <d v="2022-12-01T00:00:00"/>
    <x v="0"/>
    <n v="12"/>
    <x v="8"/>
    <s v="Administration"/>
    <n v="35149.671543010278"/>
  </r>
  <r>
    <d v="2022-12-01T00:00:00"/>
    <x v="0"/>
    <n v="12"/>
    <x v="9"/>
    <s v="Operations"/>
    <n v="23285.003399529589"/>
  </r>
  <r>
    <d v="2023-01-01T00:00:00"/>
    <x v="1"/>
    <n v="1"/>
    <x v="0"/>
    <s v="Personnel"/>
    <n v="272077.66193782078"/>
  </r>
  <r>
    <d v="2023-01-01T00:00:00"/>
    <x v="1"/>
    <n v="1"/>
    <x v="1"/>
    <s v="Facilities"/>
    <n v="76295.972339846252"/>
  </r>
  <r>
    <d v="2023-01-01T00:00:00"/>
    <x v="1"/>
    <n v="1"/>
    <x v="2"/>
    <s v="Sales &amp; Marketing"/>
    <n v="100866.3364646304"/>
  </r>
  <r>
    <d v="2023-01-01T00:00:00"/>
    <x v="1"/>
    <n v="1"/>
    <x v="3"/>
    <s v="Technology"/>
    <n v="35928.518516795863"/>
  </r>
  <r>
    <d v="2023-01-01T00:00:00"/>
    <x v="1"/>
    <n v="1"/>
    <x v="4"/>
    <s v="Operations"/>
    <n v="98076.808872232243"/>
  </r>
  <r>
    <d v="2023-01-01T00:00:00"/>
    <x v="1"/>
    <n v="1"/>
    <x v="5"/>
    <s v="Facilities"/>
    <n v="23362.41455486801"/>
  </r>
  <r>
    <d v="2023-01-01T00:00:00"/>
    <x v="1"/>
    <n v="1"/>
    <x v="6"/>
    <s v="Administration"/>
    <n v="15755.02047016653"/>
  </r>
  <r>
    <d v="2023-01-01T00:00:00"/>
    <x v="1"/>
    <n v="1"/>
    <x v="7"/>
    <s v="Administration"/>
    <n v="20613.8261320948"/>
  </r>
  <r>
    <d v="2023-01-01T00:00:00"/>
    <x v="1"/>
    <n v="1"/>
    <x v="8"/>
    <s v="Administration"/>
    <n v="24629.816043567622"/>
  </r>
  <r>
    <d v="2023-01-01T00:00:00"/>
    <x v="1"/>
    <n v="1"/>
    <x v="9"/>
    <s v="Operations"/>
    <n v="17643.494535084948"/>
  </r>
  <r>
    <d v="2023-02-01T00:00:00"/>
    <x v="1"/>
    <n v="2"/>
    <x v="0"/>
    <s v="Personnel"/>
    <n v="265535.62317960378"/>
  </r>
  <r>
    <d v="2023-02-01T00:00:00"/>
    <x v="1"/>
    <n v="2"/>
    <x v="1"/>
    <s v="Facilities"/>
    <n v="71947.804170532501"/>
  </r>
  <r>
    <d v="2023-02-01T00:00:00"/>
    <x v="1"/>
    <n v="2"/>
    <x v="2"/>
    <s v="Sales &amp; Marketing"/>
    <n v="99804.879281577683"/>
  </r>
  <r>
    <d v="2023-02-01T00:00:00"/>
    <x v="1"/>
    <n v="2"/>
    <x v="3"/>
    <s v="Technology"/>
    <n v="34128.806444571543"/>
  </r>
  <r>
    <d v="2023-02-01T00:00:00"/>
    <x v="1"/>
    <n v="2"/>
    <x v="4"/>
    <s v="Operations"/>
    <n v="90053.716524527117"/>
  </r>
  <r>
    <d v="2023-02-01T00:00:00"/>
    <x v="1"/>
    <n v="2"/>
    <x v="5"/>
    <s v="Facilities"/>
    <n v="21360.102985849418"/>
  </r>
  <r>
    <d v="2023-02-01T00:00:00"/>
    <x v="1"/>
    <n v="2"/>
    <x v="6"/>
    <s v="Administration"/>
    <n v="14120.644547835091"/>
  </r>
  <r>
    <d v="2023-02-01T00:00:00"/>
    <x v="1"/>
    <n v="2"/>
    <x v="7"/>
    <s v="Administration"/>
    <n v="18026.046859138169"/>
  </r>
  <r>
    <d v="2023-02-01T00:00:00"/>
    <x v="1"/>
    <n v="2"/>
    <x v="8"/>
    <s v="Administration"/>
    <n v="23566.577523246218"/>
  </r>
  <r>
    <d v="2023-02-01T00:00:00"/>
    <x v="1"/>
    <n v="2"/>
    <x v="9"/>
    <s v="Operations"/>
    <n v="16988.23996459493"/>
  </r>
  <r>
    <d v="2023-03-01T00:00:00"/>
    <x v="1"/>
    <n v="3"/>
    <x v="0"/>
    <s v="Personnel"/>
    <n v="287386.12039567059"/>
  </r>
  <r>
    <d v="2023-03-01T00:00:00"/>
    <x v="1"/>
    <n v="3"/>
    <x v="1"/>
    <s v="Facilities"/>
    <n v="84218.479138522947"/>
  </r>
  <r>
    <d v="2023-03-01T00:00:00"/>
    <x v="1"/>
    <n v="3"/>
    <x v="2"/>
    <s v="Sales &amp; Marketing"/>
    <n v="113512.9126557812"/>
  </r>
  <r>
    <d v="2023-03-01T00:00:00"/>
    <x v="1"/>
    <n v="3"/>
    <x v="3"/>
    <s v="Technology"/>
    <n v="38016.624829811633"/>
  </r>
  <r>
    <d v="2023-03-01T00:00:00"/>
    <x v="1"/>
    <n v="3"/>
    <x v="4"/>
    <s v="Operations"/>
    <n v="104397.9758006991"/>
  </r>
  <r>
    <d v="2023-03-01T00:00:00"/>
    <x v="1"/>
    <n v="3"/>
    <x v="5"/>
    <s v="Facilities"/>
    <n v="24371.592790812581"/>
  </r>
  <r>
    <d v="2023-03-01T00:00:00"/>
    <x v="1"/>
    <n v="3"/>
    <x v="6"/>
    <s v="Administration"/>
    <n v="16329.315381625511"/>
  </r>
  <r>
    <d v="2023-03-01T00:00:00"/>
    <x v="1"/>
    <n v="3"/>
    <x v="7"/>
    <s v="Administration"/>
    <n v="21513.76026062798"/>
  </r>
  <r>
    <d v="2023-03-01T00:00:00"/>
    <x v="1"/>
    <n v="3"/>
    <x v="8"/>
    <s v="Administration"/>
    <n v="27161.145166278609"/>
  </r>
  <r>
    <d v="2023-03-01T00:00:00"/>
    <x v="1"/>
    <n v="3"/>
    <x v="9"/>
    <s v="Operations"/>
    <n v="20140.893256542709"/>
  </r>
  <r>
    <d v="2023-04-01T00:00:00"/>
    <x v="1"/>
    <n v="4"/>
    <x v="0"/>
    <s v="Personnel"/>
    <n v="304198.73602342448"/>
  </r>
  <r>
    <d v="2023-04-01T00:00:00"/>
    <x v="1"/>
    <n v="4"/>
    <x v="1"/>
    <s v="Facilities"/>
    <n v="89230.92275549208"/>
  </r>
  <r>
    <d v="2023-04-01T00:00:00"/>
    <x v="1"/>
    <n v="4"/>
    <x v="2"/>
    <s v="Sales &amp; Marketing"/>
    <n v="117108.61231867981"/>
  </r>
  <r>
    <d v="2023-04-01T00:00:00"/>
    <x v="1"/>
    <n v="4"/>
    <x v="3"/>
    <s v="Technology"/>
    <n v="42733.228796636802"/>
  </r>
  <r>
    <d v="2023-04-01T00:00:00"/>
    <x v="1"/>
    <n v="4"/>
    <x v="4"/>
    <s v="Operations"/>
    <n v="116362.837003835"/>
  </r>
  <r>
    <d v="2023-04-01T00:00:00"/>
    <x v="1"/>
    <n v="4"/>
    <x v="5"/>
    <s v="Facilities"/>
    <n v="27261.353802574209"/>
  </r>
  <r>
    <d v="2023-04-01T00:00:00"/>
    <x v="1"/>
    <n v="4"/>
    <x v="6"/>
    <s v="Administration"/>
    <n v="17926.094895369999"/>
  </r>
  <r>
    <d v="2023-04-01T00:00:00"/>
    <x v="1"/>
    <n v="4"/>
    <x v="7"/>
    <s v="Administration"/>
    <n v="23582.904803789341"/>
  </r>
  <r>
    <d v="2023-04-01T00:00:00"/>
    <x v="1"/>
    <n v="4"/>
    <x v="8"/>
    <s v="Administration"/>
    <n v="28766.429084036441"/>
  </r>
  <r>
    <d v="2023-04-01T00:00:00"/>
    <x v="1"/>
    <n v="4"/>
    <x v="9"/>
    <s v="Operations"/>
    <n v="21763.3775898044"/>
  </r>
  <r>
    <d v="2023-05-01T00:00:00"/>
    <x v="1"/>
    <n v="5"/>
    <x v="0"/>
    <s v="Personnel"/>
    <n v="328680.32701735321"/>
  </r>
  <r>
    <d v="2023-05-01T00:00:00"/>
    <x v="1"/>
    <n v="5"/>
    <x v="1"/>
    <s v="Facilities"/>
    <n v="97314.90613220651"/>
  </r>
  <r>
    <d v="2023-05-01T00:00:00"/>
    <x v="1"/>
    <n v="5"/>
    <x v="2"/>
    <s v="Sales &amp; Marketing"/>
    <n v="131016.542734633"/>
  </r>
  <r>
    <d v="2023-05-01T00:00:00"/>
    <x v="1"/>
    <n v="5"/>
    <x v="3"/>
    <s v="Technology"/>
    <n v="44052.31149492455"/>
  </r>
  <r>
    <d v="2023-05-01T00:00:00"/>
    <x v="1"/>
    <n v="5"/>
    <x v="4"/>
    <s v="Operations"/>
    <n v="124400.38087820599"/>
  </r>
  <r>
    <d v="2023-05-01T00:00:00"/>
    <x v="1"/>
    <n v="5"/>
    <x v="5"/>
    <s v="Facilities"/>
    <n v="29266.67383132234"/>
  </r>
  <r>
    <d v="2023-05-01T00:00:00"/>
    <x v="1"/>
    <n v="5"/>
    <x v="6"/>
    <s v="Administration"/>
    <n v="19972.399174795559"/>
  </r>
  <r>
    <d v="2023-05-01T00:00:00"/>
    <x v="1"/>
    <n v="5"/>
    <x v="7"/>
    <s v="Administration"/>
    <n v="25227.590627323181"/>
  </r>
  <r>
    <d v="2023-05-01T00:00:00"/>
    <x v="1"/>
    <n v="5"/>
    <x v="8"/>
    <s v="Administration"/>
    <n v="30883.13393405926"/>
  </r>
  <r>
    <d v="2023-05-01T00:00:00"/>
    <x v="1"/>
    <n v="5"/>
    <x v="9"/>
    <s v="Operations"/>
    <n v="22053.959180723141"/>
  </r>
  <r>
    <d v="2023-06-01T00:00:00"/>
    <x v="1"/>
    <n v="6"/>
    <x v="0"/>
    <s v="Personnel"/>
    <n v="330490.87414631213"/>
  </r>
  <r>
    <d v="2023-06-01T00:00:00"/>
    <x v="1"/>
    <n v="6"/>
    <x v="1"/>
    <s v="Facilities"/>
    <n v="94072.201052570381"/>
  </r>
  <r>
    <d v="2023-06-01T00:00:00"/>
    <x v="1"/>
    <n v="6"/>
    <x v="2"/>
    <s v="Sales &amp; Marketing"/>
    <n v="124015.4005740601"/>
  </r>
  <r>
    <d v="2023-06-01T00:00:00"/>
    <x v="1"/>
    <n v="6"/>
    <x v="3"/>
    <s v="Technology"/>
    <n v="41744.247910974627"/>
  </r>
  <r>
    <d v="2023-06-01T00:00:00"/>
    <x v="1"/>
    <n v="6"/>
    <x v="4"/>
    <s v="Operations"/>
    <n v="120384.4703737268"/>
  </r>
  <r>
    <d v="2023-06-01T00:00:00"/>
    <x v="1"/>
    <n v="6"/>
    <x v="5"/>
    <s v="Facilities"/>
    <n v="29570.197168189639"/>
  </r>
  <r>
    <d v="2023-06-01T00:00:00"/>
    <x v="1"/>
    <n v="6"/>
    <x v="6"/>
    <s v="Administration"/>
    <n v="19005.147353170101"/>
  </r>
  <r>
    <d v="2023-06-01T00:00:00"/>
    <x v="1"/>
    <n v="6"/>
    <x v="7"/>
    <s v="Administration"/>
    <n v="25430.928315224839"/>
  </r>
  <r>
    <d v="2023-06-01T00:00:00"/>
    <x v="1"/>
    <n v="6"/>
    <x v="8"/>
    <s v="Administration"/>
    <n v="31759.93944977297"/>
  </r>
  <r>
    <d v="2023-06-01T00:00:00"/>
    <x v="1"/>
    <n v="6"/>
    <x v="9"/>
    <s v="Operations"/>
    <n v="22135.846694784599"/>
  </r>
  <r>
    <d v="2023-07-01T00:00:00"/>
    <x v="1"/>
    <n v="7"/>
    <x v="0"/>
    <s v="Personnel"/>
    <n v="331452.47576403822"/>
  </r>
  <r>
    <d v="2023-07-01T00:00:00"/>
    <x v="1"/>
    <n v="7"/>
    <x v="1"/>
    <s v="Facilities"/>
    <n v="93459.925741183397"/>
  </r>
  <r>
    <d v="2023-07-01T00:00:00"/>
    <x v="1"/>
    <n v="7"/>
    <x v="2"/>
    <s v="Sales &amp; Marketing"/>
    <n v="122429.01126466181"/>
  </r>
  <r>
    <d v="2023-07-01T00:00:00"/>
    <x v="1"/>
    <n v="7"/>
    <x v="3"/>
    <s v="Technology"/>
    <n v="42328.325283010447"/>
  </r>
  <r>
    <d v="2023-07-01T00:00:00"/>
    <x v="1"/>
    <n v="7"/>
    <x v="4"/>
    <s v="Operations"/>
    <n v="116494.2500479603"/>
  </r>
  <r>
    <d v="2023-07-01T00:00:00"/>
    <x v="1"/>
    <n v="7"/>
    <x v="5"/>
    <s v="Facilities"/>
    <n v="27981.587041094121"/>
  </r>
  <r>
    <d v="2023-07-01T00:00:00"/>
    <x v="1"/>
    <n v="7"/>
    <x v="6"/>
    <s v="Administration"/>
    <n v="18362.77574181791"/>
  </r>
  <r>
    <d v="2023-07-01T00:00:00"/>
    <x v="1"/>
    <n v="7"/>
    <x v="7"/>
    <s v="Administration"/>
    <n v="24872.65087576264"/>
  </r>
  <r>
    <d v="2023-07-01T00:00:00"/>
    <x v="1"/>
    <n v="7"/>
    <x v="8"/>
    <s v="Administration"/>
    <n v="31187.069410149641"/>
  </r>
  <r>
    <d v="2023-07-01T00:00:00"/>
    <x v="1"/>
    <n v="7"/>
    <x v="9"/>
    <s v="Operations"/>
    <n v="22043.664069715502"/>
  </r>
  <r>
    <d v="2023-08-01T00:00:00"/>
    <x v="1"/>
    <n v="8"/>
    <x v="0"/>
    <s v="Personnel"/>
    <n v="330274.7214956255"/>
  </r>
  <r>
    <d v="2023-08-01T00:00:00"/>
    <x v="1"/>
    <n v="8"/>
    <x v="1"/>
    <s v="Facilities"/>
    <n v="91610.302951553429"/>
  </r>
  <r>
    <d v="2023-08-01T00:00:00"/>
    <x v="1"/>
    <n v="8"/>
    <x v="2"/>
    <s v="Sales &amp; Marketing"/>
    <n v="117923.5708576902"/>
  </r>
  <r>
    <d v="2023-08-01T00:00:00"/>
    <x v="1"/>
    <n v="8"/>
    <x v="3"/>
    <s v="Technology"/>
    <n v="42300.138868171533"/>
  </r>
  <r>
    <d v="2023-08-01T00:00:00"/>
    <x v="1"/>
    <n v="8"/>
    <x v="4"/>
    <s v="Operations"/>
    <n v="115941.43496743721"/>
  </r>
  <r>
    <d v="2023-08-01T00:00:00"/>
    <x v="1"/>
    <n v="8"/>
    <x v="5"/>
    <s v="Facilities"/>
    <n v="26170.738103220221"/>
  </r>
  <r>
    <d v="2023-08-01T00:00:00"/>
    <x v="1"/>
    <n v="8"/>
    <x v="6"/>
    <s v="Administration"/>
    <n v="18921.24054899289"/>
  </r>
  <r>
    <d v="2023-08-01T00:00:00"/>
    <x v="1"/>
    <n v="8"/>
    <x v="7"/>
    <s v="Administration"/>
    <n v="24468.650937739381"/>
  </r>
  <r>
    <d v="2023-08-01T00:00:00"/>
    <x v="1"/>
    <n v="8"/>
    <x v="8"/>
    <s v="Administration"/>
    <n v="30767.896618398281"/>
  </r>
  <r>
    <d v="2023-08-01T00:00:00"/>
    <x v="1"/>
    <n v="8"/>
    <x v="9"/>
    <s v="Operations"/>
    <n v="22062.43988121947"/>
  </r>
  <r>
    <d v="2023-09-01T00:00:00"/>
    <x v="1"/>
    <n v="9"/>
    <x v="0"/>
    <s v="Personnel"/>
    <n v="344378.96717122849"/>
  </r>
  <r>
    <d v="2023-09-01T00:00:00"/>
    <x v="1"/>
    <n v="9"/>
    <x v="1"/>
    <s v="Facilities"/>
    <n v="101403.51497728239"/>
  </r>
  <r>
    <d v="2023-09-01T00:00:00"/>
    <x v="1"/>
    <n v="9"/>
    <x v="2"/>
    <s v="Sales &amp; Marketing"/>
    <n v="132925.70975072621"/>
  </r>
  <r>
    <d v="2023-09-01T00:00:00"/>
    <x v="1"/>
    <n v="9"/>
    <x v="3"/>
    <s v="Technology"/>
    <n v="46437.432179169497"/>
  </r>
  <r>
    <d v="2023-09-01T00:00:00"/>
    <x v="1"/>
    <n v="9"/>
    <x v="4"/>
    <s v="Operations"/>
    <n v="124182.7046080358"/>
  </r>
  <r>
    <d v="2023-09-01T00:00:00"/>
    <x v="1"/>
    <n v="9"/>
    <x v="5"/>
    <s v="Facilities"/>
    <n v="31239.47049727304"/>
  </r>
  <r>
    <d v="2023-09-01T00:00:00"/>
    <x v="1"/>
    <n v="9"/>
    <x v="6"/>
    <s v="Administration"/>
    <n v="19806.079867507931"/>
  </r>
  <r>
    <d v="2023-09-01T00:00:00"/>
    <x v="1"/>
    <n v="9"/>
    <x v="7"/>
    <s v="Administration"/>
    <n v="27124.52616450507"/>
  </r>
  <r>
    <d v="2023-09-01T00:00:00"/>
    <x v="1"/>
    <n v="9"/>
    <x v="8"/>
    <s v="Administration"/>
    <n v="31760.93281494965"/>
  </r>
  <r>
    <d v="2023-09-01T00:00:00"/>
    <x v="1"/>
    <n v="9"/>
    <x v="9"/>
    <s v="Operations"/>
    <n v="24014.178930160921"/>
  </r>
  <r>
    <d v="2023-10-01T00:00:00"/>
    <x v="1"/>
    <n v="10"/>
    <x v="0"/>
    <s v="Personnel"/>
    <n v="380714.83723289683"/>
  </r>
  <r>
    <d v="2023-10-01T00:00:00"/>
    <x v="1"/>
    <n v="10"/>
    <x v="1"/>
    <s v="Facilities"/>
    <n v="106245.8037905813"/>
  </r>
  <r>
    <d v="2023-10-01T00:00:00"/>
    <x v="1"/>
    <n v="10"/>
    <x v="2"/>
    <s v="Sales &amp; Marketing"/>
    <n v="140515.07486390561"/>
  </r>
  <r>
    <d v="2023-10-01T00:00:00"/>
    <x v="1"/>
    <n v="10"/>
    <x v="3"/>
    <s v="Technology"/>
    <n v="49955.504606607261"/>
  </r>
  <r>
    <d v="2023-10-01T00:00:00"/>
    <x v="1"/>
    <n v="10"/>
    <x v="4"/>
    <s v="Operations"/>
    <n v="141932.81347632399"/>
  </r>
  <r>
    <d v="2023-10-01T00:00:00"/>
    <x v="1"/>
    <n v="10"/>
    <x v="5"/>
    <s v="Facilities"/>
    <n v="30394.68041845542"/>
  </r>
  <r>
    <d v="2023-10-01T00:00:00"/>
    <x v="1"/>
    <n v="10"/>
    <x v="6"/>
    <s v="Administration"/>
    <n v="21611.952865031781"/>
  </r>
  <r>
    <d v="2023-10-01T00:00:00"/>
    <x v="1"/>
    <n v="10"/>
    <x v="7"/>
    <s v="Administration"/>
    <n v="27619.234535442061"/>
  </r>
  <r>
    <d v="2023-10-01T00:00:00"/>
    <x v="1"/>
    <n v="10"/>
    <x v="8"/>
    <s v="Administration"/>
    <n v="35311.618643010421"/>
  </r>
  <r>
    <d v="2023-10-01T00:00:00"/>
    <x v="1"/>
    <n v="10"/>
    <x v="9"/>
    <s v="Operations"/>
    <n v="24577.193162844542"/>
  </r>
  <r>
    <d v="2023-11-01T00:00:00"/>
    <x v="1"/>
    <n v="11"/>
    <x v="0"/>
    <s v="Personnel"/>
    <n v="442368.74854231533"/>
  </r>
  <r>
    <d v="2023-11-01T00:00:00"/>
    <x v="1"/>
    <n v="11"/>
    <x v="1"/>
    <s v="Facilities"/>
    <n v="127725.6846080423"/>
  </r>
  <r>
    <d v="2023-11-01T00:00:00"/>
    <x v="1"/>
    <n v="11"/>
    <x v="2"/>
    <s v="Sales &amp; Marketing"/>
    <n v="195308.2390157427"/>
  </r>
  <r>
    <d v="2023-11-01T00:00:00"/>
    <x v="1"/>
    <n v="11"/>
    <x v="3"/>
    <s v="Technology"/>
    <n v="61154.935058488933"/>
  </r>
  <r>
    <d v="2023-11-01T00:00:00"/>
    <x v="1"/>
    <n v="11"/>
    <x v="4"/>
    <s v="Operations"/>
    <n v="173117.9859961925"/>
  </r>
  <r>
    <d v="2023-11-01T00:00:00"/>
    <x v="1"/>
    <n v="11"/>
    <x v="5"/>
    <s v="Facilities"/>
    <n v="38844.931752469471"/>
  </r>
  <r>
    <d v="2023-11-01T00:00:00"/>
    <x v="1"/>
    <n v="11"/>
    <x v="6"/>
    <s v="Administration"/>
    <n v="25343.2323499671"/>
  </r>
  <r>
    <d v="2023-11-01T00:00:00"/>
    <x v="1"/>
    <n v="11"/>
    <x v="7"/>
    <s v="Administration"/>
    <n v="33071.78718392567"/>
  </r>
  <r>
    <d v="2023-11-01T00:00:00"/>
    <x v="1"/>
    <n v="11"/>
    <x v="8"/>
    <s v="Administration"/>
    <n v="42801.839326678637"/>
  </r>
  <r>
    <d v="2023-11-01T00:00:00"/>
    <x v="1"/>
    <n v="11"/>
    <x v="9"/>
    <s v="Operations"/>
    <n v="28650.123336032291"/>
  </r>
  <r>
    <d v="2023-12-01T00:00:00"/>
    <x v="1"/>
    <n v="12"/>
    <x v="0"/>
    <s v="Personnel"/>
    <n v="489965.8816185458"/>
  </r>
  <r>
    <d v="2023-12-01T00:00:00"/>
    <x v="1"/>
    <n v="12"/>
    <x v="1"/>
    <s v="Facilities"/>
    <n v="134876.61782379189"/>
  </r>
  <r>
    <d v="2023-12-01T00:00:00"/>
    <x v="1"/>
    <n v="12"/>
    <x v="2"/>
    <s v="Sales &amp; Marketing"/>
    <n v="222570.24651205059"/>
  </r>
  <r>
    <d v="2023-12-01T00:00:00"/>
    <x v="1"/>
    <n v="12"/>
    <x v="3"/>
    <s v="Technology"/>
    <n v="63755.806028275227"/>
  </r>
  <r>
    <d v="2023-12-01T00:00:00"/>
    <x v="1"/>
    <n v="12"/>
    <x v="4"/>
    <s v="Operations"/>
    <n v="196165.56220951691"/>
  </r>
  <r>
    <d v="2023-12-01T00:00:00"/>
    <x v="1"/>
    <n v="12"/>
    <x v="5"/>
    <s v="Facilities"/>
    <n v="42263.739568303703"/>
  </r>
  <r>
    <d v="2023-12-01T00:00:00"/>
    <x v="1"/>
    <n v="12"/>
    <x v="6"/>
    <s v="Administration"/>
    <n v="27430.07472660036"/>
  </r>
  <r>
    <d v="2023-12-01T00:00:00"/>
    <x v="1"/>
    <n v="12"/>
    <x v="7"/>
    <s v="Administration"/>
    <n v="37239.664636452209"/>
  </r>
  <r>
    <d v="2023-12-01T00:00:00"/>
    <x v="1"/>
    <n v="12"/>
    <x v="8"/>
    <s v="Administration"/>
    <n v="44852.872712328543"/>
  </r>
  <r>
    <d v="2023-12-01T00:00:00"/>
    <x v="1"/>
    <n v="12"/>
    <x v="9"/>
    <s v="Operations"/>
    <n v="33146.661794654581"/>
  </r>
  <r>
    <d v="2024-01-01T00:00:00"/>
    <x v="2"/>
    <n v="1"/>
    <x v="0"/>
    <s v="Personnel"/>
    <n v="343771.25358606421"/>
  </r>
  <r>
    <d v="2024-01-01T00:00:00"/>
    <x v="2"/>
    <n v="1"/>
    <x v="1"/>
    <s v="Facilities"/>
    <n v="100636.29249544159"/>
  </r>
  <r>
    <d v="2024-01-01T00:00:00"/>
    <x v="2"/>
    <n v="1"/>
    <x v="2"/>
    <s v="Sales &amp; Marketing"/>
    <n v="125712.1839334773"/>
  </r>
  <r>
    <d v="2024-01-01T00:00:00"/>
    <x v="2"/>
    <n v="1"/>
    <x v="3"/>
    <s v="Technology"/>
    <n v="44764.247598798487"/>
  </r>
  <r>
    <d v="2024-01-01T00:00:00"/>
    <x v="2"/>
    <n v="1"/>
    <x v="4"/>
    <s v="Operations"/>
    <n v="113850.73509882019"/>
  </r>
  <r>
    <d v="2024-01-01T00:00:00"/>
    <x v="2"/>
    <n v="1"/>
    <x v="5"/>
    <s v="Facilities"/>
    <n v="29281.13379644771"/>
  </r>
  <r>
    <d v="2024-01-01T00:00:00"/>
    <x v="2"/>
    <n v="1"/>
    <x v="6"/>
    <s v="Administration"/>
    <n v="19179.04481785075"/>
  </r>
  <r>
    <d v="2024-01-01T00:00:00"/>
    <x v="2"/>
    <n v="1"/>
    <x v="7"/>
    <s v="Administration"/>
    <n v="24781.7724288928"/>
  </r>
  <r>
    <d v="2024-01-01T00:00:00"/>
    <x v="2"/>
    <n v="1"/>
    <x v="8"/>
    <s v="Administration"/>
    <n v="32326.421861163941"/>
  </r>
  <r>
    <d v="2024-01-01T00:00:00"/>
    <x v="2"/>
    <n v="1"/>
    <x v="9"/>
    <s v="Operations"/>
    <n v="21809.963337775971"/>
  </r>
  <r>
    <d v="2024-02-01T00:00:00"/>
    <x v="2"/>
    <n v="2"/>
    <x v="0"/>
    <s v="Personnel"/>
    <n v="311665.01214411011"/>
  </r>
  <r>
    <d v="2024-02-01T00:00:00"/>
    <x v="2"/>
    <n v="2"/>
    <x v="1"/>
    <s v="Facilities"/>
    <n v="91149.040694501658"/>
  </r>
  <r>
    <d v="2024-02-01T00:00:00"/>
    <x v="2"/>
    <n v="2"/>
    <x v="2"/>
    <s v="Sales &amp; Marketing"/>
    <n v="116911.9544611936"/>
  </r>
  <r>
    <d v="2024-02-01T00:00:00"/>
    <x v="2"/>
    <n v="2"/>
    <x v="3"/>
    <s v="Technology"/>
    <n v="43110.324288865057"/>
  </r>
  <r>
    <d v="2024-02-01T00:00:00"/>
    <x v="2"/>
    <n v="2"/>
    <x v="4"/>
    <s v="Operations"/>
    <n v="111087.3644300766"/>
  </r>
  <r>
    <d v="2024-02-01T00:00:00"/>
    <x v="2"/>
    <n v="2"/>
    <x v="5"/>
    <s v="Facilities"/>
    <n v="26314.174898505938"/>
  </r>
  <r>
    <d v="2024-02-01T00:00:00"/>
    <x v="2"/>
    <n v="2"/>
    <x v="6"/>
    <s v="Administration"/>
    <n v="17606.00268188852"/>
  </r>
  <r>
    <d v="2024-02-01T00:00:00"/>
    <x v="2"/>
    <n v="2"/>
    <x v="7"/>
    <s v="Administration"/>
    <n v="24477.058827403791"/>
  </r>
  <r>
    <d v="2024-02-01T00:00:00"/>
    <x v="2"/>
    <n v="2"/>
    <x v="8"/>
    <s v="Administration"/>
    <n v="29563.21548969144"/>
  </r>
  <r>
    <d v="2024-02-01T00:00:00"/>
    <x v="2"/>
    <n v="2"/>
    <x v="9"/>
    <s v="Operations"/>
    <n v="20310.024843245439"/>
  </r>
  <r>
    <d v="2024-03-01T00:00:00"/>
    <x v="2"/>
    <n v="3"/>
    <x v="0"/>
    <s v="Personnel"/>
    <n v="375760.62734394969"/>
  </r>
  <r>
    <d v="2024-03-01T00:00:00"/>
    <x v="2"/>
    <n v="3"/>
    <x v="1"/>
    <s v="Facilities"/>
    <n v="108923.4969655163"/>
  </r>
  <r>
    <d v="2024-03-01T00:00:00"/>
    <x v="2"/>
    <n v="3"/>
    <x v="2"/>
    <s v="Sales &amp; Marketing"/>
    <n v="141056.4687874901"/>
  </r>
  <r>
    <d v="2024-03-01T00:00:00"/>
    <x v="2"/>
    <n v="3"/>
    <x v="3"/>
    <s v="Technology"/>
    <n v="49407.016638281108"/>
  </r>
  <r>
    <d v="2024-03-01T00:00:00"/>
    <x v="2"/>
    <n v="3"/>
    <x v="4"/>
    <s v="Operations"/>
    <n v="145368.58803918771"/>
  </r>
  <r>
    <d v="2024-03-01T00:00:00"/>
    <x v="2"/>
    <n v="3"/>
    <x v="5"/>
    <s v="Facilities"/>
    <n v="31999.664268626431"/>
  </r>
  <r>
    <d v="2024-03-01T00:00:00"/>
    <x v="2"/>
    <n v="3"/>
    <x v="6"/>
    <s v="Administration"/>
    <n v="21626.088649451231"/>
  </r>
  <r>
    <d v="2024-03-01T00:00:00"/>
    <x v="2"/>
    <n v="3"/>
    <x v="7"/>
    <s v="Administration"/>
    <n v="28802.66691176745"/>
  </r>
  <r>
    <d v="2024-03-01T00:00:00"/>
    <x v="2"/>
    <n v="3"/>
    <x v="8"/>
    <s v="Administration"/>
    <n v="35954.169934747879"/>
  </r>
  <r>
    <d v="2024-03-01T00:00:00"/>
    <x v="2"/>
    <n v="3"/>
    <x v="9"/>
    <s v="Operations"/>
    <n v="25830.970445387418"/>
  </r>
  <r>
    <d v="2024-04-01T00:00:00"/>
    <x v="2"/>
    <n v="4"/>
    <x v="0"/>
    <s v="Personnel"/>
    <n v="394251.22135192802"/>
  </r>
  <r>
    <d v="2024-04-01T00:00:00"/>
    <x v="2"/>
    <n v="4"/>
    <x v="1"/>
    <s v="Facilities"/>
    <n v="109193.341474405"/>
  </r>
  <r>
    <d v="2024-04-01T00:00:00"/>
    <x v="2"/>
    <n v="4"/>
    <x v="2"/>
    <s v="Sales &amp; Marketing"/>
    <n v="142178.11605694881"/>
  </r>
  <r>
    <d v="2024-04-01T00:00:00"/>
    <x v="2"/>
    <n v="4"/>
    <x v="3"/>
    <s v="Technology"/>
    <n v="52985.710862406733"/>
  </r>
  <r>
    <d v="2024-04-01T00:00:00"/>
    <x v="2"/>
    <n v="4"/>
    <x v="4"/>
    <s v="Operations"/>
    <n v="139045.43565779991"/>
  </r>
  <r>
    <d v="2024-04-01T00:00:00"/>
    <x v="2"/>
    <n v="4"/>
    <x v="5"/>
    <s v="Facilities"/>
    <n v="34438.4646198888"/>
  </r>
  <r>
    <d v="2024-04-01T00:00:00"/>
    <x v="2"/>
    <n v="4"/>
    <x v="6"/>
    <s v="Administration"/>
    <n v="20771.53171068084"/>
  </r>
  <r>
    <d v="2024-04-01T00:00:00"/>
    <x v="2"/>
    <n v="4"/>
    <x v="7"/>
    <s v="Administration"/>
    <n v="29486.00360103391"/>
  </r>
  <r>
    <d v="2024-04-01T00:00:00"/>
    <x v="2"/>
    <n v="4"/>
    <x v="8"/>
    <s v="Administration"/>
    <n v="38437.609722015834"/>
  </r>
  <r>
    <d v="2024-04-01T00:00:00"/>
    <x v="2"/>
    <n v="4"/>
    <x v="9"/>
    <s v="Operations"/>
    <n v="25448.079629441989"/>
  </r>
  <r>
    <d v="2024-05-01T00:00:00"/>
    <x v="2"/>
    <n v="5"/>
    <x v="0"/>
    <s v="Personnel"/>
    <n v="381298.16659873212"/>
  </r>
  <r>
    <d v="2024-05-01T00:00:00"/>
    <x v="2"/>
    <n v="5"/>
    <x v="1"/>
    <s v="Facilities"/>
    <n v="110369.36579713"/>
  </r>
  <r>
    <d v="2024-05-01T00:00:00"/>
    <x v="2"/>
    <n v="5"/>
    <x v="2"/>
    <s v="Sales &amp; Marketing"/>
    <n v="144039.22451916721"/>
  </r>
  <r>
    <d v="2024-05-01T00:00:00"/>
    <x v="2"/>
    <n v="5"/>
    <x v="3"/>
    <s v="Technology"/>
    <n v="50729.090937489222"/>
  </r>
  <r>
    <d v="2024-05-01T00:00:00"/>
    <x v="2"/>
    <n v="5"/>
    <x v="4"/>
    <s v="Operations"/>
    <n v="137603.93353656039"/>
  </r>
  <r>
    <d v="2024-05-01T00:00:00"/>
    <x v="2"/>
    <n v="5"/>
    <x v="5"/>
    <s v="Facilities"/>
    <n v="32352.436444519721"/>
  </r>
  <r>
    <d v="2024-05-01T00:00:00"/>
    <x v="2"/>
    <n v="5"/>
    <x v="6"/>
    <s v="Administration"/>
    <n v="22585.159284308851"/>
  </r>
  <r>
    <d v="2024-05-01T00:00:00"/>
    <x v="2"/>
    <n v="5"/>
    <x v="7"/>
    <s v="Administration"/>
    <n v="29552.760489863562"/>
  </r>
  <r>
    <d v="2024-05-01T00:00:00"/>
    <x v="2"/>
    <n v="5"/>
    <x v="8"/>
    <s v="Administration"/>
    <n v="36748.810015652722"/>
  </r>
  <r>
    <d v="2024-05-01T00:00:00"/>
    <x v="2"/>
    <n v="5"/>
    <x v="9"/>
    <s v="Operations"/>
    <n v="26080.74810674525"/>
  </r>
  <r>
    <d v="2024-06-01T00:00:00"/>
    <x v="2"/>
    <n v="6"/>
    <x v="0"/>
    <s v="Personnel"/>
    <n v="433285.02715861698"/>
  </r>
  <r>
    <d v="2024-06-01T00:00:00"/>
    <x v="2"/>
    <n v="6"/>
    <x v="1"/>
    <s v="Facilities"/>
    <n v="122207.29933874409"/>
  </r>
  <r>
    <d v="2024-06-01T00:00:00"/>
    <x v="2"/>
    <n v="6"/>
    <x v="2"/>
    <s v="Sales &amp; Marketing"/>
    <n v="163655.80318527229"/>
  </r>
  <r>
    <d v="2024-06-01T00:00:00"/>
    <x v="2"/>
    <n v="6"/>
    <x v="3"/>
    <s v="Technology"/>
    <n v="58158.274146686817"/>
  </r>
  <r>
    <d v="2024-06-01T00:00:00"/>
    <x v="2"/>
    <n v="6"/>
    <x v="4"/>
    <s v="Operations"/>
    <n v="153671.19201333789"/>
  </r>
  <r>
    <d v="2024-06-01T00:00:00"/>
    <x v="2"/>
    <n v="6"/>
    <x v="5"/>
    <s v="Facilities"/>
    <n v="36918.22904035871"/>
  </r>
  <r>
    <d v="2024-06-01T00:00:00"/>
    <x v="2"/>
    <n v="6"/>
    <x v="6"/>
    <s v="Administration"/>
    <n v="24602.273107514338"/>
  </r>
  <r>
    <d v="2024-06-01T00:00:00"/>
    <x v="2"/>
    <n v="6"/>
    <x v="7"/>
    <s v="Administration"/>
    <n v="34996.889827985717"/>
  </r>
  <r>
    <d v="2024-06-01T00:00:00"/>
    <x v="2"/>
    <n v="6"/>
    <x v="8"/>
    <s v="Administration"/>
    <n v="38659.181658654743"/>
  </r>
  <r>
    <d v="2024-06-01T00:00:00"/>
    <x v="2"/>
    <n v="6"/>
    <x v="9"/>
    <s v="Operations"/>
    <n v="28947.26705667195"/>
  </r>
  <r>
    <d v="2024-07-01T00:00:00"/>
    <x v="2"/>
    <n v="7"/>
    <x v="0"/>
    <s v="Personnel"/>
    <n v="408500.64538319828"/>
  </r>
  <r>
    <d v="2024-07-01T00:00:00"/>
    <x v="2"/>
    <n v="7"/>
    <x v="1"/>
    <s v="Facilities"/>
    <n v="112228.2073893949"/>
  </r>
  <r>
    <d v="2024-07-01T00:00:00"/>
    <x v="2"/>
    <n v="7"/>
    <x v="2"/>
    <s v="Sales &amp; Marketing"/>
    <n v="151993.11162019341"/>
  </r>
  <r>
    <d v="2024-07-01T00:00:00"/>
    <x v="2"/>
    <n v="7"/>
    <x v="3"/>
    <s v="Technology"/>
    <n v="52344.421995105607"/>
  </r>
  <r>
    <d v="2024-07-01T00:00:00"/>
    <x v="2"/>
    <n v="7"/>
    <x v="4"/>
    <s v="Operations"/>
    <n v="139359.5928986131"/>
  </r>
  <r>
    <d v="2024-07-01T00:00:00"/>
    <x v="2"/>
    <n v="7"/>
    <x v="5"/>
    <s v="Facilities"/>
    <n v="31684.899927143211"/>
  </r>
  <r>
    <d v="2024-07-01T00:00:00"/>
    <x v="2"/>
    <n v="7"/>
    <x v="6"/>
    <s v="Administration"/>
    <n v="22492.416683702439"/>
  </r>
  <r>
    <d v="2024-07-01T00:00:00"/>
    <x v="2"/>
    <n v="7"/>
    <x v="7"/>
    <s v="Administration"/>
    <n v="29258.098943330519"/>
  </r>
  <r>
    <d v="2024-07-01T00:00:00"/>
    <x v="2"/>
    <n v="7"/>
    <x v="8"/>
    <s v="Administration"/>
    <n v="36549.566671130407"/>
  </r>
  <r>
    <d v="2024-07-01T00:00:00"/>
    <x v="2"/>
    <n v="7"/>
    <x v="9"/>
    <s v="Operations"/>
    <n v="25781.37950099411"/>
  </r>
  <r>
    <d v="2024-08-01T00:00:00"/>
    <x v="2"/>
    <n v="8"/>
    <x v="0"/>
    <s v="Personnel"/>
    <n v="423247.17190582567"/>
  </r>
  <r>
    <d v="2024-08-01T00:00:00"/>
    <x v="2"/>
    <n v="8"/>
    <x v="1"/>
    <s v="Facilities"/>
    <n v="122839.60201583229"/>
  </r>
  <r>
    <d v="2024-08-01T00:00:00"/>
    <x v="2"/>
    <n v="8"/>
    <x v="2"/>
    <s v="Sales &amp; Marketing"/>
    <n v="155336.54817287531"/>
  </r>
  <r>
    <d v="2024-08-01T00:00:00"/>
    <x v="2"/>
    <n v="8"/>
    <x v="3"/>
    <s v="Technology"/>
    <n v="53445.861037043738"/>
  </r>
  <r>
    <d v="2024-08-01T00:00:00"/>
    <x v="2"/>
    <n v="8"/>
    <x v="4"/>
    <s v="Operations"/>
    <n v="142453.09783237521"/>
  </r>
  <r>
    <d v="2024-08-01T00:00:00"/>
    <x v="2"/>
    <n v="8"/>
    <x v="5"/>
    <s v="Facilities"/>
    <n v="35169.143350585357"/>
  </r>
  <r>
    <d v="2024-08-01T00:00:00"/>
    <x v="2"/>
    <n v="8"/>
    <x v="6"/>
    <s v="Administration"/>
    <n v="24207.59419187851"/>
  </r>
  <r>
    <d v="2024-08-01T00:00:00"/>
    <x v="2"/>
    <n v="8"/>
    <x v="7"/>
    <s v="Administration"/>
    <n v="30708.451638725441"/>
  </r>
  <r>
    <d v="2024-08-01T00:00:00"/>
    <x v="2"/>
    <n v="8"/>
    <x v="8"/>
    <s v="Administration"/>
    <n v="36327.216591621327"/>
  </r>
  <r>
    <d v="2024-08-01T00:00:00"/>
    <x v="2"/>
    <n v="8"/>
    <x v="9"/>
    <s v="Operations"/>
    <n v="27489.983876409409"/>
  </r>
  <r>
    <d v="2024-09-01T00:00:00"/>
    <x v="2"/>
    <n v="9"/>
    <x v="0"/>
    <s v="Personnel"/>
    <n v="432915.40766697522"/>
  </r>
  <r>
    <d v="2024-09-01T00:00:00"/>
    <x v="2"/>
    <n v="9"/>
    <x v="1"/>
    <s v="Facilities"/>
    <n v="115930.3376453594"/>
  </r>
  <r>
    <d v="2024-09-01T00:00:00"/>
    <x v="2"/>
    <n v="9"/>
    <x v="2"/>
    <s v="Sales &amp; Marketing"/>
    <n v="161665.17973948439"/>
  </r>
  <r>
    <d v="2024-09-01T00:00:00"/>
    <x v="2"/>
    <n v="9"/>
    <x v="3"/>
    <s v="Technology"/>
    <n v="56969.747356193977"/>
  </r>
  <r>
    <d v="2024-09-01T00:00:00"/>
    <x v="2"/>
    <n v="9"/>
    <x v="4"/>
    <s v="Operations"/>
    <n v="152627.81188629559"/>
  </r>
  <r>
    <d v="2024-09-01T00:00:00"/>
    <x v="2"/>
    <n v="9"/>
    <x v="5"/>
    <s v="Facilities"/>
    <n v="35498.939715904788"/>
  </r>
  <r>
    <d v="2024-09-01T00:00:00"/>
    <x v="2"/>
    <n v="9"/>
    <x v="6"/>
    <s v="Administration"/>
    <n v="24756.45516834618"/>
  </r>
  <r>
    <d v="2024-09-01T00:00:00"/>
    <x v="2"/>
    <n v="9"/>
    <x v="7"/>
    <s v="Administration"/>
    <n v="31866.37586893226"/>
  </r>
  <r>
    <d v="2024-09-01T00:00:00"/>
    <x v="2"/>
    <n v="9"/>
    <x v="8"/>
    <s v="Administration"/>
    <n v="38744.70618917291"/>
  </r>
  <r>
    <d v="2024-09-01T00:00:00"/>
    <x v="2"/>
    <n v="9"/>
    <x v="9"/>
    <s v="Operations"/>
    <n v="26723.93476681957"/>
  </r>
  <r>
    <d v="2024-10-01T00:00:00"/>
    <x v="2"/>
    <n v="10"/>
    <x v="0"/>
    <s v="Personnel"/>
    <n v="466971.10970480042"/>
  </r>
  <r>
    <d v="2024-10-01T00:00:00"/>
    <x v="2"/>
    <n v="10"/>
    <x v="1"/>
    <s v="Facilities"/>
    <n v="131337.29064335581"/>
  </r>
  <r>
    <d v="2024-10-01T00:00:00"/>
    <x v="2"/>
    <n v="10"/>
    <x v="2"/>
    <s v="Sales &amp; Marketing"/>
    <n v="172836.96944723511"/>
  </r>
  <r>
    <d v="2024-10-01T00:00:00"/>
    <x v="2"/>
    <n v="10"/>
    <x v="3"/>
    <s v="Technology"/>
    <n v="59695.810329815133"/>
  </r>
  <r>
    <d v="2024-10-01T00:00:00"/>
    <x v="2"/>
    <n v="10"/>
    <x v="4"/>
    <s v="Operations"/>
    <n v="161668.08413900121"/>
  </r>
  <r>
    <d v="2024-10-01T00:00:00"/>
    <x v="2"/>
    <n v="10"/>
    <x v="5"/>
    <s v="Facilities"/>
    <n v="37759.432619899089"/>
  </r>
  <r>
    <d v="2024-10-01T00:00:00"/>
    <x v="2"/>
    <n v="10"/>
    <x v="6"/>
    <s v="Administration"/>
    <n v="25589.622098729869"/>
  </r>
  <r>
    <d v="2024-10-01T00:00:00"/>
    <x v="2"/>
    <n v="10"/>
    <x v="7"/>
    <s v="Administration"/>
    <n v="32663.408745105091"/>
  </r>
  <r>
    <d v="2024-10-01T00:00:00"/>
    <x v="2"/>
    <n v="10"/>
    <x v="8"/>
    <s v="Administration"/>
    <n v="42321.045230219861"/>
  </r>
  <r>
    <d v="2024-10-01T00:00:00"/>
    <x v="2"/>
    <n v="10"/>
    <x v="9"/>
    <s v="Operations"/>
    <n v="29945.490324347869"/>
  </r>
  <r>
    <d v="2024-11-01T00:00:00"/>
    <x v="2"/>
    <n v="11"/>
    <x v="0"/>
    <s v="Personnel"/>
    <n v="526365.63410390471"/>
  </r>
  <r>
    <d v="2024-11-01T00:00:00"/>
    <x v="2"/>
    <n v="11"/>
    <x v="1"/>
    <s v="Facilities"/>
    <n v="147983.75892413509"/>
  </r>
  <r>
    <d v="2024-11-01T00:00:00"/>
    <x v="2"/>
    <n v="11"/>
    <x v="2"/>
    <s v="Sales &amp; Marketing"/>
    <n v="237692.04038183161"/>
  </r>
  <r>
    <d v="2024-11-01T00:00:00"/>
    <x v="2"/>
    <n v="11"/>
    <x v="3"/>
    <s v="Technology"/>
    <n v="71459.666773896621"/>
  </r>
  <r>
    <d v="2024-11-01T00:00:00"/>
    <x v="2"/>
    <n v="11"/>
    <x v="4"/>
    <s v="Operations"/>
    <n v="215708.73400877809"/>
  </r>
  <r>
    <d v="2024-11-01T00:00:00"/>
    <x v="2"/>
    <n v="11"/>
    <x v="5"/>
    <s v="Facilities"/>
    <n v="44962.215852545312"/>
  </r>
  <r>
    <d v="2024-11-01T00:00:00"/>
    <x v="2"/>
    <n v="11"/>
    <x v="6"/>
    <s v="Administration"/>
    <n v="29635.109832289549"/>
  </r>
  <r>
    <d v="2024-11-01T00:00:00"/>
    <x v="2"/>
    <n v="11"/>
    <x v="7"/>
    <s v="Administration"/>
    <n v="38533.193425216406"/>
  </r>
  <r>
    <d v="2024-11-01T00:00:00"/>
    <x v="2"/>
    <n v="11"/>
    <x v="8"/>
    <s v="Administration"/>
    <n v="50290.61531928146"/>
  </r>
  <r>
    <d v="2024-11-01T00:00:00"/>
    <x v="2"/>
    <n v="11"/>
    <x v="9"/>
    <s v="Operations"/>
    <n v="36015.515821338369"/>
  </r>
  <r>
    <d v="2024-12-01T00:00:00"/>
    <x v="2"/>
    <n v="12"/>
    <x v="0"/>
    <s v="Personnel"/>
    <n v="606027.43318707636"/>
  </r>
  <r>
    <d v="2024-12-01T00:00:00"/>
    <x v="2"/>
    <n v="12"/>
    <x v="1"/>
    <s v="Facilities"/>
    <n v="179911.34511272679"/>
  </r>
  <r>
    <d v="2024-12-01T00:00:00"/>
    <x v="2"/>
    <n v="12"/>
    <x v="2"/>
    <s v="Sales &amp; Marketing"/>
    <n v="259811.63268600221"/>
  </r>
  <r>
    <d v="2024-12-01T00:00:00"/>
    <x v="2"/>
    <n v="12"/>
    <x v="3"/>
    <s v="Technology"/>
    <n v="77806.688726293723"/>
  </r>
  <r>
    <d v="2024-12-01T00:00:00"/>
    <x v="2"/>
    <n v="12"/>
    <x v="4"/>
    <s v="Operations"/>
    <n v="248767.35834713129"/>
  </r>
  <r>
    <d v="2024-12-01T00:00:00"/>
    <x v="2"/>
    <n v="12"/>
    <x v="5"/>
    <s v="Facilities"/>
    <n v="51845.011521869943"/>
  </r>
  <r>
    <d v="2024-12-01T00:00:00"/>
    <x v="2"/>
    <n v="12"/>
    <x v="6"/>
    <s v="Administration"/>
    <n v="35464.237281174013"/>
  </r>
  <r>
    <d v="2024-12-01T00:00:00"/>
    <x v="2"/>
    <n v="12"/>
    <x v="7"/>
    <s v="Administration"/>
    <n v="45764.253528393703"/>
  </r>
  <r>
    <d v="2024-12-01T00:00:00"/>
    <x v="2"/>
    <n v="12"/>
    <x v="8"/>
    <s v="Administration"/>
    <n v="55985.651429705147"/>
  </r>
  <r>
    <d v="2024-12-01T00:00:00"/>
    <x v="2"/>
    <n v="12"/>
    <x v="9"/>
    <s v="Operations"/>
    <n v="39845.306934753127"/>
  </r>
  <r>
    <d v="2025-01-01T00:00:00"/>
    <x v="3"/>
    <n v="1"/>
    <x v="0"/>
    <s v="Personnel"/>
    <n v="428160.70454750158"/>
  </r>
  <r>
    <d v="2025-01-01T00:00:00"/>
    <x v="3"/>
    <n v="1"/>
    <x v="1"/>
    <s v="Facilities"/>
    <n v="123616.70501621249"/>
  </r>
  <r>
    <d v="2025-01-01T00:00:00"/>
    <x v="3"/>
    <n v="1"/>
    <x v="2"/>
    <s v="Sales &amp; Marketing"/>
    <n v="173731.06562337431"/>
  </r>
  <r>
    <d v="2025-01-01T00:00:00"/>
    <x v="3"/>
    <n v="1"/>
    <x v="3"/>
    <s v="Technology"/>
    <n v="60657.975870465409"/>
  </r>
  <r>
    <d v="2025-01-01T00:00:00"/>
    <x v="3"/>
    <n v="1"/>
    <x v="4"/>
    <s v="Operations"/>
    <n v="162589.5775021544"/>
  </r>
  <r>
    <d v="2025-01-01T00:00:00"/>
    <x v="3"/>
    <n v="1"/>
    <x v="5"/>
    <s v="Facilities"/>
    <n v="36519.753338258277"/>
  </r>
  <r>
    <d v="2025-01-01T00:00:00"/>
    <x v="3"/>
    <n v="1"/>
    <x v="6"/>
    <s v="Administration"/>
    <n v="25213.202281225331"/>
  </r>
  <r>
    <d v="2025-01-01T00:00:00"/>
    <x v="3"/>
    <n v="1"/>
    <x v="7"/>
    <s v="Administration"/>
    <n v="32882.695936966084"/>
  </r>
  <r>
    <d v="2025-01-01T00:00:00"/>
    <x v="3"/>
    <n v="1"/>
    <x v="8"/>
    <s v="Administration"/>
    <n v="43649.110858631982"/>
  </r>
  <r>
    <d v="2025-01-01T00:00:00"/>
    <x v="3"/>
    <n v="1"/>
    <x v="9"/>
    <s v="Operations"/>
    <n v="29248.20868565841"/>
  </r>
  <r>
    <d v="2025-02-01T00:00:00"/>
    <x v="3"/>
    <n v="2"/>
    <x v="0"/>
    <s v="Personnel"/>
    <n v="360996.47095176647"/>
  </r>
  <r>
    <d v="2025-02-01T00:00:00"/>
    <x v="3"/>
    <n v="2"/>
    <x v="1"/>
    <s v="Facilities"/>
    <n v="106098.5870834128"/>
  </r>
  <r>
    <d v="2025-02-01T00:00:00"/>
    <x v="3"/>
    <n v="2"/>
    <x v="2"/>
    <s v="Sales &amp; Marketing"/>
    <n v="139097.185930376"/>
  </r>
  <r>
    <d v="2025-02-01T00:00:00"/>
    <x v="3"/>
    <n v="2"/>
    <x v="3"/>
    <s v="Technology"/>
    <n v="51311.055367408313"/>
  </r>
  <r>
    <d v="2025-02-01T00:00:00"/>
    <x v="3"/>
    <n v="2"/>
    <x v="4"/>
    <s v="Operations"/>
    <n v="131824.53772660141"/>
  </r>
  <r>
    <d v="2025-02-01T00:00:00"/>
    <x v="3"/>
    <n v="2"/>
    <x v="5"/>
    <s v="Facilities"/>
    <n v="30693.291505646412"/>
  </r>
  <r>
    <d v="2025-02-01T00:00:00"/>
    <x v="3"/>
    <n v="2"/>
    <x v="6"/>
    <s v="Administration"/>
    <n v="20062.667242361051"/>
  </r>
  <r>
    <d v="2025-02-01T00:00:00"/>
    <x v="3"/>
    <n v="2"/>
    <x v="7"/>
    <s v="Administration"/>
    <n v="28250.1368826133"/>
  </r>
  <r>
    <d v="2025-02-01T00:00:00"/>
    <x v="3"/>
    <n v="2"/>
    <x v="8"/>
    <s v="Administration"/>
    <n v="34843.40743710332"/>
  </r>
  <r>
    <d v="2025-02-01T00:00:00"/>
    <x v="3"/>
    <n v="2"/>
    <x v="9"/>
    <s v="Operations"/>
    <n v="23854.206790024829"/>
  </r>
  <r>
    <d v="2025-03-01T00:00:00"/>
    <x v="3"/>
    <n v="3"/>
    <x v="0"/>
    <s v="Personnel"/>
    <n v="453593.30219592078"/>
  </r>
  <r>
    <d v="2025-03-01T00:00:00"/>
    <x v="3"/>
    <n v="3"/>
    <x v="1"/>
    <s v="Facilities"/>
    <n v="127955.7204807626"/>
  </r>
  <r>
    <d v="2025-03-01T00:00:00"/>
    <x v="3"/>
    <n v="3"/>
    <x v="2"/>
    <s v="Sales &amp; Marketing"/>
    <n v="167690.01397099291"/>
  </r>
  <r>
    <d v="2025-03-01T00:00:00"/>
    <x v="3"/>
    <n v="3"/>
    <x v="3"/>
    <s v="Technology"/>
    <n v="60736.21007620098"/>
  </r>
  <r>
    <d v="2025-03-01T00:00:00"/>
    <x v="3"/>
    <n v="3"/>
    <x v="4"/>
    <s v="Operations"/>
    <n v="162058.47800682331"/>
  </r>
  <r>
    <d v="2025-03-01T00:00:00"/>
    <x v="3"/>
    <n v="3"/>
    <x v="5"/>
    <s v="Facilities"/>
    <n v="36980.176660553239"/>
  </r>
  <r>
    <d v="2025-03-01T00:00:00"/>
    <x v="3"/>
    <n v="3"/>
    <x v="6"/>
    <s v="Administration"/>
    <n v="24517.297084354239"/>
  </r>
  <r>
    <d v="2025-03-01T00:00:00"/>
    <x v="3"/>
    <n v="3"/>
    <x v="7"/>
    <s v="Administration"/>
    <n v="34247.999624967488"/>
  </r>
  <r>
    <d v="2025-03-01T00:00:00"/>
    <x v="3"/>
    <n v="3"/>
    <x v="8"/>
    <s v="Administration"/>
    <n v="42367.809113380958"/>
  </r>
  <r>
    <d v="2025-03-01T00:00:00"/>
    <x v="3"/>
    <n v="3"/>
    <x v="9"/>
    <s v="Operations"/>
    <n v="29491.09124540964"/>
  </r>
  <r>
    <d v="2025-04-01T00:00:00"/>
    <x v="3"/>
    <n v="4"/>
    <x v="0"/>
    <s v="Personnel"/>
    <n v="451131.86739503348"/>
  </r>
  <r>
    <d v="2025-04-01T00:00:00"/>
    <x v="3"/>
    <n v="4"/>
    <x v="1"/>
    <s v="Facilities"/>
    <n v="133682.90876361611"/>
  </r>
  <r>
    <d v="2025-04-01T00:00:00"/>
    <x v="3"/>
    <n v="4"/>
    <x v="2"/>
    <s v="Sales &amp; Marketing"/>
    <n v="172259.18821671931"/>
  </r>
  <r>
    <d v="2025-04-01T00:00:00"/>
    <x v="3"/>
    <n v="4"/>
    <x v="3"/>
    <s v="Technology"/>
    <n v="61294.696534823182"/>
  </r>
  <r>
    <d v="2025-04-01T00:00:00"/>
    <x v="3"/>
    <n v="4"/>
    <x v="4"/>
    <s v="Operations"/>
    <n v="172830.22874685869"/>
  </r>
  <r>
    <d v="2025-04-01T00:00:00"/>
    <x v="3"/>
    <n v="4"/>
    <x v="5"/>
    <s v="Facilities"/>
    <n v="38851.809235224056"/>
  </r>
  <r>
    <d v="2025-04-01T00:00:00"/>
    <x v="3"/>
    <n v="4"/>
    <x v="6"/>
    <s v="Administration"/>
    <n v="25300.636348235941"/>
  </r>
  <r>
    <d v="2025-04-01T00:00:00"/>
    <x v="3"/>
    <n v="4"/>
    <x v="7"/>
    <s v="Administration"/>
    <n v="34191.065820195123"/>
  </r>
  <r>
    <d v="2025-04-01T00:00:00"/>
    <x v="3"/>
    <n v="4"/>
    <x v="8"/>
    <s v="Administration"/>
    <n v="44984.930604481218"/>
  </r>
  <r>
    <d v="2025-04-01T00:00:00"/>
    <x v="3"/>
    <n v="4"/>
    <x v="9"/>
    <s v="Operations"/>
    <n v="30921.358261572481"/>
  </r>
  <r>
    <d v="2025-05-01T00:00:00"/>
    <x v="3"/>
    <n v="5"/>
    <x v="0"/>
    <s v="Personnel"/>
    <n v="458321.78101141262"/>
  </r>
  <r>
    <d v="2025-05-01T00:00:00"/>
    <x v="3"/>
    <n v="5"/>
    <x v="1"/>
    <s v="Facilities"/>
    <n v="129700.3321197824"/>
  </r>
  <r>
    <d v="2025-05-01T00:00:00"/>
    <x v="3"/>
    <n v="5"/>
    <x v="2"/>
    <s v="Sales &amp; Marketing"/>
    <n v="177288.56698000451"/>
  </r>
  <r>
    <d v="2025-05-01T00:00:00"/>
    <x v="3"/>
    <n v="5"/>
    <x v="3"/>
    <s v="Technology"/>
    <n v="60005.694391272773"/>
  </r>
  <r>
    <d v="2025-05-01T00:00:00"/>
    <x v="3"/>
    <n v="5"/>
    <x v="4"/>
    <s v="Operations"/>
    <n v="167676.58780480461"/>
  </r>
  <r>
    <d v="2025-05-01T00:00:00"/>
    <x v="3"/>
    <n v="5"/>
    <x v="5"/>
    <s v="Facilities"/>
    <n v="38691.206268423251"/>
  </r>
  <r>
    <d v="2025-05-01T00:00:00"/>
    <x v="3"/>
    <n v="5"/>
    <x v="6"/>
    <s v="Administration"/>
    <n v="25684.832550501538"/>
  </r>
  <r>
    <d v="2025-05-01T00:00:00"/>
    <x v="3"/>
    <n v="5"/>
    <x v="7"/>
    <s v="Administration"/>
    <n v="34474.306076801549"/>
  </r>
  <r>
    <d v="2025-05-01T00:00:00"/>
    <x v="3"/>
    <n v="5"/>
    <x v="8"/>
    <s v="Administration"/>
    <n v="43379.799803069007"/>
  </r>
  <r>
    <d v="2025-05-01T00:00:00"/>
    <x v="3"/>
    <n v="5"/>
    <x v="9"/>
    <s v="Operations"/>
    <n v="30616.12893286976"/>
  </r>
  <r>
    <d v="2025-06-01T00:00:00"/>
    <x v="3"/>
    <n v="6"/>
    <x v="0"/>
    <s v="Personnel"/>
    <n v="518386.75766911329"/>
  </r>
  <r>
    <d v="2025-06-01T00:00:00"/>
    <x v="3"/>
    <n v="6"/>
    <x v="1"/>
    <s v="Facilities"/>
    <n v="133666.54722282331"/>
  </r>
  <r>
    <d v="2025-06-01T00:00:00"/>
    <x v="3"/>
    <n v="6"/>
    <x v="2"/>
    <s v="Sales &amp; Marketing"/>
    <n v="192360.97262088521"/>
  </r>
  <r>
    <d v="2025-06-01T00:00:00"/>
    <x v="3"/>
    <n v="6"/>
    <x v="3"/>
    <s v="Technology"/>
    <n v="68041.101925488678"/>
  </r>
  <r>
    <d v="2025-06-01T00:00:00"/>
    <x v="3"/>
    <n v="6"/>
    <x v="4"/>
    <s v="Operations"/>
    <n v="193526.45363837041"/>
  </r>
  <r>
    <d v="2025-06-01T00:00:00"/>
    <x v="3"/>
    <n v="6"/>
    <x v="5"/>
    <s v="Facilities"/>
    <n v="42980.452775078338"/>
  </r>
  <r>
    <d v="2025-06-01T00:00:00"/>
    <x v="3"/>
    <n v="6"/>
    <x v="6"/>
    <s v="Administration"/>
    <n v="29568.607383498809"/>
  </r>
  <r>
    <d v="2025-06-01T00:00:00"/>
    <x v="3"/>
    <n v="6"/>
    <x v="7"/>
    <s v="Administration"/>
    <n v="40732.563895281477"/>
  </r>
  <r>
    <d v="2025-06-01T00:00:00"/>
    <x v="3"/>
    <n v="6"/>
    <x v="8"/>
    <s v="Administration"/>
    <n v="47470.202139572793"/>
  </r>
  <r>
    <d v="2025-06-01T00:00:00"/>
    <x v="3"/>
    <n v="6"/>
    <x v="9"/>
    <s v="Operations"/>
    <n v="34695.273000563611"/>
  </r>
  <r>
    <d v="2025-07-01T00:00:00"/>
    <x v="3"/>
    <n v="7"/>
    <x v="0"/>
    <s v="Personnel"/>
    <n v="529361.75922411424"/>
  </r>
  <r>
    <d v="2025-07-01T00:00:00"/>
    <x v="3"/>
    <n v="7"/>
    <x v="1"/>
    <s v="Facilities"/>
    <n v="152394.6670349747"/>
  </r>
  <r>
    <d v="2025-07-01T00:00:00"/>
    <x v="3"/>
    <n v="7"/>
    <x v="2"/>
    <s v="Sales &amp; Marketing"/>
    <n v="201657.30613525811"/>
  </r>
  <r>
    <d v="2025-07-01T00:00:00"/>
    <x v="3"/>
    <n v="7"/>
    <x v="3"/>
    <s v="Technology"/>
    <n v="70708.360132893009"/>
  </r>
  <r>
    <d v="2025-07-01T00:00:00"/>
    <x v="3"/>
    <n v="7"/>
    <x v="4"/>
    <s v="Operations"/>
    <n v="208802.9587294095"/>
  </r>
  <r>
    <d v="2025-07-01T00:00:00"/>
    <x v="3"/>
    <n v="7"/>
    <x v="5"/>
    <s v="Facilities"/>
    <n v="47280.057201397853"/>
  </r>
  <r>
    <d v="2025-07-01T00:00:00"/>
    <x v="3"/>
    <n v="7"/>
    <x v="6"/>
    <s v="Administration"/>
    <n v="31718.5849860696"/>
  </r>
  <r>
    <d v="2025-07-01T00:00:00"/>
    <x v="3"/>
    <n v="7"/>
    <x v="7"/>
    <s v="Administration"/>
    <n v="41664.052940584013"/>
  </r>
  <r>
    <d v="2025-07-01T00:00:00"/>
    <x v="3"/>
    <n v="7"/>
    <x v="8"/>
    <s v="Administration"/>
    <n v="49381.334802497251"/>
  </r>
  <r>
    <d v="2025-07-01T00:00:00"/>
    <x v="3"/>
    <n v="7"/>
    <x v="9"/>
    <s v="Operations"/>
    <n v="36368.682600448607"/>
  </r>
  <r>
    <d v="2025-08-01T00:00:00"/>
    <x v="3"/>
    <n v="8"/>
    <x v="0"/>
    <s v="Personnel"/>
    <n v="497781.7742656378"/>
  </r>
  <r>
    <d v="2025-08-01T00:00:00"/>
    <x v="3"/>
    <n v="8"/>
    <x v="1"/>
    <s v="Facilities"/>
    <n v="135553.05821114109"/>
  </r>
  <r>
    <d v="2025-08-01T00:00:00"/>
    <x v="3"/>
    <n v="8"/>
    <x v="2"/>
    <s v="Sales &amp; Marketing"/>
    <n v="189134.35601028439"/>
  </r>
  <r>
    <d v="2025-08-01T00:00:00"/>
    <x v="3"/>
    <n v="8"/>
    <x v="3"/>
    <s v="Technology"/>
    <n v="65775.282776321284"/>
  </r>
  <r>
    <d v="2025-08-01T00:00:00"/>
    <x v="3"/>
    <n v="8"/>
    <x v="4"/>
    <s v="Operations"/>
    <n v="183566.8435067301"/>
  </r>
  <r>
    <d v="2025-08-01T00:00:00"/>
    <x v="3"/>
    <n v="8"/>
    <x v="5"/>
    <s v="Facilities"/>
    <n v="41118.440615597203"/>
  </r>
  <r>
    <d v="2025-08-01T00:00:00"/>
    <x v="3"/>
    <n v="8"/>
    <x v="6"/>
    <s v="Administration"/>
    <n v="26941.485248891091"/>
  </r>
  <r>
    <d v="2025-08-01T00:00:00"/>
    <x v="3"/>
    <n v="8"/>
    <x v="7"/>
    <s v="Administration"/>
    <n v="36601.577728121752"/>
  </r>
  <r>
    <d v="2025-08-01T00:00:00"/>
    <x v="3"/>
    <n v="8"/>
    <x v="8"/>
    <s v="Administration"/>
    <n v="47826.361177248233"/>
  </r>
  <r>
    <d v="2025-08-01T00:00:00"/>
    <x v="3"/>
    <n v="8"/>
    <x v="9"/>
    <s v="Operations"/>
    <n v="30841.276765529929"/>
  </r>
  <r>
    <d v="2025-09-01T00:00:00"/>
    <x v="3"/>
    <n v="9"/>
    <x v="0"/>
    <s v="Personnel"/>
    <n v="511147.60287865083"/>
  </r>
  <r>
    <d v="2025-09-01T00:00:00"/>
    <x v="3"/>
    <n v="9"/>
    <x v="1"/>
    <s v="Facilities"/>
    <n v="154349.898829607"/>
  </r>
  <r>
    <d v="2025-09-01T00:00:00"/>
    <x v="3"/>
    <n v="9"/>
    <x v="2"/>
    <s v="Sales &amp; Marketing"/>
    <n v="203068.90964188971"/>
  </r>
  <r>
    <d v="2025-09-01T00:00:00"/>
    <x v="3"/>
    <n v="9"/>
    <x v="3"/>
    <s v="Technology"/>
    <n v="71883.21827296431"/>
  </r>
  <r>
    <d v="2025-09-01T00:00:00"/>
    <x v="3"/>
    <n v="9"/>
    <x v="4"/>
    <s v="Operations"/>
    <n v="199684.04615706069"/>
  </r>
  <r>
    <d v="2025-09-01T00:00:00"/>
    <x v="3"/>
    <n v="9"/>
    <x v="5"/>
    <s v="Facilities"/>
    <n v="45563.472994422962"/>
  </r>
  <r>
    <d v="2025-09-01T00:00:00"/>
    <x v="3"/>
    <n v="9"/>
    <x v="6"/>
    <s v="Administration"/>
    <n v="29358.874843221169"/>
  </r>
  <r>
    <d v="2025-09-01T00:00:00"/>
    <x v="3"/>
    <n v="9"/>
    <x v="7"/>
    <s v="Administration"/>
    <n v="43167.269412401307"/>
  </r>
  <r>
    <d v="2025-09-01T00:00:00"/>
    <x v="3"/>
    <n v="9"/>
    <x v="8"/>
    <s v="Administration"/>
    <n v="50055.41428950616"/>
  </r>
  <r>
    <d v="2025-09-01T00:00:00"/>
    <x v="3"/>
    <n v="9"/>
    <x v="9"/>
    <s v="Operations"/>
    <n v="34983.26300598638"/>
  </r>
  <r>
    <d v="2025-10-01T00:00:00"/>
    <x v="3"/>
    <n v="10"/>
    <x v="0"/>
    <s v="Personnel"/>
    <n v="529751.57959481538"/>
  </r>
  <r>
    <d v="2025-10-01T00:00:00"/>
    <x v="3"/>
    <n v="10"/>
    <x v="1"/>
    <s v="Facilities"/>
    <n v="145877.51221667309"/>
  </r>
  <r>
    <d v="2025-10-01T00:00:00"/>
    <x v="3"/>
    <n v="10"/>
    <x v="2"/>
    <s v="Sales &amp; Marketing"/>
    <n v="196079.87563432439"/>
  </r>
  <r>
    <d v="2025-10-01T00:00:00"/>
    <x v="3"/>
    <n v="10"/>
    <x v="3"/>
    <s v="Technology"/>
    <n v="69566.524254468444"/>
  </r>
  <r>
    <d v="2025-10-01T00:00:00"/>
    <x v="3"/>
    <n v="10"/>
    <x v="4"/>
    <s v="Operations"/>
    <n v="191625.69491608819"/>
  </r>
  <r>
    <d v="2025-10-01T00:00:00"/>
    <x v="3"/>
    <n v="10"/>
    <x v="5"/>
    <s v="Facilities"/>
    <n v="43819.624767709043"/>
  </r>
  <r>
    <d v="2025-10-01T00:00:00"/>
    <x v="3"/>
    <n v="10"/>
    <x v="6"/>
    <s v="Administration"/>
    <n v="30578.059813412568"/>
  </r>
  <r>
    <d v="2025-10-01T00:00:00"/>
    <x v="3"/>
    <n v="10"/>
    <x v="7"/>
    <s v="Administration"/>
    <n v="37180.960673155823"/>
  </r>
  <r>
    <d v="2025-10-01T00:00:00"/>
    <x v="3"/>
    <n v="10"/>
    <x v="8"/>
    <s v="Administration"/>
    <n v="50030.373025478802"/>
  </r>
  <r>
    <d v="2025-10-01T00:00:00"/>
    <x v="3"/>
    <n v="10"/>
    <x v="9"/>
    <s v="Operations"/>
    <n v="33647.11211360513"/>
  </r>
  <r>
    <d v="2025-11-01T00:00:00"/>
    <x v="3"/>
    <n v="11"/>
    <x v="0"/>
    <s v="Personnel"/>
    <n v="707442.05220497039"/>
  </r>
  <r>
    <d v="2025-11-01T00:00:00"/>
    <x v="3"/>
    <n v="11"/>
    <x v="1"/>
    <s v="Facilities"/>
    <n v="196115.96588784581"/>
  </r>
  <r>
    <d v="2025-11-01T00:00:00"/>
    <x v="3"/>
    <n v="11"/>
    <x v="2"/>
    <s v="Sales &amp; Marketing"/>
    <n v="302291.59418533911"/>
  </r>
  <r>
    <d v="2025-11-01T00:00:00"/>
    <x v="3"/>
    <n v="11"/>
    <x v="3"/>
    <s v="Technology"/>
    <n v="92708.160436542123"/>
  </r>
  <r>
    <d v="2025-11-01T00:00:00"/>
    <x v="3"/>
    <n v="11"/>
    <x v="4"/>
    <s v="Operations"/>
    <n v="283429.33693297527"/>
  </r>
  <r>
    <d v="2025-11-01T00:00:00"/>
    <x v="3"/>
    <n v="11"/>
    <x v="5"/>
    <s v="Facilities"/>
    <n v="59567.401896677307"/>
  </r>
  <r>
    <d v="2025-11-01T00:00:00"/>
    <x v="3"/>
    <n v="11"/>
    <x v="6"/>
    <s v="Administration"/>
    <n v="38078.27360132389"/>
  </r>
  <r>
    <d v="2025-11-01T00:00:00"/>
    <x v="3"/>
    <n v="11"/>
    <x v="7"/>
    <s v="Administration"/>
    <n v="51481.949498248061"/>
  </r>
  <r>
    <d v="2025-11-01T00:00:00"/>
    <x v="3"/>
    <n v="11"/>
    <x v="8"/>
    <s v="Administration"/>
    <n v="65134.034144377933"/>
  </r>
  <r>
    <d v="2025-11-01T00:00:00"/>
    <x v="3"/>
    <n v="11"/>
    <x v="9"/>
    <s v="Operations"/>
    <n v="45551.432356751837"/>
  </r>
  <r>
    <d v="2025-12-01T00:00:00"/>
    <x v="3"/>
    <n v="12"/>
    <x v="0"/>
    <s v="Personnel"/>
    <n v="757051.76779472025"/>
  </r>
  <r>
    <d v="2025-12-01T00:00:00"/>
    <x v="3"/>
    <n v="12"/>
    <x v="1"/>
    <s v="Facilities"/>
    <n v="201625.70227670571"/>
  </r>
  <r>
    <d v="2025-12-01T00:00:00"/>
    <x v="3"/>
    <n v="12"/>
    <x v="2"/>
    <s v="Sales &amp; Marketing"/>
    <n v="336843.51646254119"/>
  </r>
  <r>
    <d v="2025-12-01T00:00:00"/>
    <x v="3"/>
    <n v="12"/>
    <x v="3"/>
    <s v="Technology"/>
    <n v="98364.752839679495"/>
  </r>
  <r>
    <d v="2025-12-01T00:00:00"/>
    <x v="3"/>
    <n v="12"/>
    <x v="4"/>
    <s v="Operations"/>
    <n v="294898.32719376829"/>
  </r>
  <r>
    <d v="2025-12-01T00:00:00"/>
    <x v="3"/>
    <n v="12"/>
    <x v="5"/>
    <s v="Facilities"/>
    <n v="62513.91148028009"/>
  </r>
  <r>
    <d v="2025-12-01T00:00:00"/>
    <x v="3"/>
    <n v="12"/>
    <x v="6"/>
    <s v="Administration"/>
    <n v="42236.413983789877"/>
  </r>
  <r>
    <d v="2025-12-01T00:00:00"/>
    <x v="3"/>
    <n v="12"/>
    <x v="7"/>
    <s v="Administration"/>
    <n v="51521.654656177059"/>
  </r>
  <r>
    <d v="2025-12-01T00:00:00"/>
    <x v="3"/>
    <n v="12"/>
    <x v="8"/>
    <s v="Administration"/>
    <n v="69532.793524802561"/>
  </r>
  <r>
    <d v="2025-12-01T00:00:00"/>
    <x v="3"/>
    <n v="12"/>
    <x v="9"/>
    <s v="Operations"/>
    <n v="48456.799267424802"/>
  </r>
  <r>
    <d v="2026-01-01T00:00:00"/>
    <x v="4"/>
    <n v="1"/>
    <x v="0"/>
    <s v="Personnel"/>
    <n v="518824.39269763499"/>
  </r>
  <r>
    <d v="2026-01-01T00:00:00"/>
    <x v="4"/>
    <n v="1"/>
    <x v="1"/>
    <s v="Facilities"/>
    <n v="143341.1053328946"/>
  </r>
  <r>
    <d v="2026-01-01T00:00:00"/>
    <x v="4"/>
    <n v="1"/>
    <x v="2"/>
    <s v="Sales &amp; Marketing"/>
    <n v="194000.46590692029"/>
  </r>
  <r>
    <d v="2026-01-01T00:00:00"/>
    <x v="4"/>
    <n v="1"/>
    <x v="3"/>
    <s v="Technology"/>
    <n v="70899.470292370679"/>
  </r>
  <r>
    <d v="2026-01-01T00:00:00"/>
    <x v="4"/>
    <n v="1"/>
    <x v="4"/>
    <s v="Operations"/>
    <n v="189903.19820768581"/>
  </r>
  <r>
    <d v="2026-01-01T00:00:00"/>
    <x v="4"/>
    <n v="1"/>
    <x v="5"/>
    <s v="Facilities"/>
    <n v="44876.047285557543"/>
  </r>
  <r>
    <d v="2026-01-01T00:00:00"/>
    <x v="4"/>
    <n v="1"/>
    <x v="6"/>
    <s v="Administration"/>
    <n v="28891.78737395479"/>
  </r>
  <r>
    <d v="2026-01-01T00:00:00"/>
    <x v="4"/>
    <n v="1"/>
    <x v="7"/>
    <s v="Administration"/>
    <n v="39539.472914190257"/>
  </r>
  <r>
    <d v="2026-01-01T00:00:00"/>
    <x v="4"/>
    <n v="1"/>
    <x v="8"/>
    <s v="Administration"/>
    <n v="48477.217675485474"/>
  </r>
  <r>
    <d v="2026-01-01T00:00:00"/>
    <x v="4"/>
    <n v="1"/>
    <x v="9"/>
    <s v="Operations"/>
    <n v="33966.312585897103"/>
  </r>
  <r>
    <d v="2026-02-01T00:00:00"/>
    <x v="4"/>
    <n v="2"/>
    <x v="0"/>
    <s v="Personnel"/>
    <n v="491780.68745767721"/>
  </r>
  <r>
    <d v="2026-02-01T00:00:00"/>
    <x v="4"/>
    <n v="2"/>
    <x v="1"/>
    <s v="Facilities"/>
    <n v="137008.43827873009"/>
  </r>
  <r>
    <d v="2026-02-01T00:00:00"/>
    <x v="4"/>
    <n v="2"/>
    <x v="2"/>
    <s v="Sales &amp; Marketing"/>
    <n v="192367.43834394959"/>
  </r>
  <r>
    <d v="2026-02-01T00:00:00"/>
    <x v="4"/>
    <n v="2"/>
    <x v="3"/>
    <s v="Technology"/>
    <n v="64646.14748175261"/>
  </r>
  <r>
    <d v="2026-02-01T00:00:00"/>
    <x v="4"/>
    <n v="2"/>
    <x v="4"/>
    <s v="Operations"/>
    <n v="178896.84809230591"/>
  </r>
  <r>
    <d v="2026-02-01T00:00:00"/>
    <x v="4"/>
    <n v="2"/>
    <x v="5"/>
    <s v="Facilities"/>
    <n v="43243.657757299552"/>
  </r>
  <r>
    <d v="2026-02-01T00:00:00"/>
    <x v="4"/>
    <n v="2"/>
    <x v="6"/>
    <s v="Administration"/>
    <n v="28534.28362763764"/>
  </r>
  <r>
    <d v="2026-02-01T00:00:00"/>
    <x v="4"/>
    <n v="2"/>
    <x v="7"/>
    <s v="Administration"/>
    <n v="35782.743208310218"/>
  </r>
  <r>
    <d v="2026-02-01T00:00:00"/>
    <x v="4"/>
    <n v="2"/>
    <x v="8"/>
    <s v="Administration"/>
    <n v="46877.066223833019"/>
  </r>
  <r>
    <d v="2026-02-01T00:00:00"/>
    <x v="4"/>
    <n v="2"/>
    <x v="9"/>
    <s v="Operations"/>
    <n v="33143.201019022403"/>
  </r>
  <r>
    <d v="2026-03-01T00:00:00"/>
    <x v="4"/>
    <n v="3"/>
    <x v="0"/>
    <s v="Personnel"/>
    <n v="568988.98469937558"/>
  </r>
  <r>
    <d v="2026-03-01T00:00:00"/>
    <x v="4"/>
    <n v="3"/>
    <x v="1"/>
    <s v="Facilities"/>
    <n v="154596.64487459211"/>
  </r>
  <r>
    <d v="2026-03-01T00:00:00"/>
    <x v="4"/>
    <n v="3"/>
    <x v="2"/>
    <s v="Sales &amp; Marketing"/>
    <n v="208547.379739175"/>
  </r>
  <r>
    <d v="2026-03-01T00:00:00"/>
    <x v="4"/>
    <n v="3"/>
    <x v="3"/>
    <s v="Technology"/>
    <n v="76055.72468411189"/>
  </r>
  <r>
    <d v="2026-03-01T00:00:00"/>
    <x v="4"/>
    <n v="3"/>
    <x v="4"/>
    <s v="Operations"/>
    <n v="197592.6446847936"/>
  </r>
  <r>
    <d v="2026-03-01T00:00:00"/>
    <x v="4"/>
    <n v="3"/>
    <x v="5"/>
    <s v="Facilities"/>
    <n v="47349.348040359982"/>
  </r>
  <r>
    <d v="2026-03-01T00:00:00"/>
    <x v="4"/>
    <n v="3"/>
    <x v="6"/>
    <s v="Administration"/>
    <n v="33057.523801273077"/>
  </r>
  <r>
    <d v="2026-03-01T00:00:00"/>
    <x v="4"/>
    <n v="3"/>
    <x v="7"/>
    <s v="Administration"/>
    <n v="42355.357972336467"/>
  </r>
  <r>
    <d v="2026-03-01T00:00:00"/>
    <x v="4"/>
    <n v="3"/>
    <x v="8"/>
    <s v="Administration"/>
    <n v="52044.427744587098"/>
  </r>
  <r>
    <d v="2026-03-01T00:00:00"/>
    <x v="4"/>
    <n v="3"/>
    <x v="9"/>
    <s v="Operations"/>
    <n v="36291.172430523977"/>
  </r>
  <r>
    <d v="2026-04-01T00:00:00"/>
    <x v="4"/>
    <n v="4"/>
    <x v="0"/>
    <s v="Personnel"/>
    <n v="599523.14568919037"/>
  </r>
  <r>
    <d v="2026-04-01T00:00:00"/>
    <x v="4"/>
    <n v="4"/>
    <x v="1"/>
    <s v="Facilities"/>
    <n v="164217.41897457201"/>
  </r>
  <r>
    <d v="2026-04-01T00:00:00"/>
    <x v="4"/>
    <n v="4"/>
    <x v="2"/>
    <s v="Sales &amp; Marketing"/>
    <n v="225105.12404107509"/>
  </r>
  <r>
    <d v="2026-04-01T00:00:00"/>
    <x v="4"/>
    <n v="4"/>
    <x v="3"/>
    <s v="Technology"/>
    <n v="79937.432595929771"/>
  </r>
  <r>
    <d v="2026-04-01T00:00:00"/>
    <x v="4"/>
    <n v="4"/>
    <x v="4"/>
    <s v="Operations"/>
    <n v="222169.2041309975"/>
  </r>
  <r>
    <d v="2026-04-01T00:00:00"/>
    <x v="4"/>
    <n v="4"/>
    <x v="5"/>
    <s v="Facilities"/>
    <n v="51814.301691123997"/>
  </r>
  <r>
    <d v="2026-04-01T00:00:00"/>
    <x v="4"/>
    <n v="4"/>
    <x v="6"/>
    <s v="Administration"/>
    <n v="33369.330556014582"/>
  </r>
  <r>
    <d v="2026-04-01T00:00:00"/>
    <x v="4"/>
    <n v="4"/>
    <x v="7"/>
    <s v="Administration"/>
    <n v="46635.733292626617"/>
  </r>
  <r>
    <d v="2026-04-01T00:00:00"/>
    <x v="4"/>
    <n v="4"/>
    <x v="8"/>
    <s v="Administration"/>
    <n v="56202.413150520413"/>
  </r>
  <r>
    <d v="2026-04-01T00:00:00"/>
    <x v="4"/>
    <n v="4"/>
    <x v="9"/>
    <s v="Operations"/>
    <n v="38413.962081655212"/>
  </r>
  <r>
    <d v="2026-05-01T00:00:00"/>
    <x v="4"/>
    <n v="5"/>
    <x v="0"/>
    <s v="Personnel"/>
    <n v="580832.21898120083"/>
  </r>
  <r>
    <d v="2026-05-01T00:00:00"/>
    <x v="4"/>
    <n v="5"/>
    <x v="1"/>
    <s v="Facilities"/>
    <n v="172661.36358939891"/>
  </r>
  <r>
    <d v="2026-05-01T00:00:00"/>
    <x v="4"/>
    <n v="5"/>
    <x v="2"/>
    <s v="Sales &amp; Marketing"/>
    <n v="223143.22759696969"/>
  </r>
  <r>
    <d v="2026-05-01T00:00:00"/>
    <x v="4"/>
    <n v="5"/>
    <x v="3"/>
    <s v="Technology"/>
    <n v="77803.173631978629"/>
  </r>
  <r>
    <d v="2026-05-01T00:00:00"/>
    <x v="4"/>
    <n v="5"/>
    <x v="4"/>
    <s v="Operations"/>
    <n v="219754.90981276991"/>
  </r>
  <r>
    <d v="2026-05-01T00:00:00"/>
    <x v="4"/>
    <n v="5"/>
    <x v="5"/>
    <s v="Facilities"/>
    <n v="48211.455710638307"/>
  </r>
  <r>
    <d v="2026-05-01T00:00:00"/>
    <x v="4"/>
    <n v="5"/>
    <x v="6"/>
    <s v="Administration"/>
    <n v="32262.4352203739"/>
  </r>
  <r>
    <d v="2026-05-01T00:00:00"/>
    <x v="4"/>
    <n v="5"/>
    <x v="7"/>
    <s v="Administration"/>
    <n v="42649.633844437732"/>
  </r>
  <r>
    <d v="2026-05-01T00:00:00"/>
    <x v="4"/>
    <n v="5"/>
    <x v="8"/>
    <s v="Administration"/>
    <n v="56073.877634857701"/>
  </r>
  <r>
    <d v="2026-05-01T00:00:00"/>
    <x v="4"/>
    <n v="5"/>
    <x v="9"/>
    <s v="Operations"/>
    <n v="39051.283115230857"/>
  </r>
  <r>
    <d v="2026-06-01T00:00:00"/>
    <x v="4"/>
    <n v="6"/>
    <x v="0"/>
    <s v="Personnel"/>
    <n v="645594.53394030745"/>
  </r>
  <r>
    <d v="2026-06-01T00:00:00"/>
    <x v="4"/>
    <n v="6"/>
    <x v="1"/>
    <s v="Facilities"/>
    <n v="178686.67861084049"/>
  </r>
  <r>
    <d v="2026-06-01T00:00:00"/>
    <x v="4"/>
    <n v="6"/>
    <x v="2"/>
    <s v="Sales &amp; Marketing"/>
    <n v="234414.8007565772"/>
  </r>
  <r>
    <d v="2026-06-01T00:00:00"/>
    <x v="4"/>
    <n v="6"/>
    <x v="3"/>
    <s v="Technology"/>
    <n v="82886.339469513841"/>
  </r>
  <r>
    <d v="2026-06-01T00:00:00"/>
    <x v="4"/>
    <n v="6"/>
    <x v="4"/>
    <s v="Operations"/>
    <n v="225629.11989844241"/>
  </r>
  <r>
    <d v="2026-06-01T00:00:00"/>
    <x v="4"/>
    <n v="6"/>
    <x v="5"/>
    <s v="Facilities"/>
    <n v="51054.828107749367"/>
  </r>
  <r>
    <d v="2026-06-01T00:00:00"/>
    <x v="4"/>
    <n v="6"/>
    <x v="6"/>
    <s v="Administration"/>
    <n v="37927.973611948153"/>
  </r>
  <r>
    <d v="2026-06-01T00:00:00"/>
    <x v="4"/>
    <n v="6"/>
    <x v="7"/>
    <s v="Administration"/>
    <n v="47977.044103580738"/>
  </r>
  <r>
    <d v="2026-06-01T00:00:00"/>
    <x v="4"/>
    <n v="6"/>
    <x v="8"/>
    <s v="Administration"/>
    <n v="59512.693819333523"/>
  </r>
  <r>
    <d v="2026-06-01T00:00:00"/>
    <x v="4"/>
    <n v="6"/>
    <x v="9"/>
    <s v="Operations"/>
    <n v="42078.6402248839"/>
  </r>
  <r>
    <d v="2026-07-01T00:00:00"/>
    <x v="4"/>
    <n v="7"/>
    <x v="0"/>
    <s v="Personnel"/>
    <n v="667405.45221902675"/>
  </r>
  <r>
    <d v="2026-07-01T00:00:00"/>
    <x v="4"/>
    <n v="7"/>
    <x v="1"/>
    <s v="Facilities"/>
    <n v="186705.94682390301"/>
  </r>
  <r>
    <d v="2026-07-01T00:00:00"/>
    <x v="4"/>
    <n v="7"/>
    <x v="2"/>
    <s v="Sales &amp; Marketing"/>
    <n v="245876.68392122621"/>
  </r>
  <r>
    <d v="2026-07-01T00:00:00"/>
    <x v="4"/>
    <n v="7"/>
    <x v="3"/>
    <s v="Technology"/>
    <n v="88747.029552356558"/>
  </r>
  <r>
    <d v="2026-07-01T00:00:00"/>
    <x v="4"/>
    <n v="7"/>
    <x v="4"/>
    <s v="Operations"/>
    <n v="239616.63254240141"/>
  </r>
  <r>
    <d v="2026-07-01T00:00:00"/>
    <x v="4"/>
    <n v="7"/>
    <x v="5"/>
    <s v="Facilities"/>
    <n v="55071.210578809711"/>
  </r>
  <r>
    <d v="2026-07-01T00:00:00"/>
    <x v="4"/>
    <n v="7"/>
    <x v="6"/>
    <s v="Administration"/>
    <n v="38802.246075045681"/>
  </r>
  <r>
    <d v="2026-07-01T00:00:00"/>
    <x v="4"/>
    <n v="7"/>
    <x v="7"/>
    <s v="Administration"/>
    <n v="50330.241890768353"/>
  </r>
  <r>
    <d v="2026-07-01T00:00:00"/>
    <x v="4"/>
    <n v="7"/>
    <x v="8"/>
    <s v="Administration"/>
    <n v="63594.289041225798"/>
  </r>
  <r>
    <d v="2026-07-01T00:00:00"/>
    <x v="4"/>
    <n v="7"/>
    <x v="9"/>
    <s v="Operations"/>
    <n v="45239.651819788502"/>
  </r>
  <r>
    <d v="2026-08-01T00:00:00"/>
    <x v="4"/>
    <n v="8"/>
    <x v="0"/>
    <s v="Personnel"/>
    <n v="618009.34453848354"/>
  </r>
  <r>
    <d v="2026-08-01T00:00:00"/>
    <x v="4"/>
    <n v="8"/>
    <x v="1"/>
    <s v="Facilities"/>
    <n v="177875.8989680614"/>
  </r>
  <r>
    <d v="2026-08-01T00:00:00"/>
    <x v="4"/>
    <n v="8"/>
    <x v="2"/>
    <s v="Sales &amp; Marketing"/>
    <n v="240068.42186227589"/>
  </r>
  <r>
    <d v="2026-08-01T00:00:00"/>
    <x v="4"/>
    <n v="8"/>
    <x v="3"/>
    <s v="Technology"/>
    <n v="80863.759218422521"/>
  </r>
  <r>
    <d v="2026-08-01T00:00:00"/>
    <x v="4"/>
    <n v="8"/>
    <x v="4"/>
    <s v="Operations"/>
    <n v="223840.26528352359"/>
  </r>
  <r>
    <d v="2026-08-01T00:00:00"/>
    <x v="4"/>
    <n v="8"/>
    <x v="5"/>
    <s v="Facilities"/>
    <n v="53109.431674305073"/>
  </r>
  <r>
    <d v="2026-08-01T00:00:00"/>
    <x v="4"/>
    <n v="8"/>
    <x v="6"/>
    <s v="Administration"/>
    <n v="34451.891021784533"/>
  </r>
  <r>
    <d v="2026-08-01T00:00:00"/>
    <x v="4"/>
    <n v="8"/>
    <x v="7"/>
    <s v="Administration"/>
    <n v="49787.412399530724"/>
  </r>
  <r>
    <d v="2026-08-01T00:00:00"/>
    <x v="4"/>
    <n v="8"/>
    <x v="8"/>
    <s v="Administration"/>
    <n v="56756.211557198149"/>
  </r>
  <r>
    <d v="2026-08-01T00:00:00"/>
    <x v="4"/>
    <n v="8"/>
    <x v="9"/>
    <s v="Operations"/>
    <n v="39841.753506029992"/>
  </r>
  <r>
    <d v="2026-09-01T00:00:00"/>
    <x v="4"/>
    <n v="9"/>
    <x v="0"/>
    <s v="Personnel"/>
    <n v="678956.35780506034"/>
  </r>
  <r>
    <d v="2026-09-01T00:00:00"/>
    <x v="4"/>
    <n v="9"/>
    <x v="1"/>
    <s v="Facilities"/>
    <n v="191165.77134469469"/>
  </r>
  <r>
    <d v="2026-09-01T00:00:00"/>
    <x v="4"/>
    <n v="9"/>
    <x v="2"/>
    <s v="Sales &amp; Marketing"/>
    <n v="243999.14112142051"/>
  </r>
  <r>
    <d v="2026-09-01T00:00:00"/>
    <x v="4"/>
    <n v="9"/>
    <x v="3"/>
    <s v="Technology"/>
    <n v="88978.476536844479"/>
  </r>
  <r>
    <d v="2026-09-01T00:00:00"/>
    <x v="4"/>
    <n v="9"/>
    <x v="4"/>
    <s v="Operations"/>
    <n v="246631.22135235369"/>
  </r>
  <r>
    <d v="2026-09-01T00:00:00"/>
    <x v="4"/>
    <n v="9"/>
    <x v="5"/>
    <s v="Facilities"/>
    <n v="56302.377308449337"/>
  </r>
  <r>
    <d v="2026-09-01T00:00:00"/>
    <x v="4"/>
    <n v="9"/>
    <x v="6"/>
    <s v="Administration"/>
    <n v="40003.849300150308"/>
  </r>
  <r>
    <d v="2026-09-01T00:00:00"/>
    <x v="4"/>
    <n v="9"/>
    <x v="7"/>
    <s v="Administration"/>
    <n v="47925.733119642056"/>
  </r>
  <r>
    <d v="2026-09-01T00:00:00"/>
    <x v="4"/>
    <n v="9"/>
    <x v="8"/>
    <s v="Administration"/>
    <n v="63691.493100397827"/>
  </r>
  <r>
    <d v="2026-09-01T00:00:00"/>
    <x v="4"/>
    <n v="9"/>
    <x v="9"/>
    <s v="Operations"/>
    <n v="45101.939387107981"/>
  </r>
  <r>
    <d v="2026-10-01T00:00:00"/>
    <x v="4"/>
    <n v="10"/>
    <x v="0"/>
    <s v="Personnel"/>
    <n v="734407.06522666418"/>
  </r>
  <r>
    <d v="2026-10-01T00:00:00"/>
    <x v="4"/>
    <n v="10"/>
    <x v="1"/>
    <s v="Facilities"/>
    <n v="204208.09695025641"/>
  </r>
  <r>
    <d v="2026-10-01T00:00:00"/>
    <x v="4"/>
    <n v="10"/>
    <x v="2"/>
    <s v="Sales &amp; Marketing"/>
    <n v="271688.47324070358"/>
  </r>
  <r>
    <d v="2026-10-01T00:00:00"/>
    <x v="4"/>
    <n v="10"/>
    <x v="3"/>
    <s v="Technology"/>
    <n v="96850.052282200631"/>
  </r>
  <r>
    <d v="2026-10-01T00:00:00"/>
    <x v="4"/>
    <n v="10"/>
    <x v="4"/>
    <s v="Operations"/>
    <n v="265294.09826707758"/>
  </r>
  <r>
    <d v="2026-10-01T00:00:00"/>
    <x v="4"/>
    <n v="10"/>
    <x v="5"/>
    <s v="Facilities"/>
    <n v="62504.482462530177"/>
  </r>
  <r>
    <d v="2026-10-01T00:00:00"/>
    <x v="4"/>
    <n v="10"/>
    <x v="6"/>
    <s v="Administration"/>
    <n v="42118.740749819583"/>
  </r>
  <r>
    <d v="2026-10-01T00:00:00"/>
    <x v="4"/>
    <n v="10"/>
    <x v="7"/>
    <s v="Administration"/>
    <n v="53340.928994534923"/>
  </r>
  <r>
    <d v="2026-10-01T00:00:00"/>
    <x v="4"/>
    <n v="10"/>
    <x v="8"/>
    <s v="Administration"/>
    <n v="68029.314498462802"/>
  </r>
  <r>
    <d v="2026-10-01T00:00:00"/>
    <x v="4"/>
    <n v="10"/>
    <x v="9"/>
    <s v="Operations"/>
    <n v="46767.727233608413"/>
  </r>
  <r>
    <d v="2026-11-01T00:00:00"/>
    <x v="4"/>
    <n v="11"/>
    <x v="0"/>
    <s v="Personnel"/>
    <n v="832683.29279080092"/>
  </r>
  <r>
    <d v="2026-11-01T00:00:00"/>
    <x v="4"/>
    <n v="11"/>
    <x v="1"/>
    <s v="Facilities"/>
    <n v="246325.5156217101"/>
  </r>
  <r>
    <d v="2026-11-01T00:00:00"/>
    <x v="4"/>
    <n v="11"/>
    <x v="2"/>
    <s v="Sales &amp; Marketing"/>
    <n v="378979.67742715537"/>
  </r>
  <r>
    <d v="2026-11-01T00:00:00"/>
    <x v="4"/>
    <n v="11"/>
    <x v="3"/>
    <s v="Technology"/>
    <n v="119412.7355150623"/>
  </r>
  <r>
    <d v="2026-11-01T00:00:00"/>
    <x v="4"/>
    <n v="11"/>
    <x v="4"/>
    <s v="Operations"/>
    <n v="342451.85593737342"/>
  </r>
  <r>
    <d v="2026-11-01T00:00:00"/>
    <x v="4"/>
    <n v="11"/>
    <x v="5"/>
    <s v="Facilities"/>
    <n v="72176.065691505341"/>
  </r>
  <r>
    <d v="2026-11-01T00:00:00"/>
    <x v="4"/>
    <n v="11"/>
    <x v="6"/>
    <s v="Administration"/>
    <n v="48173.21946556378"/>
  </r>
  <r>
    <d v="2026-11-01T00:00:00"/>
    <x v="4"/>
    <n v="11"/>
    <x v="7"/>
    <s v="Administration"/>
    <n v="63039.439888630892"/>
  </r>
  <r>
    <d v="2026-11-01T00:00:00"/>
    <x v="4"/>
    <n v="11"/>
    <x v="8"/>
    <s v="Administration"/>
    <n v="79960.347870646845"/>
  </r>
  <r>
    <d v="2026-11-01T00:00:00"/>
    <x v="4"/>
    <n v="11"/>
    <x v="9"/>
    <s v="Operations"/>
    <n v="57633.697607176087"/>
  </r>
  <r>
    <d v="2026-12-01T00:00:00"/>
    <x v="4"/>
    <n v="12"/>
    <x v="0"/>
    <s v="Personnel"/>
    <n v="826762.97621794778"/>
  </r>
  <r>
    <d v="2026-12-01T00:00:00"/>
    <x v="4"/>
    <n v="12"/>
    <x v="1"/>
    <s v="Facilities"/>
    <n v="230874.4337413958"/>
  </r>
  <r>
    <d v="2026-12-01T00:00:00"/>
    <x v="4"/>
    <n v="12"/>
    <x v="2"/>
    <s v="Sales &amp; Marketing"/>
    <n v="362022.95846600621"/>
  </r>
  <r>
    <d v="2026-12-01T00:00:00"/>
    <x v="4"/>
    <n v="12"/>
    <x v="3"/>
    <s v="Technology"/>
    <n v="108684.6909717516"/>
  </r>
  <r>
    <d v="2026-12-01T00:00:00"/>
    <x v="4"/>
    <n v="12"/>
    <x v="4"/>
    <s v="Operations"/>
    <n v="334779.53471488872"/>
  </r>
  <r>
    <d v="2026-12-01T00:00:00"/>
    <x v="4"/>
    <n v="12"/>
    <x v="5"/>
    <s v="Facilities"/>
    <n v="72772.648897084116"/>
  </r>
  <r>
    <d v="2026-12-01T00:00:00"/>
    <x v="4"/>
    <n v="12"/>
    <x v="6"/>
    <s v="Administration"/>
    <n v="45530.632043280028"/>
  </r>
  <r>
    <d v="2026-12-01T00:00:00"/>
    <x v="4"/>
    <n v="12"/>
    <x v="7"/>
    <s v="Administration"/>
    <n v="62310.268138844673"/>
  </r>
  <r>
    <d v="2026-12-01T00:00:00"/>
    <x v="4"/>
    <n v="12"/>
    <x v="8"/>
    <s v="Administration"/>
    <n v="78798.883892172686"/>
  </r>
  <r>
    <d v="2026-12-01T00:00:00"/>
    <x v="4"/>
    <n v="12"/>
    <x v="9"/>
    <s v="Operations"/>
    <n v="52441.3788765716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BFC808-85C8-412F-A567-225D510F365C}" name="PivotTable7" cacheId="0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outline="1" outlineData="1" multipleFieldFilters="0" rowHeaderCaption="Channel">
  <location ref="A32:F36" firstHeaderRow="1" firstDataRow="2" firstDataCol="1"/>
  <pivotFields count="11">
    <pivotField showAll="0"/>
    <pivotField numFmtId="17"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numFmtId="4" showAll="0"/>
    <pivotField showAll="0"/>
    <pivotField numFmtId="4" showAll="0"/>
    <pivotField numFmtId="4" showAll="0"/>
  </pivotFields>
  <rowFields count="1">
    <field x="5"/>
  </rowFields>
  <rowItems count="3">
    <i>
      <x/>
    </i>
    <i>
      <x v="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>
      <x v="4"/>
    </i>
  </colItems>
  <dataFields count="1">
    <dataField name="Revenue By Channel" fld="7" baseField="0" baseItem="0" numFmtId="4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5CF09-9270-4781-99A7-CBD58FEE5AAD}" name="PivotTable4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>
  <location ref="A53:D61" firstHeaderRow="0" firstDataRow="1" firstDataCol="1"/>
  <pivotFields count="11">
    <pivotField showAll="0"/>
    <pivotField numFmtId="17"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6"/>
        <item x="4"/>
        <item x="0"/>
        <item x="5"/>
        <item t="default"/>
      </items>
    </pivotField>
    <pivotField dataField="1" numFmtId="4" showAll="0"/>
    <pivotField showAll="0"/>
    <pivotField dataField="1" numFmtId="4" showAll="0"/>
    <pivotField dataField="1" numFmtId="4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7" baseField="0" baseItem="0" numFmtId="4"/>
    <dataField name="Sum of COGS" fld="9" baseField="0" baseItem="0" numFmtId="4"/>
    <dataField name="Sum of Gross_Profit" fld="10" baseField="0" baseItem="0" numFmtId="4"/>
  </dataFields>
  <formats count="6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6" type="button" dataOnly="0" labelOnly="1" outline="0" axis="axisRow" fieldPosition="0"/>
    </format>
    <format dxfId="25">
      <pivotArea dataOnly="0" labelOnly="1" fieldPosition="0">
        <references count="1">
          <reference field="6" count="0"/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58195-3D51-4FC8-A131-89B6E56AF745}" name="PivotTable8" cacheId="0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outline="1" outlineData="1" multipleFieldFilters="0">
  <location ref="A118:G125" firstHeaderRow="1" firstDataRow="3" firstDataCol="1"/>
  <pivotFields count="11">
    <pivotField showAll="0"/>
    <pivotField numFmtId="17" showAll="0"/>
    <pivotField axis="axisCol" multipleItemSelectionAllowed="1" showAll="0">
      <items count="6">
        <item x="0"/>
        <item h="1" x="1"/>
        <item h="1" x="2"/>
        <item h="1" x="3"/>
        <item x="4"/>
        <item t="default"/>
      </items>
    </pivotField>
    <pivotField showAll="0"/>
    <pivotField axis="axisRow" showAll="0">
      <items count="5">
        <item x="3"/>
        <item x="0"/>
        <item x="2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dataField="1" numFmtId="4" showAll="0"/>
    <pivotField showAll="0"/>
    <pivotField numFmtId="4" showAll="0"/>
    <pivotField numFmtId="4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2">
    <field x="5"/>
    <field x="2"/>
  </colFields>
  <colItems count="6">
    <i>
      <x/>
      <x/>
    </i>
    <i r="1">
      <x v="4"/>
    </i>
    <i t="default">
      <x/>
    </i>
    <i>
      <x v="1"/>
      <x/>
    </i>
    <i r="1">
      <x v="4"/>
    </i>
    <i t="default">
      <x v="1"/>
    </i>
  </colItems>
  <dataFields count="1">
    <dataField name="Sum of Revenue" fld="7" baseField="0" baseItem="0" numFmtId="4"/>
  </dataFields>
  <formats count="8">
    <format dxfId="36">
      <pivotArea outline="0" collapsedLevelsAreSubtotals="1" fieldPosition="0"/>
    </format>
    <format dxfId="35">
      <pivotArea field="4" type="button" dataOnly="0" labelOnly="1" outline="0" axis="axisRow" fieldPosition="0"/>
    </format>
    <format dxfId="34">
      <pivotArea dataOnly="0" labelOnly="1" fieldPosition="0">
        <references count="1">
          <reference field="4" count="0"/>
        </references>
      </pivotArea>
    </format>
    <format dxfId="33">
      <pivotArea dataOnly="0" labelOnly="1" grandRow="1" outline="0" fieldPosition="0"/>
    </format>
    <format dxfId="32">
      <pivotArea dataOnly="0" labelOnly="1" offset="IV256" fieldPosition="0">
        <references count="1">
          <reference field="5" count="1" defaultSubtotal="1">
            <x v="0"/>
          </reference>
        </references>
      </pivotArea>
    </format>
    <format dxfId="31">
      <pivotArea dataOnly="0" labelOnly="1" offset="IV256" fieldPosition="0">
        <references count="1">
          <reference field="5" count="1" defaultSubtotal="1">
            <x v="1"/>
          </reference>
        </references>
      </pivotArea>
    </format>
    <format dxfId="30">
      <pivotArea dataOnly="0" labelOnly="1" fieldPosition="0">
        <references count="2">
          <reference field="2" count="0"/>
          <reference field="5" count="1" selected="0">
            <x v="0"/>
          </reference>
        </references>
      </pivotArea>
    </format>
    <format dxfId="29">
      <pivotArea dataOnly="0" labelOnly="1" fieldPosition="0">
        <references count="2">
          <reference field="2" count="0"/>
          <reference field="5" count="1" selected="0">
            <x v="1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E8464-5CEA-4BC2-BEE5-785B96C7140E}" name="PivotTable1" cacheId="0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outline="1" outlineData="1" multipleFieldFilters="0" rowHeaderCaption="Category">
  <location ref="A13:F22" firstHeaderRow="1" firstDataRow="2" firstDataCol="1"/>
  <pivotFields count="11">
    <pivotField showAll="0"/>
    <pivotField numFmtId="17"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axis="axisRow" showAll="0">
      <items count="8">
        <item x="1"/>
        <item x="2"/>
        <item x="3"/>
        <item x="6"/>
        <item x="4"/>
        <item x="0"/>
        <item x="5"/>
        <item t="default"/>
      </items>
    </pivotField>
    <pivotField dataField="1" numFmtId="4" showAll="0"/>
    <pivotField showAll="0"/>
    <pivotField numFmtId="4" showAll="0"/>
    <pivotField numFmtId="4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>
      <x v="4"/>
    </i>
  </colItems>
  <dataFields count="1">
    <dataField name="Revenue By Category" fld="7" baseField="0" baseItem="0" numFmtId="4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D0BF5-A9D2-4DEE-96AA-99536B73EB5D}" name="PivotTable6" cacheId="0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outline="1" outlineData="1" multipleFieldFilters="0" rowHeaderCaption="Province">
  <location ref="A24:F30" firstHeaderRow="1" firstDataRow="2" firstDataCol="1"/>
  <pivotFields count="11">
    <pivotField showAll="0"/>
    <pivotField numFmtId="17"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dataField="1" numFmtId="4" showAll="0"/>
    <pivotField showAll="0"/>
    <pivotField numFmtId="4" showAll="0"/>
    <pivotField numFmtId="4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>
      <x v="4"/>
    </i>
  </colItems>
  <dataFields count="1">
    <dataField name="Revenue By Province" fld="7" baseField="0" baseItem="0" numFmtId="4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4DE951-7E25-4E53-8031-978287DAB6ED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6:G88" firstHeaderRow="1" firstDataRow="2" firstDataCol="1"/>
  <pivotFields count="6">
    <pivotField numFmtId="17"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>
      <items count="11">
        <item x="6"/>
        <item x="4"/>
        <item x="2"/>
        <item x="8"/>
        <item x="7"/>
        <item x="1"/>
        <item x="9"/>
        <item x="0"/>
        <item x="3"/>
        <item x="5"/>
        <item t="default"/>
      </items>
    </pivotField>
    <pivotField showAll="0"/>
    <pivotField dataField="1" numFmtId="4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" fld="5" baseField="0" baseItem="0" numFmtId="4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5A2E1-DF75-4C18-9E81-B240331BD83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E51" firstHeaderRow="0" firstDataRow="1" firstDataCol="1"/>
  <pivotFields count="14">
    <pivotField numFmtId="17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numFmtId="4" showAll="0"/>
    <pivotField numFmtId="4" showAll="0"/>
    <pivotField dataField="1" numFmtId="4" showAll="0"/>
    <pivotField numFmtId="4" showAll="0"/>
    <pivotField dataField="1" numFmtId="4" showAll="0"/>
    <pivotField numFmtId="4" showAll="0"/>
    <pivotField numFmtId="4" showAll="0"/>
    <pivotField numFmtId="4" showAll="0"/>
    <pivotField numFmtId="4" showAll="0"/>
    <pivotField numFmtId="4" showAll="0"/>
    <pivotField dataField="1" numFmtId="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evenue" fld="3" baseField="0" baseItem="0" numFmtId="4"/>
    <dataField name="Sum of Gross_Profit" fld="5" baseField="0" baseItem="0" numFmtId="4"/>
    <dataField name="Sum of EBITDA" fld="7" baseField="0" baseItem="0" numFmtId="4"/>
    <dataField name="Sum of Net_Profit" fld="13" baseField="0" baseItem="0" numFmtId="4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D619D08-1B00-480F-9FEE-CA18AE1A8F33}" name="Table14" displayName="Table14" ref="A94:E104" totalsRowShown="0" headerRowDxfId="22" headerRowBorderDxfId="21" tableBorderDxfId="20" totalsRowBorderDxfId="19">
  <autoFilter ref="A94:E104" xr:uid="{BD619D08-1B00-480F-9FEE-CA18AE1A8F33}"/>
  <tableColumns count="5">
    <tableColumn id="1" xr3:uid="{A2D66CDB-386B-4802-A7C8-C11587335430}" name="Expense Type" dataDxfId="18"/>
    <tableColumn id="2" xr3:uid="{B7CA5593-A807-42F6-913E-04D2F68C9D79}" name="2022" dataDxfId="17" dataCellStyle="Comma">
      <calculatedColumnFormula>VLOOKUP(A95,A76:$G$88,2,FALSE)</calculatedColumnFormula>
    </tableColumn>
    <tableColumn id="3" xr3:uid="{C03BD666-9F32-4196-98A3-4A1D6DCB43DC}" name="2026" dataDxfId="16" dataCellStyle="Comma">
      <calculatedColumnFormula>VLOOKUP(A95,$A$76:$G$88,6,FALSE)</calculatedColumnFormula>
    </tableColumn>
    <tableColumn id="4" xr3:uid="{98D26261-8DC2-4D1E-94AA-819F2425F962}" name="Increase R" dataDxfId="15">
      <calculatedColumnFormula>C95-B95</calculatedColumnFormula>
    </tableColumn>
    <tableColumn id="5" xr3:uid="{7B493C5C-C841-433A-B88B-75F7FF95D87D}" name="Growth %" dataDxfId="14" dataCellStyle="Percent">
      <calculatedColumnFormula>(C95-B95)/B95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428FBAF-BCB1-476A-AA3C-4BB0A62263FA}" name="Table15" displayName="Table15" ref="A90:E92" totalsRowShown="0" headerRowDxfId="13" headerRowBorderDxfId="12" tableBorderDxfId="11" totalsRowBorderDxfId="10">
  <autoFilter ref="A90:E92" xr:uid="{9428FBAF-BCB1-476A-AA3C-4BB0A62263FA}"/>
  <tableColumns count="5">
    <tableColumn id="1" xr3:uid="{2A35EBC0-3484-4CE5-8480-CAAAE236B4DA}" name="Metric" dataDxfId="9"/>
    <tableColumn id="2" xr3:uid="{52BA757E-4C77-4FB9-AC2C-BCA5DE5DA574}" name="2022">
      <calculatedColumnFormula>GETPIVOTDATA("Amount",$A$76,"Year",2022)</calculatedColumnFormula>
    </tableColumn>
    <tableColumn id="3" xr3:uid="{A5C557B5-EFC7-410E-9520-07CE27FA78BB}" name="2026">
      <calculatedColumnFormula>GETPIVOTDATA("Amount",$A$76,"Year",2026)</calculatedColumnFormula>
    </tableColumn>
    <tableColumn id="4" xr3:uid="{F0F161FA-F810-4BC6-89C8-07B2D1077510}" name="Growth %" dataDxfId="8" dataCellStyle="Percent">
      <calculatedColumnFormula>(C91-B91)/B91</calculatedColumnFormula>
    </tableColumn>
    <tableColumn id="5" xr3:uid="{D9A60465-A9E3-40EB-8FA4-A1CEC923D18B}" name="Column1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FE669A9-6177-410A-8598-66370BF0AD96}" name="Table16" displayName="Table16" ref="A66:D71" totalsRowShown="0" headerRowDxfId="7" headerRowBorderDxfId="6" tableBorderDxfId="5" totalsRowBorderDxfId="4">
  <autoFilter ref="A66:D71" xr:uid="{3FE669A9-6177-410A-8598-66370BF0AD96}"/>
  <tableColumns count="4">
    <tableColumn id="1" xr3:uid="{1EDFF4E6-8298-46D4-B0C7-4ECBEB650EEE}" name="Year" dataDxfId="3"/>
    <tableColumn id="2" xr3:uid="{AE2701F8-1EEB-4EB5-9760-0548A62A4879}" name="Gross Margin" dataDxfId="2" dataCellStyle="Percent">
      <calculatedColumnFormula>C46/B46</calculatedColumnFormula>
    </tableColumn>
    <tableColumn id="3" xr3:uid="{C09FC54E-9C45-4A8B-BCF1-6FB391201CF7}" name="EBITDA Margin" dataDxfId="1" dataCellStyle="Percent">
      <calculatedColumnFormula>D46/B46</calculatedColumnFormula>
    </tableColumn>
    <tableColumn id="4" xr3:uid="{8A64AAA0-89BB-4FE0-9CE9-5342632C23DF}" name="Net Profit Margin" dataDxfId="0" dataCellStyle="Percent">
      <calculatedColumnFormula>E46/B46</calculatedColumnFormula>
    </tableColumn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CompanyInfo" displayName="T_CompanyInfo" ref="A1:B7">
  <autoFilter ref="A1:B7" xr:uid="{00000000-0009-0000-0100-000001000000}"/>
  <tableColumns count="2">
    <tableColumn id="1" xr3:uid="{00000000-0010-0000-0000-000001000000}" name="Field"/>
    <tableColumn id="2" xr3:uid="{00000000-0010-0000-0000-000002000000}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Products" displayName="T_Products" ref="A1:C11">
  <autoFilter ref="A1:C11" xr:uid="{00000000-0009-0000-0100-000002000000}"/>
  <tableColumns count="3">
    <tableColumn id="1" xr3:uid="{00000000-0010-0000-0100-000001000000}" name="Product_ID"/>
    <tableColumn id="2" xr3:uid="{00000000-0010-0000-0100-000002000000}" name="Category"/>
    <tableColumn id="3" xr3:uid="{00000000-0010-0000-0100-000003000000}" name="Subcategor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Regions" displayName="T_Regions" ref="A1:D5">
  <autoFilter ref="A1:D5" xr:uid="{00000000-0009-0000-0100-000003000000}"/>
  <tableColumns count="4">
    <tableColumn id="1" xr3:uid="{00000000-0010-0000-0200-000001000000}" name="Region_ID"/>
    <tableColumn id="2" xr3:uid="{00000000-0010-0000-0200-000002000000}" name="Province"/>
    <tableColumn id="3" xr3:uid="{00000000-0010-0000-0200-000003000000}" name="City"/>
    <tableColumn id="4" xr3:uid="{00000000-0010-0000-0200-000004000000}" name="Sto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Channels" displayName="T_Channels" ref="A1:B3">
  <autoFilter ref="A1:B3" xr:uid="{00000000-0009-0000-0100-000004000000}"/>
  <tableColumns count="2">
    <tableColumn id="1" xr3:uid="{00000000-0010-0000-0300-000001000000}" name="Channel"/>
    <tableColumn id="2" xr3:uid="{00000000-0010-0000-0300-000002000000}" name="Channel_Typ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SalesData" displayName="T_SalesData" ref="A1:K3361">
  <autoFilter ref="A1:K3361" xr:uid="{00000000-0009-0000-0100-000005000000}"/>
  <tableColumns count="11">
    <tableColumn id="1" xr3:uid="{00000000-0010-0000-0400-000001000000}" name="Order_ID"/>
    <tableColumn id="2" xr3:uid="{00000000-0010-0000-0400-000002000000}" name="Month"/>
    <tableColumn id="3" xr3:uid="{00000000-0010-0000-0400-000003000000}" name="Year"/>
    <tableColumn id="4" xr3:uid="{00000000-0010-0000-0400-000004000000}" name="Month_No"/>
    <tableColumn id="5" xr3:uid="{00000000-0010-0000-0400-000005000000}" name="Province"/>
    <tableColumn id="6" xr3:uid="{00000000-0010-0000-0400-000006000000}" name="Channel"/>
    <tableColumn id="7" xr3:uid="{00000000-0010-0000-0400-000007000000}" name="Category"/>
    <tableColumn id="8" xr3:uid="{00000000-0010-0000-0400-000008000000}" name="Revenue"/>
    <tableColumn id="9" xr3:uid="{00000000-0010-0000-0400-000009000000}" name="Units_Sold"/>
    <tableColumn id="10" xr3:uid="{00000000-0010-0000-0400-00000A000000}" name="COGS"/>
    <tableColumn id="11" xr3:uid="{00000000-0010-0000-0400-00000B000000}" name="Gross_Profi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ExpensesData" displayName="T_ExpensesData" ref="A1:F601">
  <autoFilter ref="A1:F601" xr:uid="{00000000-0009-0000-0100-000006000000}"/>
  <tableColumns count="6">
    <tableColumn id="1" xr3:uid="{00000000-0010-0000-0500-000001000000}" name="Month"/>
    <tableColumn id="2" xr3:uid="{00000000-0010-0000-0500-000002000000}" name="Year"/>
    <tableColumn id="3" xr3:uid="{00000000-0010-0000-0500-000003000000}" name="Month_No"/>
    <tableColumn id="4" xr3:uid="{00000000-0010-0000-0500-000004000000}" name="Expense_Type"/>
    <tableColumn id="5" xr3:uid="{00000000-0010-0000-0500-000005000000}" name="Department"/>
    <tableColumn id="6" xr3:uid="{00000000-0010-0000-0500-000006000000}" name="Amou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IncomeStatement" displayName="T_IncomeStatement" ref="A1:N61">
  <autoFilter ref="A1:N61" xr:uid="{00000000-0009-0000-0100-000007000000}"/>
  <tableColumns count="14">
    <tableColumn id="1" xr3:uid="{00000000-0010-0000-0600-000001000000}" name="Month"/>
    <tableColumn id="2" xr3:uid="{00000000-0010-0000-0600-000002000000}" name="Year"/>
    <tableColumn id="3" xr3:uid="{00000000-0010-0000-0600-000003000000}" name="Month_No"/>
    <tableColumn id="4" xr3:uid="{00000000-0010-0000-0600-000004000000}" name="Revenue"/>
    <tableColumn id="5" xr3:uid="{00000000-0010-0000-0600-000005000000}" name="Cost_of_Sales"/>
    <tableColumn id="6" xr3:uid="{00000000-0010-0000-0600-000006000000}" name="Gross_Profit"/>
    <tableColumn id="7" xr3:uid="{00000000-0010-0000-0600-000007000000}" name="Operating_Expenses"/>
    <tableColumn id="8" xr3:uid="{00000000-0010-0000-0600-000008000000}" name="EBITDA"/>
    <tableColumn id="9" xr3:uid="{00000000-0010-0000-0600-000009000000}" name="Depreciation"/>
    <tableColumn id="10" xr3:uid="{00000000-0010-0000-0600-00000A000000}" name="Operating_Profit"/>
    <tableColumn id="11" xr3:uid="{00000000-0010-0000-0600-00000B000000}" name="Interest_Expense"/>
    <tableColumn id="12" xr3:uid="{00000000-0010-0000-0600-00000C000000}" name="Profit_Before_Tax"/>
    <tableColumn id="13" xr3:uid="{00000000-0010-0000-0600-00000D000000}" name="Tax"/>
    <tableColumn id="14" xr3:uid="{00000000-0010-0000-0600-00000E000000}" name="Net_Profi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AnnualSummary" displayName="T_AnnualSummary" ref="A1:S6">
  <autoFilter ref="A1:S6" xr:uid="{00000000-0009-0000-0100-000008000000}"/>
  <tableColumns count="19">
    <tableColumn id="1" xr3:uid="{00000000-0010-0000-0700-000001000000}" name="Year"/>
    <tableColumn id="2" xr3:uid="{00000000-0010-0000-0700-000002000000}" name="Month_No"/>
    <tableColumn id="3" xr3:uid="{00000000-0010-0000-0700-000003000000}" name="Revenue"/>
    <tableColumn id="4" xr3:uid="{00000000-0010-0000-0700-000004000000}" name="Cost_of_Sales"/>
    <tableColumn id="5" xr3:uid="{00000000-0010-0000-0700-000005000000}" name="Gross_Profit"/>
    <tableColumn id="6" xr3:uid="{00000000-0010-0000-0700-000006000000}" name="Operating_Expenses"/>
    <tableColumn id="7" xr3:uid="{00000000-0010-0000-0700-000007000000}" name="EBITDA"/>
    <tableColumn id="8" xr3:uid="{00000000-0010-0000-0700-000008000000}" name="Depreciation"/>
    <tableColumn id="9" xr3:uid="{00000000-0010-0000-0700-000009000000}" name="Operating_Profit"/>
    <tableColumn id="10" xr3:uid="{00000000-0010-0000-0700-00000A000000}" name="Interest_Expense"/>
    <tableColumn id="11" xr3:uid="{00000000-0010-0000-0700-00000B000000}" name="Profit_Before_Tax"/>
    <tableColumn id="12" xr3:uid="{00000000-0010-0000-0700-00000C000000}" name="Tax"/>
    <tableColumn id="13" xr3:uid="{00000000-0010-0000-0700-00000D000000}" name="Net_Profit"/>
    <tableColumn id="14" xr3:uid="{00000000-0010-0000-0700-00000E000000}" name="Gross_Margin"/>
    <tableColumn id="15" xr3:uid="{00000000-0010-0000-0700-00000F000000}" name="EBITDA_Margin"/>
    <tableColumn id="16" xr3:uid="{00000000-0010-0000-0700-000010000000}" name="Net_Profit_Margin"/>
    <tableColumn id="17" xr3:uid="{00000000-0010-0000-0700-000011000000}" name="Revenue_Growth"/>
    <tableColumn id="18" xr3:uid="{00000000-0010-0000-0700-000012000000}" name="Profit_Growth"/>
    <tableColumn id="19" xr3:uid="{00000000-0010-0000-0700-000013000000}" name="Expense_Growth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BalanceSheet" displayName="T_BalanceSheet" ref="A1:O6">
  <autoFilter ref="A1:O6" xr:uid="{00000000-0009-0000-0100-000009000000}"/>
  <tableColumns count="15">
    <tableColumn id="1" xr3:uid="{00000000-0010-0000-0800-000001000000}" name="Year"/>
    <tableColumn id="2" xr3:uid="{00000000-0010-0000-0800-000002000000}" name="Cash"/>
    <tableColumn id="3" xr3:uid="{00000000-0010-0000-0800-000003000000}" name="Trade_Receivables"/>
    <tableColumn id="4" xr3:uid="{00000000-0010-0000-0800-000004000000}" name="Inventory"/>
    <tableColumn id="5" xr3:uid="{00000000-0010-0000-0800-000005000000}" name="Property_Plant_Equipment"/>
    <tableColumn id="6" xr3:uid="{00000000-0010-0000-0800-000006000000}" name="Total_Assets"/>
    <tableColumn id="7" xr3:uid="{00000000-0010-0000-0800-000007000000}" name="Trade_Payables"/>
    <tableColumn id="8" xr3:uid="{00000000-0010-0000-0800-000008000000}" name="Short_Term_Debt"/>
    <tableColumn id="9" xr3:uid="{00000000-0010-0000-0800-000009000000}" name="Long_Term_Debt"/>
    <tableColumn id="10" xr3:uid="{00000000-0010-0000-0800-00000A000000}" name="Total_Liabilities"/>
    <tableColumn id="11" xr3:uid="{00000000-0010-0000-0800-00000B000000}" name="Total_Equity"/>
    <tableColumn id="12" xr3:uid="{00000000-0010-0000-0800-00000C000000}" name="Current_Assets"/>
    <tableColumn id="13" xr3:uid="{00000000-0010-0000-0800-00000D000000}" name="Current_Liabilities"/>
    <tableColumn id="14" xr3:uid="{00000000-0010-0000-0800-00000E000000}" name="Current_Ratio"/>
    <tableColumn id="15" xr3:uid="{00000000-0010-0000-0800-00000F000000}" name="Debt_to_Equity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CashFlow" displayName="T_CashFlow" ref="A1:E6">
  <autoFilter ref="A1:E6" xr:uid="{00000000-0009-0000-0100-00000A000000}"/>
  <tableColumns count="5">
    <tableColumn id="1" xr3:uid="{00000000-0010-0000-0900-000001000000}" name="Year"/>
    <tableColumn id="2" xr3:uid="{00000000-0010-0000-0900-000002000000}" name="Operating_Cash_Flow"/>
    <tableColumn id="3" xr3:uid="{00000000-0010-0000-0900-000003000000}" name="Capital_Expenditure"/>
    <tableColumn id="4" xr3:uid="{00000000-0010-0000-0900-000004000000}" name="Financing_Cash_Flow"/>
    <tableColumn id="5" xr3:uid="{00000000-0010-0000-0900-000005000000}" name="Net_Change_in_Cash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CategoryPerformance" displayName="T_CategoryPerformance" ref="A1:G36">
  <autoFilter ref="A1:G36" xr:uid="{00000000-0009-0000-0100-00000B000000}"/>
  <tableColumns count="7">
    <tableColumn id="1" xr3:uid="{00000000-0010-0000-0A00-000001000000}" name="Year"/>
    <tableColumn id="2" xr3:uid="{00000000-0010-0000-0A00-000002000000}" name="Category"/>
    <tableColumn id="3" xr3:uid="{00000000-0010-0000-0A00-000003000000}" name="Revenue"/>
    <tableColumn id="4" xr3:uid="{00000000-0010-0000-0A00-000004000000}" name="COGS"/>
    <tableColumn id="5" xr3:uid="{00000000-0010-0000-0A00-000005000000}" name="Units_Sold"/>
    <tableColumn id="6" xr3:uid="{00000000-0010-0000-0A00-000006000000}" name="Gross_Profit"/>
    <tableColumn id="7" xr3:uid="{00000000-0010-0000-0A00-000007000000}" name="Gross_Margi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RegionalPerformance" displayName="T_RegionalPerformance" ref="A1:G21">
  <autoFilter ref="A1:G21" xr:uid="{00000000-0009-0000-0100-00000C000000}"/>
  <tableColumns count="7">
    <tableColumn id="1" xr3:uid="{00000000-0010-0000-0B00-000001000000}" name="Year"/>
    <tableColumn id="2" xr3:uid="{00000000-0010-0000-0B00-000002000000}" name="Province"/>
    <tableColumn id="3" xr3:uid="{00000000-0010-0000-0B00-000003000000}" name="Revenue"/>
    <tableColumn id="4" xr3:uid="{00000000-0010-0000-0B00-000004000000}" name="COGS"/>
    <tableColumn id="5" xr3:uid="{00000000-0010-0000-0B00-000005000000}" name="Units_Sold"/>
    <tableColumn id="6" xr3:uid="{00000000-0010-0000-0B00-000006000000}" name="Gross_Profit"/>
    <tableColumn id="7" xr3:uid="{00000000-0010-0000-0B00-000007000000}" name="Gross_Margi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Assumptions" displayName="T_Assumptions" ref="A1:C8">
  <autoFilter ref="A1:C8" xr:uid="{00000000-0009-0000-0100-00000D000000}"/>
  <tableColumns count="3">
    <tableColumn id="1" xr3:uid="{00000000-0010-0000-0C00-000001000000}" name="Assumption"/>
    <tableColumn id="2" xr3:uid="{00000000-0010-0000-0C00-000002000000}" name="Value"/>
    <tableColumn id="3" xr3:uid="{00000000-0010-0000-0C00-000003000000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table" Target="../tables/table3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2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0582F-C838-4D35-BFE7-828C50566422}">
  <dimension ref="A1:Q136"/>
  <sheetViews>
    <sheetView tabSelected="1" zoomScaleNormal="100" workbookViewId="0">
      <selection activeCell="J90" sqref="J90"/>
    </sheetView>
  </sheetViews>
  <sheetFormatPr defaultRowHeight="14.4" x14ac:dyDescent="0.3"/>
  <cols>
    <col min="1" max="1" width="38.5546875" bestFit="1" customWidth="1"/>
    <col min="2" max="2" width="14.88671875" style="6" bestFit="1" customWidth="1"/>
    <col min="3" max="3" width="13.5546875" style="7" bestFit="1" customWidth="1"/>
    <col min="4" max="4" width="21.33203125" style="7" bestFit="1" customWidth="1"/>
    <col min="5" max="5" width="22.5546875" style="7" customWidth="1"/>
    <col min="6" max="6" width="13.21875" style="7" customWidth="1"/>
    <col min="7" max="7" width="17.88671875" style="7" customWidth="1"/>
    <col min="8" max="8" width="21.33203125" style="7" bestFit="1" customWidth="1"/>
    <col min="9" max="9" width="14.77734375" style="7" customWidth="1"/>
    <col min="10" max="10" width="13.109375" style="7" customWidth="1"/>
    <col min="11" max="11" width="16.33203125" style="7" hidden="1" customWidth="1"/>
    <col min="12" max="12" width="7.33203125" style="7" customWidth="1"/>
    <col min="13" max="13" width="8.44140625" style="7" customWidth="1"/>
    <col min="14" max="14" width="51.6640625" customWidth="1"/>
    <col min="15" max="15" width="15.5546875" hidden="1" customWidth="1"/>
    <col min="16" max="16" width="8.88671875" hidden="1" customWidth="1"/>
    <col min="17" max="17" width="12.5546875" hidden="1" customWidth="1"/>
    <col min="18" max="18" width="16.109375" customWidth="1"/>
  </cols>
  <sheetData>
    <row r="1" spans="1:13" x14ac:dyDescent="0.3">
      <c r="A1" s="5" t="s">
        <v>0</v>
      </c>
    </row>
    <row r="2" spans="1:13" x14ac:dyDescent="0.3">
      <c r="A2" s="5" t="s">
        <v>3511</v>
      </c>
    </row>
    <row r="4" spans="1:13" s="42" customFormat="1" ht="21" x14ac:dyDescent="0.4">
      <c r="A4" s="39" t="s">
        <v>3512</v>
      </c>
      <c r="B4" s="40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3" ht="21" x14ac:dyDescent="0.4">
      <c r="A5" s="20"/>
    </row>
    <row r="6" spans="1:13" x14ac:dyDescent="0.3">
      <c r="A6" s="8" t="s">
        <v>72</v>
      </c>
      <c r="B6" s="9" t="s">
        <v>3519</v>
      </c>
      <c r="C6" s="10" t="s">
        <v>3520</v>
      </c>
      <c r="D6" s="19"/>
      <c r="E6" s="19"/>
      <c r="F6" s="19"/>
      <c r="G6" s="19"/>
      <c r="H6" s="19"/>
      <c r="I6" s="19"/>
      <c r="J6" s="19"/>
      <c r="K6" s="19"/>
      <c r="L6" s="19"/>
      <c r="M6" s="19"/>
    </row>
    <row r="7" spans="1:13" x14ac:dyDescent="0.3">
      <c r="A7" s="11">
        <v>2022</v>
      </c>
      <c r="B7" s="12">
        <f>SUMIF(Sales_Data!C:C,Analysis!A7,Sales_Data!H:H)</f>
        <v>31077903.755766891</v>
      </c>
      <c r="C7" s="13" t="s">
        <v>3532</v>
      </c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x14ac:dyDescent="0.3">
      <c r="A8" s="11">
        <v>2023</v>
      </c>
      <c r="B8" s="12">
        <f>SUMIF(Sales_Data!C:C,Analysis!A8,Sales_Data!H:H)</f>
        <v>37129432.10777542</v>
      </c>
      <c r="C8" s="13">
        <f>(B8-B7)/B7</f>
        <v>0.19472125274490537</v>
      </c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x14ac:dyDescent="0.3">
      <c r="A9" s="11">
        <v>2024</v>
      </c>
      <c r="B9" s="12">
        <f>SUMIF(Sales_Data!C:C,Analysis!A9,Sales_Data!H:H)</f>
        <v>43719252.07561706</v>
      </c>
      <c r="C9" s="13">
        <f>(B9-B8)/B8</f>
        <v>0.1774823797119601</v>
      </c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x14ac:dyDescent="0.3">
      <c r="A10" s="11">
        <v>2025</v>
      </c>
      <c r="B10" s="12">
        <f>SUMIF(Sales_Data!C:C,Analysis!A10,Sales_Data!H:H)</f>
        <v>51624929.721333802</v>
      </c>
      <c r="C10" s="13">
        <f>(B10-B9)/B9</f>
        <v>0.18082829120779648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x14ac:dyDescent="0.3">
      <c r="A11" s="11">
        <v>2026</v>
      </c>
      <c r="B11" s="12">
        <f>SUMIF(Sales_Data!C:C,Analysis!A11,Sales_Data!H:H)</f>
        <v>61147945.23961854</v>
      </c>
      <c r="C11" s="13">
        <f>(B11-B10)/B10</f>
        <v>0.18446544275583562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x14ac:dyDescent="0.3">
      <c r="A12" s="16"/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x14ac:dyDescent="0.3">
      <c r="A13" s="14" t="s">
        <v>3523</v>
      </c>
      <c r="B13" s="14" t="s">
        <v>3524</v>
      </c>
      <c r="C13"/>
      <c r="D13"/>
      <c r="E13"/>
      <c r="F13"/>
      <c r="G13" s="71"/>
      <c r="H13" s="71"/>
      <c r="I13"/>
      <c r="J13"/>
      <c r="K13"/>
      <c r="L13"/>
      <c r="M13"/>
    </row>
    <row r="14" spans="1:13" x14ac:dyDescent="0.3">
      <c r="A14" s="14" t="s">
        <v>16</v>
      </c>
      <c r="B14">
        <v>2022</v>
      </c>
      <c r="C14">
        <v>2023</v>
      </c>
      <c r="D14">
        <v>2024</v>
      </c>
      <c r="E14">
        <v>2025</v>
      </c>
      <c r="F14">
        <v>2026</v>
      </c>
      <c r="G14" s="72" t="s">
        <v>3563</v>
      </c>
      <c r="H14" s="72" t="s">
        <v>3564</v>
      </c>
      <c r="I14"/>
      <c r="J14"/>
      <c r="K14"/>
      <c r="L14"/>
      <c r="M14"/>
    </row>
    <row r="15" spans="1:13" x14ac:dyDescent="0.3">
      <c r="A15" s="15" t="s">
        <v>24</v>
      </c>
      <c r="B15" s="3">
        <v>5904276.1947737467</v>
      </c>
      <c r="C15" s="3">
        <v>7074690.6456196718</v>
      </c>
      <c r="D15" s="3">
        <v>8312062.8728655363</v>
      </c>
      <c r="E15" s="3">
        <v>9958726.7335746586</v>
      </c>
      <c r="F15" s="3">
        <v>11655702.36284492</v>
      </c>
      <c r="G15" s="7">
        <f>(F15/B15)-1</f>
        <v>0.97411197890134771</v>
      </c>
      <c r="H15" s="3">
        <f>F15-B15</f>
        <v>5751426.1680711731</v>
      </c>
      <c r="I15"/>
      <c r="J15"/>
      <c r="K15"/>
      <c r="L15"/>
      <c r="M15"/>
    </row>
    <row r="16" spans="1:13" x14ac:dyDescent="0.3">
      <c r="A16" s="15" t="s">
        <v>29</v>
      </c>
      <c r="B16" s="3">
        <v>4006546.2424656083</v>
      </c>
      <c r="C16" s="3">
        <v>4871517.8720460031</v>
      </c>
      <c r="D16" s="3">
        <v>5702975.348979082</v>
      </c>
      <c r="E16" s="3">
        <v>6678570.8220791686</v>
      </c>
      <c r="F16" s="3">
        <v>7920075.5726905614</v>
      </c>
      <c r="G16" s="7">
        <f t="shared" ref="G16:G21" si="0">(F16/B16)-1</f>
        <v>0.97678376671289513</v>
      </c>
      <c r="H16" s="3">
        <f t="shared" ref="H16:H21" si="1">F16-B16</f>
        <v>3913529.3302249531</v>
      </c>
      <c r="I16"/>
      <c r="J16"/>
      <c r="K16"/>
      <c r="L16"/>
      <c r="M16"/>
    </row>
    <row r="17" spans="1:13" x14ac:dyDescent="0.3">
      <c r="A17" s="15" t="s">
        <v>34</v>
      </c>
      <c r="B17" s="3">
        <v>3729708.4758699662</v>
      </c>
      <c r="C17" s="3">
        <v>4476407.1285215132</v>
      </c>
      <c r="D17" s="3">
        <v>5245083.9747517053</v>
      </c>
      <c r="E17" s="3">
        <v>6184757.535089707</v>
      </c>
      <c r="F17" s="3">
        <v>7252595.4069797434</v>
      </c>
      <c r="G17" s="7">
        <f t="shared" si="0"/>
        <v>0.94454753069891151</v>
      </c>
      <c r="H17" s="3">
        <f t="shared" si="1"/>
        <v>3522886.9311097772</v>
      </c>
      <c r="I17"/>
      <c r="J17"/>
      <c r="K17"/>
      <c r="L17"/>
      <c r="M17"/>
    </row>
    <row r="18" spans="1:13" x14ac:dyDescent="0.3">
      <c r="A18" s="15" t="s">
        <v>43</v>
      </c>
      <c r="B18" s="3">
        <v>5964714.3078494966</v>
      </c>
      <c r="C18" s="3">
        <v>7027012.6763691027</v>
      </c>
      <c r="D18" s="3">
        <v>8173884.8498188248</v>
      </c>
      <c r="E18" s="3">
        <v>9715851.2110815905</v>
      </c>
      <c r="F18" s="3">
        <v>11702938.528977394</v>
      </c>
      <c r="G18" s="7">
        <f t="shared" si="0"/>
        <v>0.96202834284560113</v>
      </c>
      <c r="H18" s="3">
        <f t="shared" si="1"/>
        <v>5738224.2211278975</v>
      </c>
      <c r="I18"/>
      <c r="J18"/>
      <c r="K18"/>
      <c r="L18"/>
      <c r="M18"/>
    </row>
    <row r="19" spans="1:13" x14ac:dyDescent="0.3">
      <c r="A19" s="15" t="s">
        <v>37</v>
      </c>
      <c r="B19" s="3">
        <v>3121468.6577523919</v>
      </c>
      <c r="C19" s="3">
        <v>3687986.4276043409</v>
      </c>
      <c r="D19" s="3">
        <v>4349334.5682003014</v>
      </c>
      <c r="E19" s="3">
        <v>5161243.2210378852</v>
      </c>
      <c r="F19" s="3">
        <v>6102669.9666126957</v>
      </c>
      <c r="G19" s="7">
        <f t="shared" si="0"/>
        <v>0.95506366897398642</v>
      </c>
      <c r="H19" s="3">
        <f t="shared" si="1"/>
        <v>2981201.3088603038</v>
      </c>
      <c r="I19"/>
      <c r="J19"/>
      <c r="K19"/>
      <c r="L19"/>
      <c r="M19"/>
    </row>
    <row r="20" spans="1:13" x14ac:dyDescent="0.3">
      <c r="A20" s="15" t="s">
        <v>19</v>
      </c>
      <c r="B20" s="3">
        <v>5528177.9648076547</v>
      </c>
      <c r="C20" s="3">
        <v>6643719.3964912975</v>
      </c>
      <c r="D20" s="3">
        <v>7956312.4984354461</v>
      </c>
      <c r="E20" s="3">
        <v>9238965.986519482</v>
      </c>
      <c r="F20" s="3">
        <v>11001983.110127375</v>
      </c>
      <c r="G20" s="7">
        <f t="shared" si="0"/>
        <v>0.99016442310032859</v>
      </c>
      <c r="H20" s="3">
        <f t="shared" si="1"/>
        <v>5473805.1453197198</v>
      </c>
      <c r="I20"/>
      <c r="J20"/>
      <c r="K20"/>
      <c r="L20"/>
      <c r="M20"/>
    </row>
    <row r="21" spans="1:13" x14ac:dyDescent="0.3">
      <c r="A21" s="15" t="s">
        <v>40</v>
      </c>
      <c r="B21" s="3">
        <v>2823011.9122480014</v>
      </c>
      <c r="C21" s="3">
        <v>3348097.9611235061</v>
      </c>
      <c r="D21" s="3">
        <v>3979597.962566094</v>
      </c>
      <c r="E21" s="3">
        <v>4686814.2119512651</v>
      </c>
      <c r="F21" s="3">
        <v>5511980.2913858322</v>
      </c>
      <c r="G21" s="7">
        <f t="shared" si="0"/>
        <v>0.95251754605476324</v>
      </c>
      <c r="H21" s="3">
        <f t="shared" si="1"/>
        <v>2688968.3791378308</v>
      </c>
      <c r="I21"/>
      <c r="J21"/>
      <c r="K21"/>
      <c r="L21"/>
      <c r="M21"/>
    </row>
    <row r="22" spans="1:13" x14ac:dyDescent="0.3">
      <c r="A22" s="15" t="s">
        <v>3521</v>
      </c>
      <c r="B22" s="3">
        <v>31077903.755766865</v>
      </c>
      <c r="C22" s="3">
        <v>37129432.107775435</v>
      </c>
      <c r="D22" s="3">
        <v>43719252.075616993</v>
      </c>
      <c r="E22" s="3">
        <v>51624929.72133375</v>
      </c>
      <c r="F22" s="3">
        <v>61147945.239618525</v>
      </c>
      <c r="G22" s="79">
        <f>AVERAGE(G15:G21)</f>
        <v>0.96503103675540491</v>
      </c>
      <c r="H22" s="78"/>
      <c r="I22"/>
      <c r="J22"/>
      <c r="K22"/>
      <c r="L22"/>
      <c r="M22"/>
    </row>
    <row r="23" spans="1:13" x14ac:dyDescent="0.3">
      <c r="A23" s="15"/>
      <c r="B23" s="3"/>
      <c r="C23" s="3"/>
      <c r="D23" s="3"/>
      <c r="E23" s="3"/>
      <c r="F23" s="3"/>
      <c r="G23" s="3"/>
      <c r="H23"/>
      <c r="I23"/>
      <c r="J23"/>
      <c r="K23"/>
      <c r="L23"/>
      <c r="M23"/>
    </row>
    <row r="24" spans="1:13" x14ac:dyDescent="0.3">
      <c r="A24" s="14" t="s">
        <v>3525</v>
      </c>
      <c r="B24" s="14" t="s">
        <v>3524</v>
      </c>
      <c r="C24"/>
      <c r="D24"/>
      <c r="E24"/>
      <c r="F24"/>
      <c r="G24"/>
      <c r="H24"/>
      <c r="I24"/>
      <c r="J24"/>
      <c r="K24"/>
      <c r="L24"/>
      <c r="M24"/>
    </row>
    <row r="25" spans="1:13" x14ac:dyDescent="0.3">
      <c r="A25" s="14" t="s">
        <v>46</v>
      </c>
      <c r="B25">
        <v>2022</v>
      </c>
      <c r="C25">
        <v>2023</v>
      </c>
      <c r="D25">
        <v>2024</v>
      </c>
      <c r="E25">
        <v>2025</v>
      </c>
      <c r="F25">
        <v>2026</v>
      </c>
      <c r="G25"/>
      <c r="H25"/>
      <c r="I25"/>
      <c r="J25"/>
      <c r="K25"/>
      <c r="L25" s="3"/>
      <c r="M25"/>
    </row>
    <row r="26" spans="1:13" x14ac:dyDescent="0.3">
      <c r="A26" s="15" t="s">
        <v>62</v>
      </c>
      <c r="B26" s="3">
        <v>4643661.6796041094</v>
      </c>
      <c r="C26" s="3">
        <v>5571726.7968517337</v>
      </c>
      <c r="D26" s="3">
        <v>6492993.3603347363</v>
      </c>
      <c r="E26" s="3">
        <v>7766774.0458830306</v>
      </c>
      <c r="F26" s="3">
        <v>9143941.0619652011</v>
      </c>
      <c r="G26"/>
      <c r="H26"/>
      <c r="I26" s="24" t="s">
        <v>3531</v>
      </c>
      <c r="J26"/>
      <c r="K26"/>
      <c r="L26" s="3"/>
      <c r="M26"/>
    </row>
    <row r="27" spans="1:13" x14ac:dyDescent="0.3">
      <c r="A27" s="15" t="s">
        <v>50</v>
      </c>
      <c r="B27" s="3">
        <v>11177493.891627517</v>
      </c>
      <c r="C27" s="3">
        <v>13316167.090264246</v>
      </c>
      <c r="D27" s="3">
        <v>15828448.359511783</v>
      </c>
      <c r="E27" s="3">
        <v>18634815.786416341</v>
      </c>
      <c r="F27" s="3">
        <v>21997397.681295812</v>
      </c>
      <c r="G27"/>
      <c r="H27"/>
      <c r="I27"/>
      <c r="J27"/>
      <c r="K27"/>
      <c r="L27" s="3"/>
      <c r="M27"/>
    </row>
    <row r="28" spans="1:13" x14ac:dyDescent="0.3">
      <c r="A28" s="15" t="s">
        <v>58</v>
      </c>
      <c r="B28" s="3">
        <v>6220519.7032434754</v>
      </c>
      <c r="C28" s="3">
        <v>7437652.9693515897</v>
      </c>
      <c r="D28" s="3">
        <v>8756759.4615387432</v>
      </c>
      <c r="E28" s="3">
        <v>10330222.038779046</v>
      </c>
      <c r="F28" s="3">
        <v>12273854.932993591</v>
      </c>
      <c r="G28"/>
      <c r="H28"/>
      <c r="I28"/>
      <c r="J28"/>
      <c r="K28"/>
      <c r="L28" s="3"/>
      <c r="M28"/>
    </row>
    <row r="29" spans="1:13" x14ac:dyDescent="0.3">
      <c r="A29" s="15" t="s">
        <v>54</v>
      </c>
      <c r="B29" s="3">
        <v>9036228.4812917709</v>
      </c>
      <c r="C29" s="3">
        <v>10803885.251307867</v>
      </c>
      <c r="D29" s="3">
        <v>12641050.894231727</v>
      </c>
      <c r="E29" s="3">
        <v>14893117.850255325</v>
      </c>
      <c r="F29" s="3">
        <v>17732751.563363932</v>
      </c>
      <c r="G29"/>
      <c r="H29"/>
      <c r="I29"/>
      <c r="J29"/>
      <c r="K29"/>
      <c r="L29" s="3"/>
      <c r="M29"/>
    </row>
    <row r="30" spans="1:13" x14ac:dyDescent="0.3">
      <c r="A30" s="15" t="s">
        <v>3521</v>
      </c>
      <c r="B30" s="3">
        <v>31077903.755766872</v>
      </c>
      <c r="C30" s="3">
        <v>37129432.107775435</v>
      </c>
      <c r="D30" s="3">
        <v>43719252.075616993</v>
      </c>
      <c r="E30" s="3">
        <v>51624929.721333742</v>
      </c>
      <c r="F30" s="3">
        <v>61147945.239618532</v>
      </c>
      <c r="G30"/>
      <c r="H30"/>
      <c r="I30"/>
      <c r="J30"/>
      <c r="K30"/>
      <c r="L30" s="3"/>
      <c r="M30"/>
    </row>
    <row r="31" spans="1:13" x14ac:dyDescent="0.3">
      <c r="A31" s="15"/>
      <c r="B31" s="3"/>
      <c r="C31" s="3"/>
      <c r="D31" s="3"/>
      <c r="E31" s="3"/>
      <c r="F31" s="3"/>
      <c r="G31" s="3"/>
      <c r="H31"/>
      <c r="I31"/>
      <c r="J31"/>
      <c r="K31"/>
      <c r="L31" s="3"/>
      <c r="M31"/>
    </row>
    <row r="32" spans="1:13" x14ac:dyDescent="0.3">
      <c r="A32" s="14" t="s">
        <v>3522</v>
      </c>
      <c r="B32" s="14" t="s">
        <v>3524</v>
      </c>
      <c r="C32"/>
      <c r="D32"/>
      <c r="E32"/>
      <c r="F32"/>
      <c r="G32"/>
      <c r="H32"/>
      <c r="I32"/>
      <c r="J32"/>
      <c r="K32"/>
      <c r="L32" s="3"/>
      <c r="M32"/>
    </row>
    <row r="33" spans="1:13" x14ac:dyDescent="0.3">
      <c r="A33" s="14" t="s">
        <v>65</v>
      </c>
      <c r="B33">
        <v>2022</v>
      </c>
      <c r="C33">
        <v>2023</v>
      </c>
      <c r="D33">
        <v>2024</v>
      </c>
      <c r="E33">
        <v>2025</v>
      </c>
      <c r="F33">
        <v>2026</v>
      </c>
      <c r="G33"/>
      <c r="H33"/>
      <c r="I33"/>
      <c r="J33"/>
      <c r="K33"/>
      <c r="L33" s="3"/>
      <c r="M33"/>
    </row>
    <row r="34" spans="1:13" x14ac:dyDescent="0.3">
      <c r="A34" s="15" t="s">
        <v>67</v>
      </c>
      <c r="B34" s="3">
        <v>8717971.1328083295</v>
      </c>
      <c r="C34" s="3">
        <v>11788500.142900562</v>
      </c>
      <c r="D34" s="3">
        <v>15286075.437273594</v>
      </c>
      <c r="E34" s="3">
        <v>19887692.323373575</v>
      </c>
      <c r="F34" s="3">
        <v>25613589.381703269</v>
      </c>
      <c r="G34"/>
      <c r="H34"/>
      <c r="I34"/>
      <c r="J34"/>
      <c r="K34"/>
      <c r="L34" s="3"/>
      <c r="M34"/>
    </row>
    <row r="35" spans="1:13" ht="30.6" customHeight="1" x14ac:dyDescent="0.3">
      <c r="A35" s="15" t="s">
        <v>48</v>
      </c>
      <c r="B35" s="3">
        <v>22359932.622958548</v>
      </c>
      <c r="C35" s="3">
        <v>25340931.964874882</v>
      </c>
      <c r="D35" s="3">
        <v>28433176.63834342</v>
      </c>
      <c r="E35" s="3">
        <v>31737237.39796019</v>
      </c>
      <c r="F35" s="3">
        <v>35534355.85791523</v>
      </c>
      <c r="G35"/>
      <c r="H35"/>
      <c r="I35"/>
      <c r="J35"/>
      <c r="K35"/>
      <c r="L35" s="3"/>
      <c r="M35"/>
    </row>
    <row r="36" spans="1:13" ht="16.8" customHeight="1" x14ac:dyDescent="0.3">
      <c r="A36" s="15" t="s">
        <v>3521</v>
      </c>
      <c r="B36" s="3">
        <v>31077903.755766876</v>
      </c>
      <c r="C36" s="3">
        <v>37129432.107775442</v>
      </c>
      <c r="D36" s="3">
        <v>43719252.075617015</v>
      </c>
      <c r="E36" s="3">
        <v>51624929.721333764</v>
      </c>
      <c r="F36" s="3">
        <v>61147945.239618495</v>
      </c>
      <c r="G36"/>
      <c r="H36"/>
      <c r="I36"/>
      <c r="J36"/>
      <c r="K36"/>
      <c r="L36" s="3"/>
      <c r="M36"/>
    </row>
    <row r="37" spans="1:13" ht="16.8" customHeight="1" x14ac:dyDescent="0.3">
      <c r="A37" s="15"/>
      <c r="B37" s="3"/>
      <c r="C37" s="3"/>
      <c r="D37" s="3"/>
      <c r="E37" s="3"/>
      <c r="F37" s="3"/>
      <c r="G37" s="3"/>
      <c r="H37"/>
      <c r="I37"/>
      <c r="J37"/>
      <c r="K37"/>
      <c r="L37" s="3"/>
      <c r="M37"/>
    </row>
    <row r="38" spans="1:13" ht="16.8" customHeight="1" x14ac:dyDescent="0.3">
      <c r="A38" s="8" t="s">
        <v>65</v>
      </c>
      <c r="B38" s="21" t="s">
        <v>3526</v>
      </c>
      <c r="C38" s="21" t="s">
        <v>3527</v>
      </c>
      <c r="D38" s="21" t="s">
        <v>3528</v>
      </c>
      <c r="E38" s="21" t="s">
        <v>3529</v>
      </c>
      <c r="F38" s="21" t="s">
        <v>3530</v>
      </c>
      <c r="G38" s="3"/>
      <c r="H38"/>
      <c r="I38"/>
      <c r="J38"/>
      <c r="K38"/>
      <c r="L38" s="3"/>
      <c r="M38"/>
    </row>
    <row r="39" spans="1:13" ht="16.8" customHeight="1" x14ac:dyDescent="0.3">
      <c r="A39" s="32" t="s">
        <v>67</v>
      </c>
      <c r="B39" s="22">
        <f>GETPIVOTDATA("Revenue",$A$32,"Year",2022,"Channel","Online")</f>
        <v>8717971.1328083295</v>
      </c>
      <c r="C39" s="23">
        <f>B39/GETPIVOTDATA("Revenue",$B$36,"Year",2022)</f>
        <v>0.28051992184931734</v>
      </c>
      <c r="D39" s="22">
        <f>GETPIVOTDATA("Revenue",$A$32,"Year",2026,"Channel","Online")</f>
        <v>25613589.381703269</v>
      </c>
      <c r="E39" s="23">
        <f>D39/GETPIVOTDATA("Revenue",$F$36,"Year",2026)</f>
        <v>0.418878987369602</v>
      </c>
      <c r="F39" s="23">
        <f>(D39-B39)/B39</f>
        <v>1.938021816258565</v>
      </c>
      <c r="G39" s="3"/>
      <c r="H39"/>
      <c r="I39"/>
      <c r="J39"/>
      <c r="K39"/>
      <c r="L39" s="3"/>
      <c r="M39"/>
    </row>
    <row r="40" spans="1:13" x14ac:dyDescent="0.3">
      <c r="A40" s="32" t="s">
        <v>48</v>
      </c>
      <c r="B40" s="22">
        <f>GETPIVOTDATA("Revenue",$A$32,"Year",2022,"Channel","Store")</f>
        <v>22359932.622958548</v>
      </c>
      <c r="C40" s="23">
        <f>B40/GETPIVOTDATA("Revenue",$B$36,"Year",2022)</f>
        <v>0.71948007815068271</v>
      </c>
      <c r="D40" s="22">
        <f>GETPIVOTDATA("Revenue",$A$32,"Year",2026,"Channel","Store")</f>
        <v>35534355.85791523</v>
      </c>
      <c r="E40" s="23">
        <f>D40/GETPIVOTDATA("Revenue",$F$36,"Year",2026)</f>
        <v>0.58112101263039806</v>
      </c>
      <c r="F40" s="23">
        <f>(D40-B40)/B40</f>
        <v>0.58919780560651402</v>
      </c>
    </row>
    <row r="41" spans="1:13" x14ac:dyDescent="0.3">
      <c r="A41" s="15"/>
    </row>
    <row r="43" spans="1:13" s="31" customFormat="1" ht="18" x14ac:dyDescent="0.35">
      <c r="A43" s="28" t="s">
        <v>3513</v>
      </c>
      <c r="B43" s="29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</row>
    <row r="45" spans="1:13" x14ac:dyDescent="0.3">
      <c r="A45" s="14" t="s">
        <v>3533</v>
      </c>
      <c r="B45" t="s">
        <v>3534</v>
      </c>
      <c r="C45" t="s">
        <v>3535</v>
      </c>
      <c r="D45" t="s">
        <v>3537</v>
      </c>
      <c r="E45" t="s">
        <v>3536</v>
      </c>
    </row>
    <row r="46" spans="1:13" x14ac:dyDescent="0.3">
      <c r="A46" s="15">
        <v>2022</v>
      </c>
      <c r="B46" s="3">
        <v>31077903.755766869</v>
      </c>
      <c r="C46" s="3">
        <v>12243345.328983843</v>
      </c>
      <c r="D46" s="3">
        <v>3864772.2234071018</v>
      </c>
      <c r="E46" s="3">
        <v>1043493.2835269299</v>
      </c>
    </row>
    <row r="47" spans="1:13" x14ac:dyDescent="0.3">
      <c r="A47" s="15">
        <v>2023</v>
      </c>
      <c r="B47" s="3">
        <v>37129432.107775442</v>
      </c>
      <c r="C47" s="3">
        <v>14595081.781246094</v>
      </c>
      <c r="D47" s="3">
        <v>4082978.9392774068</v>
      </c>
      <c r="E47" s="3">
        <v>1108979.7147291966</v>
      </c>
    </row>
    <row r="48" spans="1:13" x14ac:dyDescent="0.3">
      <c r="A48" s="15">
        <v>2024</v>
      </c>
      <c r="B48" s="3">
        <v>43719252.075617</v>
      </c>
      <c r="C48" s="3">
        <v>17210255.315832667</v>
      </c>
      <c r="D48" s="3">
        <v>4244742.1150731677</v>
      </c>
      <c r="E48" s="3">
        <v>1144489.9916252655</v>
      </c>
    </row>
    <row r="49" spans="1:13" x14ac:dyDescent="0.3">
      <c r="A49" s="15">
        <v>2025</v>
      </c>
      <c r="B49" s="3">
        <v>51624929.721333764</v>
      </c>
      <c r="C49" s="3">
        <v>20300294.61601175</v>
      </c>
      <c r="D49" s="3">
        <v>4383895.7647847123</v>
      </c>
      <c r="E49" s="3">
        <v>1141710.3599126467</v>
      </c>
    </row>
    <row r="50" spans="1:13" x14ac:dyDescent="0.3">
      <c r="A50" s="15">
        <v>2026</v>
      </c>
      <c r="B50" s="3">
        <v>61147945.239618525</v>
      </c>
      <c r="C50" s="3">
        <v>24066527.920371931</v>
      </c>
      <c r="D50" s="3">
        <v>4249281.0635012351</v>
      </c>
      <c r="E50" s="3">
        <v>948376.59925468173</v>
      </c>
    </row>
    <row r="51" spans="1:13" x14ac:dyDescent="0.3">
      <c r="A51" s="15" t="s">
        <v>3521</v>
      </c>
      <c r="B51" s="3">
        <v>224699462.90011162</v>
      </c>
      <c r="C51" s="3">
        <v>88415504.962446287</v>
      </c>
      <c r="D51" s="3">
        <v>20825670.106043622</v>
      </c>
      <c r="E51" s="3">
        <v>5387049.9490487203</v>
      </c>
    </row>
    <row r="52" spans="1:13" x14ac:dyDescent="0.3">
      <c r="A52" s="15"/>
      <c r="B52" s="3"/>
      <c r="C52" s="3"/>
      <c r="D52" s="3"/>
      <c r="E52" s="3"/>
    </row>
    <row r="53" spans="1:13" x14ac:dyDescent="0.3">
      <c r="A53" s="73" t="s">
        <v>3533</v>
      </c>
      <c r="B53" s="74" t="s">
        <v>3534</v>
      </c>
      <c r="C53" s="74" t="s">
        <v>3561</v>
      </c>
      <c r="D53" s="74" t="s">
        <v>3535</v>
      </c>
      <c r="E53" s="77" t="s">
        <v>3562</v>
      </c>
    </row>
    <row r="54" spans="1:13" x14ac:dyDescent="0.3">
      <c r="A54" s="76" t="s">
        <v>24</v>
      </c>
      <c r="B54" s="75">
        <v>42905458.809678532</v>
      </c>
      <c r="C54" s="75">
        <v>28280190.243572071</v>
      </c>
      <c r="D54" s="75">
        <v>14625268.566106461</v>
      </c>
      <c r="E54" s="67">
        <f>D54/B54</f>
        <v>0.34087197694311383</v>
      </c>
    </row>
    <row r="55" spans="1:13" x14ac:dyDescent="0.3">
      <c r="A55" s="76" t="s">
        <v>29</v>
      </c>
      <c r="B55" s="75">
        <v>29179685.858260415</v>
      </c>
      <c r="C55" s="75">
        <v>18664027.784756277</v>
      </c>
      <c r="D55" s="75">
        <v>10515658.073504165</v>
      </c>
      <c r="E55" s="67">
        <f t="shared" ref="E55:E60" si="2">D55/B55</f>
        <v>0.36037598638257134</v>
      </c>
    </row>
    <row r="56" spans="1:13" x14ac:dyDescent="0.3">
      <c r="A56" s="76" t="s">
        <v>34</v>
      </c>
      <c r="B56" s="75">
        <v>26888552.521212623</v>
      </c>
      <c r="C56" s="75">
        <v>12903128.943198904</v>
      </c>
      <c r="D56" s="75">
        <v>13985423.578013731</v>
      </c>
      <c r="E56" s="67">
        <f t="shared" si="2"/>
        <v>0.52012556521889763</v>
      </c>
    </row>
    <row r="57" spans="1:13" x14ac:dyDescent="0.3">
      <c r="A57" s="76" t="s">
        <v>43</v>
      </c>
      <c r="B57" s="75">
        <v>42584401.574096411</v>
      </c>
      <c r="C57" s="75">
        <v>25080976.281628981</v>
      </c>
      <c r="D57" s="75">
        <v>17503425.2924674</v>
      </c>
      <c r="E57" s="67">
        <f t="shared" si="2"/>
        <v>0.41102903047754763</v>
      </c>
    </row>
    <row r="58" spans="1:13" x14ac:dyDescent="0.3">
      <c r="A58" s="76" t="s">
        <v>37</v>
      </c>
      <c r="B58" s="75">
        <v>22422702.841207635</v>
      </c>
      <c r="C58" s="75">
        <v>12326038.00888074</v>
      </c>
      <c r="D58" s="75">
        <v>10096664.832326887</v>
      </c>
      <c r="E58" s="67">
        <f t="shared" si="2"/>
        <v>0.45028759038681104</v>
      </c>
    </row>
    <row r="59" spans="1:13" x14ac:dyDescent="0.3">
      <c r="A59" s="76" t="s">
        <v>19</v>
      </c>
      <c r="B59" s="75">
        <v>40369158.956381269</v>
      </c>
      <c r="C59" s="75">
        <v>24998203.574741926</v>
      </c>
      <c r="D59" s="75">
        <v>15370955.38163932</v>
      </c>
      <c r="E59" s="67">
        <f t="shared" si="2"/>
        <v>0.3807598617114511</v>
      </c>
    </row>
    <row r="60" spans="1:13" x14ac:dyDescent="0.3">
      <c r="A60" s="76" t="s">
        <v>40</v>
      </c>
      <c r="B60" s="75">
        <v>20349502.339274716</v>
      </c>
      <c r="C60" s="75">
        <v>14031393.100886349</v>
      </c>
      <c r="D60" s="75">
        <v>6318109.2383883446</v>
      </c>
      <c r="E60" s="67">
        <f t="shared" si="2"/>
        <v>0.31047979125240516</v>
      </c>
    </row>
    <row r="61" spans="1:13" x14ac:dyDescent="0.3">
      <c r="A61" s="76" t="s">
        <v>3521</v>
      </c>
      <c r="B61" s="75">
        <v>224699462.90011156</v>
      </c>
      <c r="C61" s="75">
        <v>136283957.93766525</v>
      </c>
      <c r="D61" s="75">
        <v>88415504.962446317</v>
      </c>
      <c r="E61" s="77"/>
    </row>
    <row r="62" spans="1:13" x14ac:dyDescent="0.3">
      <c r="B62"/>
      <c r="C62"/>
      <c r="D62" s="3"/>
      <c r="E62" s="3"/>
    </row>
    <row r="63" spans="1:13" x14ac:dyDescent="0.3">
      <c r="B63"/>
      <c r="C63"/>
    </row>
    <row r="64" spans="1:13" s="25" customFormat="1" ht="15.6" x14ac:dyDescent="0.3">
      <c r="A64" s="27" t="s">
        <v>3515</v>
      </c>
      <c r="D64" s="26"/>
      <c r="E64" s="26"/>
      <c r="F64" s="26"/>
      <c r="G64" s="26"/>
      <c r="H64" s="26"/>
      <c r="I64" s="26"/>
      <c r="J64" s="26"/>
      <c r="K64" s="26"/>
      <c r="L64" s="26"/>
      <c r="M64" s="26"/>
    </row>
    <row r="65" spans="1:13" x14ac:dyDescent="0.3">
      <c r="B65"/>
      <c r="C65"/>
    </row>
    <row r="66" spans="1:13" x14ac:dyDescent="0.3">
      <c r="A66" s="60" t="s">
        <v>72</v>
      </c>
      <c r="B66" s="61" t="s">
        <v>3538</v>
      </c>
      <c r="C66" s="61" t="s">
        <v>3539</v>
      </c>
      <c r="D66" s="62" t="s">
        <v>3540</v>
      </c>
      <c r="G66" s="5" t="s">
        <v>3559</v>
      </c>
    </row>
    <row r="67" spans="1:13" x14ac:dyDescent="0.3">
      <c r="A67" s="58">
        <v>2022</v>
      </c>
      <c r="B67" s="33">
        <f>C46/B46</f>
        <v>0.393956600972868</v>
      </c>
      <c r="C67" s="33">
        <f>D46/B46</f>
        <v>0.12435755814740072</v>
      </c>
      <c r="D67" s="59">
        <f>E46/B46</f>
        <v>3.3576694610018464E-2</v>
      </c>
      <c r="G67" s="5" t="s">
        <v>3560</v>
      </c>
    </row>
    <row r="68" spans="1:13" x14ac:dyDescent="0.3">
      <c r="A68" s="58">
        <v>2023</v>
      </c>
      <c r="B68" s="33">
        <f>C47/B47</f>
        <v>0.39308658798984625</v>
      </c>
      <c r="C68" s="33">
        <f>D47/B47</f>
        <v>0.10996610256321081</v>
      </c>
      <c r="D68" s="59">
        <f>E47/B47</f>
        <v>2.9867941731782106E-2</v>
      </c>
    </row>
    <row r="69" spans="1:13" x14ac:dyDescent="0.3">
      <c r="A69" s="58">
        <v>2024</v>
      </c>
      <c r="B69" s="33">
        <f>C48/B48</f>
        <v>0.39365392816111627</v>
      </c>
      <c r="C69" s="33">
        <f>D48/B48</f>
        <v>9.7090913351661284E-2</v>
      </c>
      <c r="D69" s="59">
        <f>E48/B48</f>
        <v>2.6178169508612608E-2</v>
      </c>
    </row>
    <row r="70" spans="1:13" x14ac:dyDescent="0.3">
      <c r="A70" s="58">
        <v>2025</v>
      </c>
      <c r="B70" s="33">
        <f>C49/B49</f>
        <v>0.39322658114191578</v>
      </c>
      <c r="C70" s="33">
        <f>D49/B49</f>
        <v>8.4918193369919251E-2</v>
      </c>
      <c r="D70" s="59">
        <f>E49/B49</f>
        <v>2.2115485020037521E-2</v>
      </c>
    </row>
    <row r="71" spans="1:13" ht="16.8" customHeight="1" x14ac:dyDescent="0.3">
      <c r="A71" s="63">
        <v>2026</v>
      </c>
      <c r="B71" s="64">
        <f>C50/B50</f>
        <v>0.39357868569521326</v>
      </c>
      <c r="C71" s="64">
        <f>D50/B50</f>
        <v>6.9491804619921591E-2</v>
      </c>
      <c r="D71" s="65">
        <f>E50/B50</f>
        <v>1.5509541580478433E-2</v>
      </c>
    </row>
    <row r="72" spans="1:13" x14ac:dyDescent="0.3">
      <c r="B72"/>
      <c r="C72"/>
    </row>
    <row r="73" spans="1:13" x14ac:dyDescent="0.3">
      <c r="B73"/>
      <c r="C73"/>
    </row>
    <row r="74" spans="1:13" s="35" customFormat="1" ht="18" x14ac:dyDescent="0.35">
      <c r="A74" s="35" t="s">
        <v>3514</v>
      </c>
      <c r="B74" s="36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</row>
    <row r="76" spans="1:13" x14ac:dyDescent="0.3">
      <c r="A76" s="14" t="s">
        <v>3542</v>
      </c>
      <c r="B76" s="14" t="s">
        <v>3524</v>
      </c>
      <c r="C76"/>
      <c r="D76"/>
      <c r="E76"/>
      <c r="F76"/>
      <c r="G76"/>
      <c r="I76" t="s">
        <v>3552</v>
      </c>
    </row>
    <row r="77" spans="1:13" x14ac:dyDescent="0.3">
      <c r="A77" s="14" t="s">
        <v>3533</v>
      </c>
      <c r="B77">
        <v>2022</v>
      </c>
      <c r="C77">
        <v>2023</v>
      </c>
      <c r="D77">
        <v>2024</v>
      </c>
      <c r="E77">
        <v>2025</v>
      </c>
      <c r="F77">
        <v>2026</v>
      </c>
      <c r="G77" t="s">
        <v>3521</v>
      </c>
      <c r="I77" t="s">
        <v>3553</v>
      </c>
    </row>
    <row r="78" spans="1:13" x14ac:dyDescent="0.3">
      <c r="A78" s="15" t="s">
        <v>3452</v>
      </c>
      <c r="B78" s="3">
        <v>186576.95322780978</v>
      </c>
      <c r="C78" s="3">
        <v>234583.97792288079</v>
      </c>
      <c r="D78" s="3">
        <v>288515.53550781508</v>
      </c>
      <c r="E78" s="3">
        <v>349258.93536688504</v>
      </c>
      <c r="F78" s="3">
        <v>443123.91284684604</v>
      </c>
      <c r="G78" s="3">
        <v>1502059.3148722367</v>
      </c>
      <c r="I78" t="s">
        <v>3554</v>
      </c>
    </row>
    <row r="79" spans="1:13" x14ac:dyDescent="0.3">
      <c r="A79" s="15" t="s">
        <v>3449</v>
      </c>
      <c r="B79" s="3">
        <v>1217101.4507218748</v>
      </c>
      <c r="C79" s="3">
        <v>1521510.9407586933</v>
      </c>
      <c r="D79" s="3">
        <v>1861211.9278879771</v>
      </c>
      <c r="E79" s="3">
        <v>2352513.0708616446</v>
      </c>
      <c r="F79" s="3">
        <v>2886559.5329246134</v>
      </c>
      <c r="G79" s="3">
        <v>9838896.923154803</v>
      </c>
      <c r="I79" t="s">
        <v>3555</v>
      </c>
    </row>
    <row r="80" spans="1:13" x14ac:dyDescent="0.3">
      <c r="A80" s="15" t="s">
        <v>3445</v>
      </c>
      <c r="B80" s="3">
        <v>1300376.4555255324</v>
      </c>
      <c r="C80" s="3">
        <v>1617996.536294139</v>
      </c>
      <c r="D80" s="3">
        <v>1972889.2329911713</v>
      </c>
      <c r="E80" s="3">
        <v>2451502.5514119896</v>
      </c>
      <c r="F80" s="3">
        <v>3020213.792423455</v>
      </c>
      <c r="G80" s="3">
        <v>10362978.568646288</v>
      </c>
    </row>
    <row r="81" spans="1:9" x14ac:dyDescent="0.3">
      <c r="A81" s="15" t="s">
        <v>3455</v>
      </c>
      <c r="B81" s="3">
        <v>307578.73382541409</v>
      </c>
      <c r="C81" s="3">
        <v>383449.27072647639</v>
      </c>
      <c r="D81" s="3">
        <v>471908.21011305763</v>
      </c>
      <c r="E81" s="3">
        <v>588655.57092015026</v>
      </c>
      <c r="F81" s="3">
        <v>730018.2362087213</v>
      </c>
      <c r="G81" s="3">
        <v>2481610.02179382</v>
      </c>
      <c r="I81" t="s">
        <v>3558</v>
      </c>
    </row>
    <row r="82" spans="1:9" x14ac:dyDescent="0.3">
      <c r="A82" s="15" t="s">
        <v>3454</v>
      </c>
      <c r="B82" s="3">
        <v>252544.42037067172</v>
      </c>
      <c r="C82" s="3">
        <v>308791.57133202534</v>
      </c>
      <c r="D82" s="3">
        <v>380890.93423665065</v>
      </c>
      <c r="E82" s="3">
        <v>466396.23314551305</v>
      </c>
      <c r="F82" s="3">
        <v>581674.00976743363</v>
      </c>
      <c r="G82" s="3">
        <v>1990297.1688522943</v>
      </c>
    </row>
    <row r="83" spans="1:9" x14ac:dyDescent="0.3">
      <c r="A83" s="15" t="s">
        <v>3443</v>
      </c>
      <c r="B83" s="3">
        <v>928863.06714816322</v>
      </c>
      <c r="C83" s="3">
        <v>1168402.1354816053</v>
      </c>
      <c r="D83" s="3">
        <v>1452709.3784965428</v>
      </c>
      <c r="E83" s="3">
        <v>1740637.6051435571</v>
      </c>
      <c r="F83" s="3">
        <v>2187667.3131110496</v>
      </c>
      <c r="G83" s="3">
        <v>7478279.4993809182</v>
      </c>
    </row>
    <row r="84" spans="1:9" x14ac:dyDescent="0.3">
      <c r="A84" s="15" t="s">
        <v>3456</v>
      </c>
      <c r="B84" s="3">
        <v>216851.48504334563</v>
      </c>
      <c r="C84" s="3">
        <v>275220.07239616202</v>
      </c>
      <c r="D84" s="3">
        <v>334228.66464393045</v>
      </c>
      <c r="E84" s="3">
        <v>408674.83302584541</v>
      </c>
      <c r="F84" s="3">
        <v>509970.71988749609</v>
      </c>
      <c r="G84" s="3">
        <v>1744945.7749967799</v>
      </c>
    </row>
    <row r="85" spans="1:9" x14ac:dyDescent="0.3">
      <c r="A85" s="15" t="s">
        <v>3441</v>
      </c>
      <c r="B85" s="3">
        <v>3253785.2142553632</v>
      </c>
      <c r="C85" s="3">
        <v>4107524.9745248347</v>
      </c>
      <c r="D85" s="3">
        <v>5104058.7101351824</v>
      </c>
      <c r="E85" s="3">
        <v>6203127.4197336566</v>
      </c>
      <c r="F85" s="3">
        <v>7763768.4522633702</v>
      </c>
      <c r="G85" s="3">
        <v>26432264.770912409</v>
      </c>
    </row>
    <row r="86" spans="1:9" ht="16.2" customHeight="1" x14ac:dyDescent="0.3">
      <c r="A86" s="15" t="s">
        <v>3447</v>
      </c>
      <c r="B86" s="3">
        <v>436358.69520609849</v>
      </c>
      <c r="C86" s="3">
        <v>542535.88001743797</v>
      </c>
      <c r="D86" s="3">
        <v>670876.86069087626</v>
      </c>
      <c r="E86" s="3">
        <v>831053.03287852812</v>
      </c>
      <c r="F86" s="3">
        <v>1035765.0322322956</v>
      </c>
      <c r="G86" s="3">
        <v>3516589.5010252362</v>
      </c>
    </row>
    <row r="87" spans="1:9" x14ac:dyDescent="0.3">
      <c r="A87" s="15" t="s">
        <v>3451</v>
      </c>
      <c r="B87" s="3">
        <v>278536.63025247172</v>
      </c>
      <c r="C87" s="3">
        <v>352087.48251443211</v>
      </c>
      <c r="D87" s="3">
        <v>428223.746056295</v>
      </c>
      <c r="E87" s="3">
        <v>524579.59873926803</v>
      </c>
      <c r="F87" s="3">
        <v>658485.85520541249</v>
      </c>
      <c r="G87" s="3">
        <v>2241913.3127678791</v>
      </c>
    </row>
    <row r="88" spans="1:9" x14ac:dyDescent="0.3">
      <c r="A88" s="15" t="s">
        <v>3521</v>
      </c>
      <c r="B88" s="3">
        <v>8378573.1055767452</v>
      </c>
      <c r="C88" s="3">
        <v>10512102.841968687</v>
      </c>
      <c r="D88" s="3">
        <v>12965513.2007595</v>
      </c>
      <c r="E88" s="3">
        <v>15916398.851227038</v>
      </c>
      <c r="F88" s="3">
        <v>19817246.856870696</v>
      </c>
      <c r="G88" s="3">
        <v>67589834.856402665</v>
      </c>
    </row>
    <row r="89" spans="1:9" x14ac:dyDescent="0.3">
      <c r="B89"/>
      <c r="C89"/>
    </row>
    <row r="90" spans="1:9" x14ac:dyDescent="0.3">
      <c r="A90" s="49" t="s">
        <v>3543</v>
      </c>
      <c r="B90" s="54" t="s">
        <v>3548</v>
      </c>
      <c r="C90" s="54" t="s">
        <v>3549</v>
      </c>
      <c r="D90" s="55" t="s">
        <v>3544</v>
      </c>
      <c r="E90" s="70" t="s">
        <v>3557</v>
      </c>
    </row>
    <row r="91" spans="1:9" x14ac:dyDescent="0.3">
      <c r="A91" s="47" t="s">
        <v>74</v>
      </c>
      <c r="B91" s="38">
        <f>B7</f>
        <v>31077903.755766891</v>
      </c>
      <c r="C91" s="38">
        <f>B11</f>
        <v>61147945.23961854</v>
      </c>
      <c r="D91" s="48">
        <f>(C91-B91)/B91</f>
        <v>0.96756981166311062</v>
      </c>
      <c r="E91" s="5" t="s">
        <v>3556</v>
      </c>
    </row>
    <row r="92" spans="1:9" x14ac:dyDescent="0.3">
      <c r="A92" s="50" t="s">
        <v>3545</v>
      </c>
      <c r="B92" s="56">
        <f>GETPIVOTDATA("Amount",$A$76,"Year",2022)</f>
        <v>8378573.1055767452</v>
      </c>
      <c r="C92" s="57">
        <f>GETPIVOTDATA("Amount",$A$76,"Year",2026)</f>
        <v>19817246.856870696</v>
      </c>
      <c r="D92" s="53">
        <f>(C92-B92)/B92</f>
        <v>1.3652293304787677</v>
      </c>
    </row>
    <row r="93" spans="1:9" x14ac:dyDescent="0.3">
      <c r="B93"/>
      <c r="C93" s="44"/>
      <c r="D93" s="45"/>
      <c r="G93" s="93"/>
    </row>
    <row r="94" spans="1:9" ht="28.8" x14ac:dyDescent="0.3">
      <c r="A94" s="49" t="s">
        <v>3546</v>
      </c>
      <c r="B94" s="54" t="s">
        <v>3548</v>
      </c>
      <c r="C94" s="54" t="s">
        <v>3549</v>
      </c>
      <c r="D94" s="54" t="s">
        <v>3547</v>
      </c>
      <c r="E94" s="55" t="s">
        <v>3544</v>
      </c>
      <c r="G94" s="94" t="s">
        <v>3550</v>
      </c>
    </row>
    <row r="95" spans="1:9" x14ac:dyDescent="0.3">
      <c r="A95" s="47" t="s">
        <v>3452</v>
      </c>
      <c r="B95" s="46">
        <f>VLOOKUP(A95,A76:$G$88,2,FALSE)</f>
        <v>186576.95322780978</v>
      </c>
      <c r="C95" s="46">
        <f t="shared" ref="C95:C104" si="3">VLOOKUP(A95,$A$76:$G$88,6,FALSE)</f>
        <v>443123.91284684604</v>
      </c>
      <c r="D95" s="38">
        <f t="shared" ref="D95:D104" si="4">C95-B95</f>
        <v>256546.95961903626</v>
      </c>
      <c r="E95" s="48">
        <f t="shared" ref="E95:E104" si="5">(C95-B95)/B95</f>
        <v>1.3750195572429214</v>
      </c>
      <c r="F95"/>
      <c r="G95" s="68">
        <f>C105-B105</f>
        <v>11438673.75129395</v>
      </c>
    </row>
    <row r="96" spans="1:9" ht="28.8" x14ac:dyDescent="0.3">
      <c r="A96" s="47" t="s">
        <v>3449</v>
      </c>
      <c r="B96" s="46">
        <f>VLOOKUP(A96,A77:$G$88,2,FALSE)</f>
        <v>1217101.4507218748</v>
      </c>
      <c r="C96" s="46">
        <f t="shared" si="3"/>
        <v>2886559.5329246134</v>
      </c>
      <c r="D96" s="38">
        <f t="shared" si="4"/>
        <v>1669458.0822027386</v>
      </c>
      <c r="E96" s="48">
        <f t="shared" si="5"/>
        <v>1.3716671533113092</v>
      </c>
      <c r="F96"/>
      <c r="G96" s="92" t="s">
        <v>3551</v>
      </c>
    </row>
    <row r="97" spans="1:15" x14ac:dyDescent="0.3">
      <c r="A97" s="47" t="s">
        <v>3445</v>
      </c>
      <c r="B97" s="46">
        <f>VLOOKUP(A97,A78:$G$88,2,FALSE)</f>
        <v>1300376.4555255324</v>
      </c>
      <c r="C97" s="46">
        <f t="shared" si="3"/>
        <v>3020213.792423455</v>
      </c>
      <c r="D97" s="38">
        <f t="shared" si="4"/>
        <v>1719837.3368979227</v>
      </c>
      <c r="E97" s="48">
        <f t="shared" si="5"/>
        <v>1.3225688065867587</v>
      </c>
      <c r="F97"/>
      <c r="G97" s="69">
        <f>D102/D105</f>
        <v>0.39427501265151793</v>
      </c>
    </row>
    <row r="98" spans="1:15" ht="28.8" x14ac:dyDescent="0.3">
      <c r="A98" s="47" t="s">
        <v>3455</v>
      </c>
      <c r="B98" s="46">
        <f>VLOOKUP(A98,A79:$G$88,2,FALSE)</f>
        <v>307578.73382541409</v>
      </c>
      <c r="C98" s="46">
        <f t="shared" si="3"/>
        <v>730018.2362087213</v>
      </c>
      <c r="D98" s="38">
        <f t="shared" si="4"/>
        <v>422439.5023833072</v>
      </c>
      <c r="E98" s="48">
        <f t="shared" si="5"/>
        <v>1.3734353384232658</v>
      </c>
      <c r="F98"/>
      <c r="G98"/>
    </row>
    <row r="99" spans="1:15" ht="28.8" x14ac:dyDescent="0.3">
      <c r="A99" s="47" t="s">
        <v>3454</v>
      </c>
      <c r="B99" s="46">
        <f>VLOOKUP(A99,A80:$G$88,2,FALSE)</f>
        <v>252544.42037067172</v>
      </c>
      <c r="C99" s="46">
        <f t="shared" si="3"/>
        <v>581674.00976743363</v>
      </c>
      <c r="D99" s="38">
        <f t="shared" si="4"/>
        <v>329129.5893967619</v>
      </c>
      <c r="E99" s="48">
        <f t="shared" si="5"/>
        <v>1.303254250930123</v>
      </c>
      <c r="F99"/>
      <c r="G99"/>
    </row>
    <row r="100" spans="1:15" ht="28.8" x14ac:dyDescent="0.3">
      <c r="A100" s="47" t="s">
        <v>3443</v>
      </c>
      <c r="B100" s="46">
        <f>VLOOKUP(A100,A81:$G$88,2,FALSE)</f>
        <v>928863.06714816322</v>
      </c>
      <c r="C100" s="46">
        <f t="shared" si="3"/>
        <v>2187667.3131110496</v>
      </c>
      <c r="D100" s="38">
        <f t="shared" si="4"/>
        <v>1258804.2459628864</v>
      </c>
      <c r="E100" s="48">
        <f t="shared" si="5"/>
        <v>1.3552097079580558</v>
      </c>
      <c r="F100"/>
      <c r="G100"/>
    </row>
    <row r="101" spans="1:15" ht="28.8" x14ac:dyDescent="0.3">
      <c r="A101" s="47" t="s">
        <v>3456</v>
      </c>
      <c r="B101" s="46">
        <f>VLOOKUP(A101,A82:$G$88,2,FALSE)</f>
        <v>216851.48504334563</v>
      </c>
      <c r="C101" s="46">
        <f t="shared" si="3"/>
        <v>509970.71988749609</v>
      </c>
      <c r="D101" s="38">
        <f t="shared" si="4"/>
        <v>293119.23484415049</v>
      </c>
      <c r="E101" s="48">
        <f t="shared" si="5"/>
        <v>1.3517049919467232</v>
      </c>
      <c r="F101"/>
      <c r="G101"/>
    </row>
    <row r="102" spans="1:15" ht="28.8" x14ac:dyDescent="0.3">
      <c r="A102" s="47" t="s">
        <v>3441</v>
      </c>
      <c r="B102" s="46">
        <f>VLOOKUP(A102,A83:$G$88,2,FALSE)</f>
        <v>3253785.2142553632</v>
      </c>
      <c r="C102" s="46">
        <f t="shared" si="3"/>
        <v>7763768.4522633702</v>
      </c>
      <c r="D102" s="38">
        <f t="shared" si="4"/>
        <v>4509983.2380080074</v>
      </c>
      <c r="E102" s="48">
        <f t="shared" si="5"/>
        <v>1.3860728170529006</v>
      </c>
      <c r="F102"/>
      <c r="G102"/>
    </row>
    <row r="103" spans="1:15" ht="28.8" x14ac:dyDescent="0.3">
      <c r="A103" s="47" t="s">
        <v>3447</v>
      </c>
      <c r="B103" s="46">
        <f>VLOOKUP(A103,A84:$G$88,2,FALSE)</f>
        <v>436358.69520609849</v>
      </c>
      <c r="C103" s="46">
        <f t="shared" si="3"/>
        <v>1035765.0322322956</v>
      </c>
      <c r="D103" s="38">
        <f t="shared" si="4"/>
        <v>599406.33702619711</v>
      </c>
      <c r="E103" s="48">
        <f t="shared" si="5"/>
        <v>1.3736550769157674</v>
      </c>
      <c r="F103"/>
      <c r="G103"/>
    </row>
    <row r="104" spans="1:15" x14ac:dyDescent="0.3">
      <c r="A104" s="50" t="s">
        <v>3451</v>
      </c>
      <c r="B104" s="51">
        <f>VLOOKUP(A104,A85:$G$88,2,FALSE)</f>
        <v>278536.63025247172</v>
      </c>
      <c r="C104" s="51">
        <f t="shared" si="3"/>
        <v>658485.85520541249</v>
      </c>
      <c r="D104" s="52">
        <f t="shared" si="4"/>
        <v>379949.22495294077</v>
      </c>
      <c r="E104" s="53">
        <f t="shared" si="5"/>
        <v>1.3640906928777965</v>
      </c>
      <c r="F104"/>
      <c r="G104"/>
    </row>
    <row r="105" spans="1:15" x14ac:dyDescent="0.3">
      <c r="B105" s="66">
        <f>SUBTOTAL(109,Table14[2022])</f>
        <v>8378573.1055767452</v>
      </c>
      <c r="C105" s="66">
        <f>SUBTOTAL(109,Table14[2026])</f>
        <v>19817246.856870696</v>
      </c>
      <c r="D105" s="66">
        <f>SUBTOTAL(109,Table14[Increase R])</f>
        <v>11438673.751293948</v>
      </c>
      <c r="E105"/>
      <c r="F105"/>
      <c r="G105"/>
    </row>
    <row r="106" spans="1:15" x14ac:dyDescent="0.3">
      <c r="B106"/>
      <c r="C106"/>
      <c r="D106"/>
      <c r="E106"/>
      <c r="F106"/>
      <c r="G106"/>
    </row>
    <row r="107" spans="1:15" s="80" customFormat="1" ht="21" x14ac:dyDescent="0.4">
      <c r="A107" s="80" t="s">
        <v>3517</v>
      </c>
      <c r="H107" s="81"/>
      <c r="I107" s="81"/>
      <c r="J107" s="81"/>
      <c r="K107" s="81"/>
      <c r="L107" s="81"/>
      <c r="M107" s="81"/>
    </row>
    <row r="108" spans="1:15" x14ac:dyDescent="0.3">
      <c r="A108" s="16"/>
      <c r="B108" s="43"/>
      <c r="C108" s="44"/>
      <c r="D108" s="45"/>
      <c r="G108"/>
    </row>
    <row r="109" spans="1:15" ht="28.8" x14ac:dyDescent="0.3">
      <c r="A109" s="32" t="s">
        <v>46</v>
      </c>
      <c r="B109" s="32">
        <v>2022</v>
      </c>
      <c r="C109" s="32" t="s">
        <v>3566</v>
      </c>
      <c r="D109" s="82">
        <v>2026</v>
      </c>
      <c r="E109" s="21" t="s">
        <v>3565</v>
      </c>
      <c r="F109" s="45"/>
      <c r="I109"/>
      <c r="N109" s="7"/>
      <c r="O109" s="7"/>
    </row>
    <row r="110" spans="1:15" x14ac:dyDescent="0.3">
      <c r="A110" s="11" t="s">
        <v>62</v>
      </c>
      <c r="B110" s="12">
        <v>4643661.6796041094</v>
      </c>
      <c r="C110" s="13">
        <f>B110/$B$114</f>
        <v>0.14942004184379468</v>
      </c>
      <c r="D110" s="46">
        <v>9143941.0619652011</v>
      </c>
      <c r="E110" s="23">
        <f>D110/$D$114</f>
        <v>0.14953799389551237</v>
      </c>
      <c r="F110" s="45"/>
      <c r="I110"/>
      <c r="N110" s="7"/>
      <c r="O110" s="7"/>
    </row>
    <row r="111" spans="1:15" x14ac:dyDescent="0.3">
      <c r="A111" s="11" t="s">
        <v>50</v>
      </c>
      <c r="B111" s="12">
        <v>11177493.891627517</v>
      </c>
      <c r="C111" s="13">
        <f t="shared" ref="C111:C113" si="6">B111/$B$114</f>
        <v>0.35966048352129931</v>
      </c>
      <c r="D111" s="46">
        <v>21997397.681295812</v>
      </c>
      <c r="E111" s="23">
        <f>D111/$D$114</f>
        <v>0.35974058645953355</v>
      </c>
      <c r="F111" s="45"/>
      <c r="I111"/>
      <c r="N111" s="7"/>
      <c r="O111" s="7"/>
    </row>
    <row r="112" spans="1:15" x14ac:dyDescent="0.3">
      <c r="A112" s="11" t="s">
        <v>58</v>
      </c>
      <c r="B112" s="12">
        <v>6220519.7032434754</v>
      </c>
      <c r="C112" s="13">
        <f t="shared" si="6"/>
        <v>0.20015892166115562</v>
      </c>
      <c r="D112" s="46">
        <v>12273854.932993591</v>
      </c>
      <c r="E112" s="23">
        <f t="shared" ref="E112:E113" si="7">D112/$D$114</f>
        <v>0.20072391451415778</v>
      </c>
      <c r="F112" s="45"/>
      <c r="I112"/>
      <c r="N112" s="7"/>
      <c r="O112" s="7"/>
    </row>
    <row r="113" spans="1:15" x14ac:dyDescent="0.3">
      <c r="A113" s="11" t="s">
        <v>54</v>
      </c>
      <c r="B113" s="12">
        <v>9036228.4812917709</v>
      </c>
      <c r="C113" s="13">
        <f t="shared" si="6"/>
        <v>0.29076055297375042</v>
      </c>
      <c r="D113" s="46">
        <v>17732751.563363932</v>
      </c>
      <c r="E113" s="23">
        <f t="shared" si="7"/>
        <v>0.28999750513079642</v>
      </c>
      <c r="F113" s="45"/>
      <c r="I113"/>
      <c r="N113" s="7"/>
      <c r="O113" s="7"/>
    </row>
    <row r="114" spans="1:15" x14ac:dyDescent="0.3">
      <c r="A114" s="16"/>
      <c r="B114" s="85">
        <f>SUM(B110:B113)</f>
        <v>31077903.755766872</v>
      </c>
      <c r="C114" s="84">
        <f>SUM(C110:C113)</f>
        <v>1</v>
      </c>
      <c r="D114" s="85">
        <f>SUM(D110:D113)</f>
        <v>61147945.239618532</v>
      </c>
      <c r="E114" s="84">
        <f>SUM(E110:E113)</f>
        <v>1</v>
      </c>
      <c r="G114"/>
    </row>
    <row r="115" spans="1:15" x14ac:dyDescent="0.3">
      <c r="A115" s="16"/>
      <c r="B115" s="86"/>
      <c r="C115" s="83"/>
      <c r="D115" s="86"/>
      <c r="E115" s="83"/>
      <c r="G115"/>
    </row>
    <row r="116" spans="1:15" x14ac:dyDescent="0.3">
      <c r="B116"/>
      <c r="C116" s="83"/>
      <c r="D116" s="86"/>
      <c r="E116" s="83"/>
      <c r="G116"/>
    </row>
    <row r="117" spans="1:15" x14ac:dyDescent="0.3">
      <c r="A117" s="16"/>
      <c r="B117" s="43"/>
      <c r="C117" s="44"/>
      <c r="F117"/>
      <c r="M117"/>
    </row>
    <row r="118" spans="1:15" x14ac:dyDescent="0.3">
      <c r="A118" s="14" t="s">
        <v>3534</v>
      </c>
      <c r="B118" s="14" t="s">
        <v>3524</v>
      </c>
      <c r="C118"/>
      <c r="D118"/>
      <c r="E118"/>
      <c r="F118"/>
      <c r="G118"/>
      <c r="H118" s="91" t="s">
        <v>3567</v>
      </c>
      <c r="I118" s="91" t="s">
        <v>3570</v>
      </c>
      <c r="J118" s="91" t="s">
        <v>3571</v>
      </c>
      <c r="M118"/>
    </row>
    <row r="119" spans="1:15" x14ac:dyDescent="0.3">
      <c r="B119" t="s">
        <v>67</v>
      </c>
      <c r="C119"/>
      <c r="D119" t="s">
        <v>3568</v>
      </c>
      <c r="E119" t="s">
        <v>48</v>
      </c>
      <c r="F119"/>
      <c r="G119" t="s">
        <v>3569</v>
      </c>
      <c r="H119" s="91"/>
      <c r="I119" s="91"/>
      <c r="J119" s="91"/>
      <c r="M119"/>
    </row>
    <row r="120" spans="1:15" ht="14.4" customHeight="1" x14ac:dyDescent="0.3">
      <c r="A120" s="73" t="s">
        <v>3533</v>
      </c>
      <c r="B120" s="74">
        <v>2022</v>
      </c>
      <c r="C120" s="74">
        <v>2026</v>
      </c>
      <c r="D120" s="74"/>
      <c r="E120" s="74">
        <v>2022</v>
      </c>
      <c r="F120" s="74">
        <v>2026</v>
      </c>
      <c r="G120" s="87"/>
      <c r="H120" s="91"/>
      <c r="I120" s="91" t="s">
        <v>3570</v>
      </c>
      <c r="J120" s="91" t="s">
        <v>3570</v>
      </c>
      <c r="M120"/>
    </row>
    <row r="121" spans="1:15" x14ac:dyDescent="0.3">
      <c r="A121" s="76" t="s">
        <v>62</v>
      </c>
      <c r="B121" s="75">
        <v>1289709.9351155183</v>
      </c>
      <c r="C121" s="75">
        <v>3824188.8517470057</v>
      </c>
      <c r="D121" s="75">
        <v>5113898.7868625242</v>
      </c>
      <c r="E121" s="75">
        <v>3353951.7444885899</v>
      </c>
      <c r="F121" s="75">
        <v>5319752.2102181921</v>
      </c>
      <c r="G121" s="75">
        <v>8673703.9547067825</v>
      </c>
      <c r="H121" s="88">
        <f>C121-B121</f>
        <v>2534478.9166314872</v>
      </c>
      <c r="I121" s="90">
        <f>B121/(B121+E121)</f>
        <v>0.27773555097266939</v>
      </c>
      <c r="J121" s="90">
        <f>C121/(C121+F121)</f>
        <v>0.4182210740239744</v>
      </c>
      <c r="M121"/>
    </row>
    <row r="122" spans="1:15" x14ac:dyDescent="0.3">
      <c r="A122" s="76" t="s">
        <v>50</v>
      </c>
      <c r="B122" s="75">
        <v>3152229.746530252</v>
      </c>
      <c r="C122" s="75">
        <v>9207990.5865910761</v>
      </c>
      <c r="D122" s="75">
        <v>12360220.333121328</v>
      </c>
      <c r="E122" s="75">
        <v>8025264.145097265</v>
      </c>
      <c r="F122" s="75">
        <v>12789407.094704745</v>
      </c>
      <c r="G122" s="75">
        <v>20814671.23980201</v>
      </c>
      <c r="H122" s="88">
        <f t="shared" ref="H122:H124" si="8">C122-B122</f>
        <v>6055760.8400608245</v>
      </c>
      <c r="I122" s="90">
        <f>B122/(B122+E122)</f>
        <v>0.28201578789422777</v>
      </c>
      <c r="J122" s="90">
        <f t="shared" ref="J122:J124" si="9">C122/(C122+F122)</f>
        <v>0.41859454104521393</v>
      </c>
      <c r="M122"/>
    </row>
    <row r="123" spans="1:15" x14ac:dyDescent="0.3">
      <c r="A123" s="76" t="s">
        <v>58</v>
      </c>
      <c r="B123" s="75">
        <v>1757257.4438401463</v>
      </c>
      <c r="C123" s="75">
        <v>5117119.6350542083</v>
      </c>
      <c r="D123" s="75">
        <v>6874377.0788943544</v>
      </c>
      <c r="E123" s="75">
        <v>4463262.2594033293</v>
      </c>
      <c r="F123" s="75">
        <v>7156735.2979393806</v>
      </c>
      <c r="G123" s="75">
        <v>11619997.55734271</v>
      </c>
      <c r="H123" s="88">
        <f t="shared" si="8"/>
        <v>3359862.1912140623</v>
      </c>
      <c r="I123" s="90">
        <f>B123/(B123+E123)</f>
        <v>0.28249367057287594</v>
      </c>
      <c r="J123" s="90">
        <f t="shared" si="9"/>
        <v>0.41691218146132553</v>
      </c>
      <c r="M123"/>
    </row>
    <row r="124" spans="1:15" x14ac:dyDescent="0.3">
      <c r="A124" s="76" t="s">
        <v>54</v>
      </c>
      <c r="B124" s="75">
        <v>2518774.0073224092</v>
      </c>
      <c r="C124" s="75">
        <v>7464290.3083109753</v>
      </c>
      <c r="D124" s="75">
        <v>9983064.3156333845</v>
      </c>
      <c r="E124" s="75">
        <v>6517454.4739693599</v>
      </c>
      <c r="F124" s="75">
        <v>10268461.255052941</v>
      </c>
      <c r="G124" s="75">
        <v>16785915.729022302</v>
      </c>
      <c r="H124" s="88">
        <f t="shared" si="8"/>
        <v>4945516.3009885661</v>
      </c>
      <c r="I124" s="90">
        <f t="shared" ref="I124" si="10">B124/(B124+E124)</f>
        <v>0.27874173528670437</v>
      </c>
      <c r="J124" s="90">
        <f t="shared" si="9"/>
        <v>0.420932435760973</v>
      </c>
      <c r="M124"/>
    </row>
    <row r="125" spans="1:15" x14ac:dyDescent="0.3">
      <c r="A125" s="76" t="s">
        <v>3521</v>
      </c>
      <c r="B125" s="75">
        <v>8717971.1328083258</v>
      </c>
      <c r="C125" s="75">
        <v>25613589.381703265</v>
      </c>
      <c r="D125" s="75">
        <v>34331560.514511593</v>
      </c>
      <c r="E125" s="75">
        <v>22359932.622958545</v>
      </c>
      <c r="F125" s="75">
        <v>35534355.85791526</v>
      </c>
      <c r="G125" s="75">
        <v>57894288.480873801</v>
      </c>
      <c r="H125" s="89">
        <f>SUM(H121:H124)</f>
        <v>16895618.248894941</v>
      </c>
      <c r="I125" s="89"/>
      <c r="J125" s="89"/>
      <c r="M125"/>
    </row>
    <row r="126" spans="1:15" x14ac:dyDescent="0.3">
      <c r="A126" s="16"/>
      <c r="B126" s="43"/>
      <c r="C126" s="44"/>
      <c r="M126"/>
    </row>
    <row r="127" spans="1:15" x14ac:dyDescent="0.3">
      <c r="A127" t="s">
        <v>3572</v>
      </c>
      <c r="B127"/>
      <c r="C127"/>
      <c r="D127" s="45"/>
    </row>
    <row r="128" spans="1:15" x14ac:dyDescent="0.3">
      <c r="B128"/>
      <c r="C128"/>
    </row>
    <row r="129" spans="1:3" x14ac:dyDescent="0.3">
      <c r="B129"/>
      <c r="C129"/>
    </row>
    <row r="132" spans="1:3" x14ac:dyDescent="0.3">
      <c r="A132" t="s">
        <v>3516</v>
      </c>
    </row>
    <row r="136" spans="1:3" x14ac:dyDescent="0.3">
      <c r="A136" t="s">
        <v>3518</v>
      </c>
    </row>
  </sheetData>
  <mergeCells count="3">
    <mergeCell ref="H118:H120"/>
    <mergeCell ref="I118:I120"/>
    <mergeCell ref="J118:J120"/>
  </mergeCells>
  <pageMargins left="0.7" right="0.7" top="0.75" bottom="0.75" header="0.3" footer="0.3"/>
  <pageSetup paperSize="9" orientation="portrait" r:id="rId8"/>
  <tableParts count="3"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1" topLeftCell="A2" activePane="bottomLeft" state="frozen"/>
      <selection pane="bottomLeft" activeCell="B33" sqref="B33"/>
    </sheetView>
  </sheetViews>
  <sheetFormatPr defaultRowHeight="14.4" x14ac:dyDescent="0.3"/>
  <cols>
    <col min="1" max="1" width="14.6640625" bestFit="1" customWidth="1"/>
    <col min="2" max="2" width="50.44140625" bestFit="1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t="s">
        <v>3</v>
      </c>
      <c r="B2" t="s">
        <v>4</v>
      </c>
    </row>
    <row r="3" spans="1:2" x14ac:dyDescent="0.3">
      <c r="A3" t="s">
        <v>5</v>
      </c>
      <c r="B3" t="s">
        <v>6</v>
      </c>
    </row>
    <row r="4" spans="1:2" x14ac:dyDescent="0.3">
      <c r="A4" t="s">
        <v>7</v>
      </c>
      <c r="B4" t="s">
        <v>8</v>
      </c>
    </row>
    <row r="5" spans="1:2" x14ac:dyDescent="0.3">
      <c r="A5" t="s">
        <v>9</v>
      </c>
      <c r="B5" t="s">
        <v>10</v>
      </c>
    </row>
    <row r="6" spans="1:2" x14ac:dyDescent="0.3">
      <c r="A6" t="s">
        <v>11</v>
      </c>
      <c r="B6" t="s">
        <v>12</v>
      </c>
    </row>
    <row r="7" spans="1:2" x14ac:dyDescent="0.3">
      <c r="A7" t="s">
        <v>13</v>
      </c>
      <c r="B7" t="s">
        <v>14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3" width="26" customWidth="1"/>
  </cols>
  <sheetData>
    <row r="1" spans="1:3" x14ac:dyDescent="0.3">
      <c r="A1" s="1" t="s">
        <v>15</v>
      </c>
      <c r="B1" s="1" t="s">
        <v>16</v>
      </c>
      <c r="C1" s="1" t="s">
        <v>17</v>
      </c>
    </row>
    <row r="2" spans="1:3" x14ac:dyDescent="0.3">
      <c r="A2" t="s">
        <v>18</v>
      </c>
      <c r="B2" t="s">
        <v>19</v>
      </c>
      <c r="C2" t="s">
        <v>20</v>
      </c>
    </row>
    <row r="3" spans="1:3" x14ac:dyDescent="0.3">
      <c r="A3" t="s">
        <v>21</v>
      </c>
      <c r="B3" t="s">
        <v>19</v>
      </c>
      <c r="C3" t="s">
        <v>22</v>
      </c>
    </row>
    <row r="4" spans="1:3" x14ac:dyDescent="0.3">
      <c r="A4" t="s">
        <v>23</v>
      </c>
      <c r="B4" t="s">
        <v>24</v>
      </c>
      <c r="C4" t="s">
        <v>25</v>
      </c>
    </row>
    <row r="5" spans="1:3" x14ac:dyDescent="0.3">
      <c r="A5" t="s">
        <v>26</v>
      </c>
      <c r="B5" t="s">
        <v>24</v>
      </c>
      <c r="C5" t="s">
        <v>27</v>
      </c>
    </row>
    <row r="6" spans="1:3" x14ac:dyDescent="0.3">
      <c r="A6" t="s">
        <v>28</v>
      </c>
      <c r="B6" t="s">
        <v>29</v>
      </c>
      <c r="C6" t="s">
        <v>30</v>
      </c>
    </row>
    <row r="7" spans="1:3" x14ac:dyDescent="0.3">
      <c r="A7" t="s">
        <v>31</v>
      </c>
      <c r="B7" t="s">
        <v>29</v>
      </c>
      <c r="C7" t="s">
        <v>32</v>
      </c>
    </row>
    <row r="8" spans="1:3" x14ac:dyDescent="0.3">
      <c r="A8" t="s">
        <v>33</v>
      </c>
      <c r="B8" t="s">
        <v>34</v>
      </c>
      <c r="C8" t="s">
        <v>35</v>
      </c>
    </row>
    <row r="9" spans="1:3" x14ac:dyDescent="0.3">
      <c r="A9" t="s">
        <v>36</v>
      </c>
      <c r="B9" t="s">
        <v>37</v>
      </c>
      <c r="C9" t="s">
        <v>38</v>
      </c>
    </row>
    <row r="10" spans="1:3" x14ac:dyDescent="0.3">
      <c r="A10" t="s">
        <v>39</v>
      </c>
      <c r="B10" t="s">
        <v>40</v>
      </c>
      <c r="C10" t="s">
        <v>41</v>
      </c>
    </row>
    <row r="11" spans="1:3" x14ac:dyDescent="0.3">
      <c r="A11" t="s">
        <v>42</v>
      </c>
      <c r="B11" t="s">
        <v>43</v>
      </c>
      <c r="C11" t="s">
        <v>44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5" customWidth="1"/>
    <col min="3" max="4" width="14" customWidth="1"/>
  </cols>
  <sheetData>
    <row r="1" spans="1:4" x14ac:dyDescent="0.3">
      <c r="A1" s="1" t="s">
        <v>45</v>
      </c>
      <c r="B1" s="1" t="s">
        <v>46</v>
      </c>
      <c r="C1" s="1" t="s">
        <v>47</v>
      </c>
      <c r="D1" s="1" t="s">
        <v>48</v>
      </c>
    </row>
    <row r="2" spans="1:4" x14ac:dyDescent="0.3">
      <c r="A2" t="s">
        <v>49</v>
      </c>
      <c r="B2" t="s">
        <v>50</v>
      </c>
      <c r="C2" t="s">
        <v>51</v>
      </c>
      <c r="D2" t="s">
        <v>52</v>
      </c>
    </row>
    <row r="3" spans="1:4" x14ac:dyDescent="0.3">
      <c r="A3" t="s">
        <v>53</v>
      </c>
      <c r="B3" t="s">
        <v>54</v>
      </c>
      <c r="C3" t="s">
        <v>55</v>
      </c>
      <c r="D3" t="s">
        <v>56</v>
      </c>
    </row>
    <row r="4" spans="1:4" x14ac:dyDescent="0.3">
      <c r="A4" t="s">
        <v>57</v>
      </c>
      <c r="B4" t="s">
        <v>58</v>
      </c>
      <c r="C4" t="s">
        <v>59</v>
      </c>
      <c r="D4" t="s">
        <v>60</v>
      </c>
    </row>
    <row r="5" spans="1:4" x14ac:dyDescent="0.3">
      <c r="A5" t="s">
        <v>61</v>
      </c>
      <c r="B5" t="s">
        <v>62</v>
      </c>
      <c r="C5" t="s">
        <v>63</v>
      </c>
      <c r="D5" t="s">
        <v>64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33203125" customWidth="1"/>
    <col min="2" max="2" width="17.77734375" customWidth="1"/>
  </cols>
  <sheetData>
    <row r="1" spans="1:2" x14ac:dyDescent="0.3">
      <c r="A1" s="1" t="s">
        <v>65</v>
      </c>
      <c r="B1" s="1" t="s">
        <v>66</v>
      </c>
    </row>
    <row r="2" spans="1:2" x14ac:dyDescent="0.3">
      <c r="A2" t="s">
        <v>67</v>
      </c>
      <c r="B2" t="s">
        <v>68</v>
      </c>
    </row>
    <row r="3" spans="1:2" x14ac:dyDescent="0.3">
      <c r="A3" t="s">
        <v>48</v>
      </c>
      <c r="B3" t="s">
        <v>69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361"/>
  <sheetViews>
    <sheetView workbookViewId="0">
      <pane ySplit="1" topLeftCell="A2" activePane="bottomLeft" state="frozen"/>
      <selection pane="bottomLeft" activeCell="I2" sqref="I2"/>
    </sheetView>
  </sheetViews>
  <sheetFormatPr defaultRowHeight="14.4" x14ac:dyDescent="0.3"/>
  <cols>
    <col min="1" max="1" width="11" customWidth="1"/>
    <col min="2" max="2" width="21" customWidth="1"/>
    <col min="3" max="4" width="11" customWidth="1"/>
    <col min="5" max="5" width="15" customWidth="1"/>
    <col min="6" max="6" width="11" customWidth="1"/>
    <col min="7" max="7" width="13" customWidth="1"/>
    <col min="8" max="8" width="20" customWidth="1"/>
    <col min="9" max="9" width="12" customWidth="1"/>
    <col min="10" max="11" width="20" customWidth="1"/>
  </cols>
  <sheetData>
    <row r="1" spans="1:11" x14ac:dyDescent="0.3">
      <c r="A1" s="1" t="s">
        <v>70</v>
      </c>
      <c r="B1" s="1" t="s">
        <v>71</v>
      </c>
      <c r="C1" s="1" t="s">
        <v>72</v>
      </c>
      <c r="D1" s="1" t="s">
        <v>73</v>
      </c>
      <c r="E1" s="1" t="s">
        <v>46</v>
      </c>
      <c r="F1" s="1" t="s">
        <v>65</v>
      </c>
      <c r="G1" s="1" t="s">
        <v>16</v>
      </c>
      <c r="H1" s="1" t="s">
        <v>74</v>
      </c>
      <c r="I1" s="1" t="s">
        <v>75</v>
      </c>
      <c r="J1" s="1" t="s">
        <v>76</v>
      </c>
      <c r="K1" s="1" t="s">
        <v>77</v>
      </c>
    </row>
    <row r="2" spans="1:11" x14ac:dyDescent="0.3">
      <c r="A2" t="s">
        <v>78</v>
      </c>
      <c r="B2" s="2">
        <v>44562</v>
      </c>
      <c r="C2">
        <v>2022</v>
      </c>
      <c r="D2">
        <v>1</v>
      </c>
      <c r="E2" t="s">
        <v>50</v>
      </c>
      <c r="F2" t="s">
        <v>67</v>
      </c>
      <c r="G2" t="s">
        <v>19</v>
      </c>
      <c r="H2" s="3">
        <v>43381.037250181536</v>
      </c>
      <c r="I2">
        <v>8</v>
      </c>
      <c r="J2" s="3">
        <v>26598.82937190634</v>
      </c>
      <c r="K2" s="3">
        <v>16782.207878275211</v>
      </c>
    </row>
    <row r="3" spans="1:11" x14ac:dyDescent="0.3">
      <c r="A3" t="s">
        <v>79</v>
      </c>
      <c r="B3" s="2">
        <v>44562</v>
      </c>
      <c r="C3">
        <v>2022</v>
      </c>
      <c r="D3">
        <v>1</v>
      </c>
      <c r="E3" t="s">
        <v>50</v>
      </c>
      <c r="F3" t="s">
        <v>48</v>
      </c>
      <c r="G3" t="s">
        <v>19</v>
      </c>
      <c r="H3" s="3">
        <v>99863.768173553923</v>
      </c>
      <c r="I3">
        <v>19</v>
      </c>
      <c r="J3" s="3">
        <v>61124.490877965771</v>
      </c>
      <c r="K3" s="3">
        <v>38739.277295588152</v>
      </c>
    </row>
    <row r="4" spans="1:11" x14ac:dyDescent="0.3">
      <c r="A4" t="s">
        <v>80</v>
      </c>
      <c r="B4" s="2">
        <v>44562</v>
      </c>
      <c r="C4">
        <v>2022</v>
      </c>
      <c r="D4">
        <v>1</v>
      </c>
      <c r="E4" t="s">
        <v>54</v>
      </c>
      <c r="F4" t="s">
        <v>67</v>
      </c>
      <c r="G4" t="s">
        <v>19</v>
      </c>
      <c r="H4" s="3">
        <v>30941.51535364419</v>
      </c>
      <c r="I4">
        <v>6</v>
      </c>
      <c r="J4" s="3">
        <v>19521.757240829971</v>
      </c>
      <c r="K4" s="3">
        <v>11419.758112814219</v>
      </c>
    </row>
    <row r="5" spans="1:11" x14ac:dyDescent="0.3">
      <c r="A5" t="s">
        <v>81</v>
      </c>
      <c r="B5" s="2">
        <v>44562</v>
      </c>
      <c r="C5">
        <v>2022</v>
      </c>
      <c r="D5">
        <v>1</v>
      </c>
      <c r="E5" t="s">
        <v>54</v>
      </c>
      <c r="F5" t="s">
        <v>48</v>
      </c>
      <c r="G5" t="s">
        <v>19</v>
      </c>
      <c r="H5" s="3">
        <v>80967.578120132821</v>
      </c>
      <c r="I5">
        <v>16</v>
      </c>
      <c r="J5" s="3">
        <v>48960.393850672262</v>
      </c>
      <c r="K5" s="3">
        <v>32007.184269460558</v>
      </c>
    </row>
    <row r="6" spans="1:11" x14ac:dyDescent="0.3">
      <c r="A6" t="s">
        <v>82</v>
      </c>
      <c r="B6" s="2">
        <v>44562</v>
      </c>
      <c r="C6">
        <v>2022</v>
      </c>
      <c r="D6">
        <v>1</v>
      </c>
      <c r="E6" t="s">
        <v>58</v>
      </c>
      <c r="F6" t="s">
        <v>67</v>
      </c>
      <c r="G6" t="s">
        <v>19</v>
      </c>
      <c r="H6" s="3">
        <v>23938.204139322061</v>
      </c>
      <c r="I6">
        <v>5</v>
      </c>
      <c r="J6" s="3">
        <v>15271.47294824611</v>
      </c>
      <c r="K6" s="3">
        <v>8666.7311910759545</v>
      </c>
    </row>
    <row r="7" spans="1:11" x14ac:dyDescent="0.3">
      <c r="A7" t="s">
        <v>83</v>
      </c>
      <c r="B7" s="2">
        <v>44562</v>
      </c>
      <c r="C7">
        <v>2022</v>
      </c>
      <c r="D7">
        <v>1</v>
      </c>
      <c r="E7" t="s">
        <v>58</v>
      </c>
      <c r="F7" t="s">
        <v>48</v>
      </c>
      <c r="G7" t="s">
        <v>19</v>
      </c>
      <c r="H7" s="3">
        <v>58179.319251704917</v>
      </c>
      <c r="I7">
        <v>11</v>
      </c>
      <c r="J7" s="3">
        <v>36608.931905535399</v>
      </c>
      <c r="K7" s="3">
        <v>21570.387346169529</v>
      </c>
    </row>
    <row r="8" spans="1:11" x14ac:dyDescent="0.3">
      <c r="A8" t="s">
        <v>84</v>
      </c>
      <c r="B8" s="2">
        <v>44562</v>
      </c>
      <c r="C8">
        <v>2022</v>
      </c>
      <c r="D8">
        <v>1</v>
      </c>
      <c r="E8" t="s">
        <v>62</v>
      </c>
      <c r="F8" t="s">
        <v>67</v>
      </c>
      <c r="G8" t="s">
        <v>19</v>
      </c>
      <c r="H8" s="3">
        <v>16540.103152476458</v>
      </c>
      <c r="I8">
        <v>3</v>
      </c>
      <c r="J8" s="3">
        <v>10456.22343899005</v>
      </c>
      <c r="K8" s="3">
        <v>6083.8797134864089</v>
      </c>
    </row>
    <row r="9" spans="1:11" x14ac:dyDescent="0.3">
      <c r="A9" t="s">
        <v>85</v>
      </c>
      <c r="B9" s="2">
        <v>44562</v>
      </c>
      <c r="C9">
        <v>2022</v>
      </c>
      <c r="D9">
        <v>1</v>
      </c>
      <c r="E9" t="s">
        <v>62</v>
      </c>
      <c r="F9" t="s">
        <v>48</v>
      </c>
      <c r="G9" t="s">
        <v>19</v>
      </c>
      <c r="H9" s="3">
        <v>40863.224952860313</v>
      </c>
      <c r="I9">
        <v>8</v>
      </c>
      <c r="J9" s="3">
        <v>25124.08350293227</v>
      </c>
      <c r="K9" s="3">
        <v>15739.14144992804</v>
      </c>
    </row>
    <row r="10" spans="1:11" x14ac:dyDescent="0.3">
      <c r="A10" t="s">
        <v>86</v>
      </c>
      <c r="B10" s="2">
        <v>44562</v>
      </c>
      <c r="C10">
        <v>2022</v>
      </c>
      <c r="D10">
        <v>1</v>
      </c>
      <c r="E10" t="s">
        <v>50</v>
      </c>
      <c r="F10" t="s">
        <v>67</v>
      </c>
      <c r="G10" t="s">
        <v>24</v>
      </c>
      <c r="H10" s="3">
        <v>40914.900025971707</v>
      </c>
      <c r="I10">
        <v>7</v>
      </c>
      <c r="J10" s="3">
        <v>26930.952479913711</v>
      </c>
      <c r="K10" s="3">
        <v>13983.947546058</v>
      </c>
    </row>
    <row r="11" spans="1:11" x14ac:dyDescent="0.3">
      <c r="A11" t="s">
        <v>87</v>
      </c>
      <c r="B11" s="2">
        <v>44562</v>
      </c>
      <c r="C11">
        <v>2022</v>
      </c>
      <c r="D11">
        <v>1</v>
      </c>
      <c r="E11" t="s">
        <v>50</v>
      </c>
      <c r="F11" t="s">
        <v>48</v>
      </c>
      <c r="G11" t="s">
        <v>24</v>
      </c>
      <c r="H11" s="3">
        <v>103339.8743757935</v>
      </c>
      <c r="I11">
        <v>17</v>
      </c>
      <c r="J11" s="3">
        <v>66444.86855374751</v>
      </c>
      <c r="K11" s="3">
        <v>36895.005822045947</v>
      </c>
    </row>
    <row r="12" spans="1:11" x14ac:dyDescent="0.3">
      <c r="A12" t="s">
        <v>88</v>
      </c>
      <c r="B12" s="2">
        <v>44562</v>
      </c>
      <c r="C12">
        <v>2022</v>
      </c>
      <c r="D12">
        <v>1</v>
      </c>
      <c r="E12" t="s">
        <v>54</v>
      </c>
      <c r="F12" t="s">
        <v>67</v>
      </c>
      <c r="G12" t="s">
        <v>24</v>
      </c>
      <c r="H12" s="3">
        <v>28009.84999923583</v>
      </c>
      <c r="I12">
        <v>5</v>
      </c>
      <c r="J12" s="3">
        <v>18311.915901468161</v>
      </c>
      <c r="K12" s="3">
        <v>9697.9340977676729</v>
      </c>
    </row>
    <row r="13" spans="1:11" x14ac:dyDescent="0.3">
      <c r="A13" t="s">
        <v>89</v>
      </c>
      <c r="B13" s="2">
        <v>44562</v>
      </c>
      <c r="C13">
        <v>2022</v>
      </c>
      <c r="D13">
        <v>1</v>
      </c>
      <c r="E13" t="s">
        <v>54</v>
      </c>
      <c r="F13" t="s">
        <v>48</v>
      </c>
      <c r="G13" t="s">
        <v>24</v>
      </c>
      <c r="H13" s="3">
        <v>82210.372928279612</v>
      </c>
      <c r="I13">
        <v>13</v>
      </c>
      <c r="J13" s="3">
        <v>54740.978696240978</v>
      </c>
      <c r="K13" s="3">
        <v>27469.39423203863</v>
      </c>
    </row>
    <row r="14" spans="1:11" x14ac:dyDescent="0.3">
      <c r="A14" t="s">
        <v>90</v>
      </c>
      <c r="B14" s="2">
        <v>44562</v>
      </c>
      <c r="C14">
        <v>2022</v>
      </c>
      <c r="D14">
        <v>1</v>
      </c>
      <c r="E14" t="s">
        <v>58</v>
      </c>
      <c r="F14" t="s">
        <v>67</v>
      </c>
      <c r="G14" t="s">
        <v>24</v>
      </c>
      <c r="H14" s="3">
        <v>21149.174909231871</v>
      </c>
      <c r="I14">
        <v>3</v>
      </c>
      <c r="J14" s="3">
        <v>14284.0941330107</v>
      </c>
      <c r="K14" s="3">
        <v>6865.080776221168</v>
      </c>
    </row>
    <row r="15" spans="1:11" x14ac:dyDescent="0.3">
      <c r="A15" t="s">
        <v>91</v>
      </c>
      <c r="B15" s="2">
        <v>44562</v>
      </c>
      <c r="C15">
        <v>2022</v>
      </c>
      <c r="D15">
        <v>1</v>
      </c>
      <c r="E15" t="s">
        <v>58</v>
      </c>
      <c r="F15" t="s">
        <v>48</v>
      </c>
      <c r="G15" t="s">
        <v>24</v>
      </c>
      <c r="H15" s="3">
        <v>58717.038313861223</v>
      </c>
      <c r="I15">
        <v>10</v>
      </c>
      <c r="J15" s="3">
        <v>37980.938732676499</v>
      </c>
      <c r="K15" s="3">
        <v>20736.099581184721</v>
      </c>
    </row>
    <row r="16" spans="1:11" x14ac:dyDescent="0.3">
      <c r="A16" t="s">
        <v>92</v>
      </c>
      <c r="B16" s="2">
        <v>44562</v>
      </c>
      <c r="C16">
        <v>2022</v>
      </c>
      <c r="D16">
        <v>1</v>
      </c>
      <c r="E16" t="s">
        <v>62</v>
      </c>
      <c r="F16" t="s">
        <v>67</v>
      </c>
      <c r="G16" t="s">
        <v>24</v>
      </c>
      <c r="H16" s="3">
        <v>16455.387970445539</v>
      </c>
      <c r="I16">
        <v>3</v>
      </c>
      <c r="J16" s="3">
        <v>10789.10330155076</v>
      </c>
      <c r="K16" s="3">
        <v>5666.2846688947793</v>
      </c>
    </row>
    <row r="17" spans="1:11" x14ac:dyDescent="0.3">
      <c r="A17" t="s">
        <v>93</v>
      </c>
      <c r="B17" s="2">
        <v>44562</v>
      </c>
      <c r="C17">
        <v>2022</v>
      </c>
      <c r="D17">
        <v>1</v>
      </c>
      <c r="E17" t="s">
        <v>62</v>
      </c>
      <c r="F17" t="s">
        <v>48</v>
      </c>
      <c r="G17" t="s">
        <v>24</v>
      </c>
      <c r="H17" s="3">
        <v>45318.807836803353</v>
      </c>
      <c r="I17">
        <v>7</v>
      </c>
      <c r="J17" s="3">
        <v>29828.955572873809</v>
      </c>
      <c r="K17" s="3">
        <v>15489.852263929541</v>
      </c>
    </row>
    <row r="18" spans="1:11" x14ac:dyDescent="0.3">
      <c r="A18" t="s">
        <v>94</v>
      </c>
      <c r="B18" s="2">
        <v>44562</v>
      </c>
      <c r="C18">
        <v>2022</v>
      </c>
      <c r="D18">
        <v>1</v>
      </c>
      <c r="E18" t="s">
        <v>50</v>
      </c>
      <c r="F18" t="s">
        <v>67</v>
      </c>
      <c r="G18" t="s">
        <v>29</v>
      </c>
      <c r="H18" s="3">
        <v>28477.77826919745</v>
      </c>
      <c r="I18">
        <v>7</v>
      </c>
      <c r="J18" s="3">
        <v>17767.869895556509</v>
      </c>
      <c r="K18" s="3">
        <v>10709.90837364093</v>
      </c>
    </row>
    <row r="19" spans="1:11" x14ac:dyDescent="0.3">
      <c r="A19" t="s">
        <v>95</v>
      </c>
      <c r="B19" s="2">
        <v>44562</v>
      </c>
      <c r="C19">
        <v>2022</v>
      </c>
      <c r="D19">
        <v>1</v>
      </c>
      <c r="E19" t="s">
        <v>50</v>
      </c>
      <c r="F19" t="s">
        <v>48</v>
      </c>
      <c r="G19" t="s">
        <v>29</v>
      </c>
      <c r="H19" s="3">
        <v>74473.788253948209</v>
      </c>
      <c r="I19">
        <v>17</v>
      </c>
      <c r="J19" s="3">
        <v>48170.5654923619</v>
      </c>
      <c r="K19" s="3">
        <v>26303.222761586308</v>
      </c>
    </row>
    <row r="20" spans="1:11" x14ac:dyDescent="0.3">
      <c r="A20" t="s">
        <v>96</v>
      </c>
      <c r="B20" s="2">
        <v>44562</v>
      </c>
      <c r="C20">
        <v>2022</v>
      </c>
      <c r="D20">
        <v>1</v>
      </c>
      <c r="E20" t="s">
        <v>54</v>
      </c>
      <c r="F20" t="s">
        <v>67</v>
      </c>
      <c r="G20" t="s">
        <v>29</v>
      </c>
      <c r="H20" s="3">
        <v>20450.54207121427</v>
      </c>
      <c r="I20">
        <v>5</v>
      </c>
      <c r="J20" s="3">
        <v>12917.781866190129</v>
      </c>
      <c r="K20" s="3">
        <v>7532.7602050241348</v>
      </c>
    </row>
    <row r="21" spans="1:11" x14ac:dyDescent="0.3">
      <c r="A21" t="s">
        <v>97</v>
      </c>
      <c r="B21" s="2">
        <v>44562</v>
      </c>
      <c r="C21">
        <v>2022</v>
      </c>
      <c r="D21">
        <v>1</v>
      </c>
      <c r="E21" t="s">
        <v>54</v>
      </c>
      <c r="F21" t="s">
        <v>48</v>
      </c>
      <c r="G21" t="s">
        <v>29</v>
      </c>
      <c r="H21" s="3">
        <v>58622.414511889117</v>
      </c>
      <c r="I21">
        <v>14</v>
      </c>
      <c r="J21" s="3">
        <v>37386.392279705156</v>
      </c>
      <c r="K21" s="3">
        <v>21236.022232183961</v>
      </c>
    </row>
    <row r="22" spans="1:11" x14ac:dyDescent="0.3">
      <c r="A22" t="s">
        <v>98</v>
      </c>
      <c r="B22" s="2">
        <v>44562</v>
      </c>
      <c r="C22">
        <v>2022</v>
      </c>
      <c r="D22">
        <v>1</v>
      </c>
      <c r="E22" t="s">
        <v>58</v>
      </c>
      <c r="F22" t="s">
        <v>67</v>
      </c>
      <c r="G22" t="s">
        <v>29</v>
      </c>
      <c r="H22" s="3">
        <v>15031.807289899771</v>
      </c>
      <c r="I22">
        <v>3</v>
      </c>
      <c r="J22" s="3">
        <v>9542.0942107898209</v>
      </c>
      <c r="K22" s="3">
        <v>5489.7130791099444</v>
      </c>
    </row>
    <row r="23" spans="1:11" x14ac:dyDescent="0.3">
      <c r="A23" t="s">
        <v>99</v>
      </c>
      <c r="B23" s="2">
        <v>44562</v>
      </c>
      <c r="C23">
        <v>2022</v>
      </c>
      <c r="D23">
        <v>1</v>
      </c>
      <c r="E23" t="s">
        <v>58</v>
      </c>
      <c r="F23" t="s">
        <v>48</v>
      </c>
      <c r="G23" t="s">
        <v>29</v>
      </c>
      <c r="H23" s="3">
        <v>38336.091661932689</v>
      </c>
      <c r="I23">
        <v>9</v>
      </c>
      <c r="J23" s="3">
        <v>24186.5016975338</v>
      </c>
      <c r="K23" s="3">
        <v>14149.589964398891</v>
      </c>
    </row>
    <row r="24" spans="1:11" x14ac:dyDescent="0.3">
      <c r="A24" t="s">
        <v>100</v>
      </c>
      <c r="B24" s="2">
        <v>44562</v>
      </c>
      <c r="C24">
        <v>2022</v>
      </c>
      <c r="D24">
        <v>1</v>
      </c>
      <c r="E24" t="s">
        <v>62</v>
      </c>
      <c r="F24" t="s">
        <v>67</v>
      </c>
      <c r="G24" t="s">
        <v>29</v>
      </c>
      <c r="H24" s="3">
        <v>11185.374312838179</v>
      </c>
      <c r="I24">
        <v>3</v>
      </c>
      <c r="J24" s="3">
        <v>7157.7317750047123</v>
      </c>
      <c r="K24" s="3">
        <v>4027.6425378334629</v>
      </c>
    </row>
    <row r="25" spans="1:11" x14ac:dyDescent="0.3">
      <c r="A25" t="s">
        <v>101</v>
      </c>
      <c r="B25" s="2">
        <v>44562</v>
      </c>
      <c r="C25">
        <v>2022</v>
      </c>
      <c r="D25">
        <v>1</v>
      </c>
      <c r="E25" t="s">
        <v>62</v>
      </c>
      <c r="F25" t="s">
        <v>48</v>
      </c>
      <c r="G25" t="s">
        <v>29</v>
      </c>
      <c r="H25" s="3">
        <v>27974.2381192664</v>
      </c>
      <c r="I25">
        <v>7</v>
      </c>
      <c r="J25" s="3">
        <v>17834.02935860262</v>
      </c>
      <c r="K25" s="3">
        <v>10140.208760663791</v>
      </c>
    </row>
    <row r="26" spans="1:11" x14ac:dyDescent="0.3">
      <c r="A26" t="s">
        <v>102</v>
      </c>
      <c r="B26" s="2">
        <v>44562</v>
      </c>
      <c r="C26">
        <v>2022</v>
      </c>
      <c r="D26">
        <v>1</v>
      </c>
      <c r="E26" t="s">
        <v>50</v>
      </c>
      <c r="F26" t="s">
        <v>67</v>
      </c>
      <c r="G26" t="s">
        <v>34</v>
      </c>
      <c r="H26" s="3">
        <v>24754.668081555668</v>
      </c>
      <c r="I26">
        <v>29</v>
      </c>
      <c r="J26" s="3">
        <v>11802.707591744611</v>
      </c>
      <c r="K26" s="3">
        <v>12951.960489811059</v>
      </c>
    </row>
    <row r="27" spans="1:11" x14ac:dyDescent="0.3">
      <c r="A27" t="s">
        <v>103</v>
      </c>
      <c r="B27" s="2">
        <v>44562</v>
      </c>
      <c r="C27">
        <v>2022</v>
      </c>
      <c r="D27">
        <v>1</v>
      </c>
      <c r="E27" t="s">
        <v>50</v>
      </c>
      <c r="F27" t="s">
        <v>48</v>
      </c>
      <c r="G27" t="s">
        <v>34</v>
      </c>
      <c r="H27" s="3">
        <v>66599.60009639588</v>
      </c>
      <c r="I27">
        <v>78</v>
      </c>
      <c r="J27" s="3">
        <v>31548.636263032891</v>
      </c>
      <c r="K27" s="3">
        <v>35050.963833362992</v>
      </c>
    </row>
    <row r="28" spans="1:11" x14ac:dyDescent="0.3">
      <c r="A28" t="s">
        <v>104</v>
      </c>
      <c r="B28" s="2">
        <v>44562</v>
      </c>
      <c r="C28">
        <v>2022</v>
      </c>
      <c r="D28">
        <v>1</v>
      </c>
      <c r="E28" t="s">
        <v>54</v>
      </c>
      <c r="F28" t="s">
        <v>67</v>
      </c>
      <c r="G28" t="s">
        <v>34</v>
      </c>
      <c r="H28" s="3">
        <v>22151.59629869305</v>
      </c>
      <c r="I28">
        <v>26</v>
      </c>
      <c r="J28" s="3">
        <v>10693.9199836593</v>
      </c>
      <c r="K28" s="3">
        <v>11457.67631503375</v>
      </c>
    </row>
    <row r="29" spans="1:11" x14ac:dyDescent="0.3">
      <c r="A29" t="s">
        <v>105</v>
      </c>
      <c r="B29" s="2">
        <v>44562</v>
      </c>
      <c r="C29">
        <v>2022</v>
      </c>
      <c r="D29">
        <v>1</v>
      </c>
      <c r="E29" t="s">
        <v>54</v>
      </c>
      <c r="F29" t="s">
        <v>48</v>
      </c>
      <c r="G29" t="s">
        <v>34</v>
      </c>
      <c r="H29" s="3">
        <v>57018.492794050348</v>
      </c>
      <c r="I29">
        <v>67</v>
      </c>
      <c r="J29" s="3">
        <v>28183.514184762222</v>
      </c>
      <c r="K29" s="3">
        <v>28834.97860928813</v>
      </c>
    </row>
    <row r="30" spans="1:11" x14ac:dyDescent="0.3">
      <c r="A30" t="s">
        <v>106</v>
      </c>
      <c r="B30" s="2">
        <v>44562</v>
      </c>
      <c r="C30">
        <v>2022</v>
      </c>
      <c r="D30">
        <v>1</v>
      </c>
      <c r="E30" t="s">
        <v>58</v>
      </c>
      <c r="F30" t="s">
        <v>67</v>
      </c>
      <c r="G30" t="s">
        <v>34</v>
      </c>
      <c r="H30" s="3">
        <v>14434.96750468501</v>
      </c>
      <c r="I30">
        <v>17</v>
      </c>
      <c r="J30" s="3">
        <v>6946.2308748342566</v>
      </c>
      <c r="K30" s="3">
        <v>7488.7366298507568</v>
      </c>
    </row>
    <row r="31" spans="1:11" x14ac:dyDescent="0.3">
      <c r="A31" t="s">
        <v>107</v>
      </c>
      <c r="B31" s="2">
        <v>44562</v>
      </c>
      <c r="C31">
        <v>2022</v>
      </c>
      <c r="D31">
        <v>1</v>
      </c>
      <c r="E31" t="s">
        <v>58</v>
      </c>
      <c r="F31" t="s">
        <v>48</v>
      </c>
      <c r="G31" t="s">
        <v>34</v>
      </c>
      <c r="H31" s="3">
        <v>34942.66704402578</v>
      </c>
      <c r="I31">
        <v>41</v>
      </c>
      <c r="J31" s="3">
        <v>17073.212895450291</v>
      </c>
      <c r="K31" s="3">
        <v>17869.454148575489</v>
      </c>
    </row>
    <row r="32" spans="1:11" x14ac:dyDescent="0.3">
      <c r="A32" t="s">
        <v>108</v>
      </c>
      <c r="B32" s="2">
        <v>44562</v>
      </c>
      <c r="C32">
        <v>2022</v>
      </c>
      <c r="D32">
        <v>1</v>
      </c>
      <c r="E32" t="s">
        <v>62</v>
      </c>
      <c r="F32" t="s">
        <v>67</v>
      </c>
      <c r="G32" t="s">
        <v>34</v>
      </c>
      <c r="H32" s="3">
        <v>10423.157661904899</v>
      </c>
      <c r="I32">
        <v>12</v>
      </c>
      <c r="J32" s="3">
        <v>4877.9177377480783</v>
      </c>
      <c r="K32" s="3">
        <v>5545.2399241568246</v>
      </c>
    </row>
    <row r="33" spans="1:11" x14ac:dyDescent="0.3">
      <c r="A33" t="s">
        <v>109</v>
      </c>
      <c r="B33" s="2">
        <v>44562</v>
      </c>
      <c r="C33">
        <v>2022</v>
      </c>
      <c r="D33">
        <v>1</v>
      </c>
      <c r="E33" t="s">
        <v>62</v>
      </c>
      <c r="F33" t="s">
        <v>48</v>
      </c>
      <c r="G33" t="s">
        <v>34</v>
      </c>
      <c r="H33" s="3">
        <v>26390.493018486399</v>
      </c>
      <c r="I33">
        <v>31</v>
      </c>
      <c r="J33" s="3">
        <v>12703.408443555471</v>
      </c>
      <c r="K33" s="3">
        <v>13687.08457493093</v>
      </c>
    </row>
    <row r="34" spans="1:11" x14ac:dyDescent="0.3">
      <c r="A34" t="s">
        <v>110</v>
      </c>
      <c r="B34" s="2">
        <v>44562</v>
      </c>
      <c r="C34">
        <v>2022</v>
      </c>
      <c r="D34">
        <v>1</v>
      </c>
      <c r="E34" t="s">
        <v>50</v>
      </c>
      <c r="F34" t="s">
        <v>67</v>
      </c>
      <c r="G34" t="s">
        <v>37</v>
      </c>
      <c r="H34" s="3">
        <v>20035.50674282547</v>
      </c>
      <c r="I34">
        <v>28</v>
      </c>
      <c r="J34" s="3">
        <v>10801.864038048339</v>
      </c>
      <c r="K34" s="3">
        <v>9233.6427047771285</v>
      </c>
    </row>
    <row r="35" spans="1:11" x14ac:dyDescent="0.3">
      <c r="A35" t="s">
        <v>111</v>
      </c>
      <c r="B35" s="2">
        <v>44562</v>
      </c>
      <c r="C35">
        <v>2022</v>
      </c>
      <c r="D35">
        <v>1</v>
      </c>
      <c r="E35" t="s">
        <v>50</v>
      </c>
      <c r="F35" t="s">
        <v>48</v>
      </c>
      <c r="G35" t="s">
        <v>37</v>
      </c>
      <c r="H35" s="3">
        <v>50773.116989861461</v>
      </c>
      <c r="I35">
        <v>71</v>
      </c>
      <c r="J35" s="3">
        <v>27182.832331328689</v>
      </c>
      <c r="K35" s="3">
        <v>23590.284658532772</v>
      </c>
    </row>
    <row r="36" spans="1:11" x14ac:dyDescent="0.3">
      <c r="A36" t="s">
        <v>112</v>
      </c>
      <c r="B36" s="2">
        <v>44562</v>
      </c>
      <c r="C36">
        <v>2022</v>
      </c>
      <c r="D36">
        <v>1</v>
      </c>
      <c r="E36" t="s">
        <v>54</v>
      </c>
      <c r="F36" t="s">
        <v>67</v>
      </c>
      <c r="G36" t="s">
        <v>37</v>
      </c>
      <c r="H36" s="3">
        <v>17340.59423892626</v>
      </c>
      <c r="I36">
        <v>24</v>
      </c>
      <c r="J36" s="3">
        <v>9410.3975496801977</v>
      </c>
      <c r="K36" s="3">
        <v>7930.1966892460659</v>
      </c>
    </row>
    <row r="37" spans="1:11" x14ac:dyDescent="0.3">
      <c r="A37" t="s">
        <v>113</v>
      </c>
      <c r="B37" s="2">
        <v>44562</v>
      </c>
      <c r="C37">
        <v>2022</v>
      </c>
      <c r="D37">
        <v>1</v>
      </c>
      <c r="E37" t="s">
        <v>54</v>
      </c>
      <c r="F37" t="s">
        <v>48</v>
      </c>
      <c r="G37" t="s">
        <v>37</v>
      </c>
      <c r="H37" s="3">
        <v>44026.720299363733</v>
      </c>
      <c r="I37">
        <v>61</v>
      </c>
      <c r="J37" s="3">
        <v>24734.20280900018</v>
      </c>
      <c r="K37" s="3">
        <v>19292.51749036356</v>
      </c>
    </row>
    <row r="38" spans="1:11" x14ac:dyDescent="0.3">
      <c r="A38" t="s">
        <v>114</v>
      </c>
      <c r="B38" s="2">
        <v>44562</v>
      </c>
      <c r="C38">
        <v>2022</v>
      </c>
      <c r="D38">
        <v>1</v>
      </c>
      <c r="E38" t="s">
        <v>58</v>
      </c>
      <c r="F38" t="s">
        <v>67</v>
      </c>
      <c r="G38" t="s">
        <v>37</v>
      </c>
      <c r="H38" s="3">
        <v>11319.333489336001</v>
      </c>
      <c r="I38">
        <v>16</v>
      </c>
      <c r="J38" s="3">
        <v>6332.0935243849081</v>
      </c>
      <c r="K38" s="3">
        <v>4987.239964951089</v>
      </c>
    </row>
    <row r="39" spans="1:11" x14ac:dyDescent="0.3">
      <c r="A39" t="s">
        <v>115</v>
      </c>
      <c r="B39" s="2">
        <v>44562</v>
      </c>
      <c r="C39">
        <v>2022</v>
      </c>
      <c r="D39">
        <v>1</v>
      </c>
      <c r="E39" t="s">
        <v>58</v>
      </c>
      <c r="F39" t="s">
        <v>48</v>
      </c>
      <c r="G39" t="s">
        <v>37</v>
      </c>
      <c r="H39" s="3">
        <v>29769.6455858386</v>
      </c>
      <c r="I39">
        <v>41</v>
      </c>
      <c r="J39" s="3">
        <v>16444.923300278551</v>
      </c>
      <c r="K39" s="3">
        <v>13324.72228556005</v>
      </c>
    </row>
    <row r="40" spans="1:11" x14ac:dyDescent="0.3">
      <c r="A40" t="s">
        <v>116</v>
      </c>
      <c r="B40" s="2">
        <v>44562</v>
      </c>
      <c r="C40">
        <v>2022</v>
      </c>
      <c r="D40">
        <v>1</v>
      </c>
      <c r="E40" t="s">
        <v>62</v>
      </c>
      <c r="F40" t="s">
        <v>67</v>
      </c>
      <c r="G40" t="s">
        <v>37</v>
      </c>
      <c r="H40" s="3">
        <v>7898.6076249882226</v>
      </c>
      <c r="I40">
        <v>11</v>
      </c>
      <c r="J40" s="3">
        <v>4224.3828104847371</v>
      </c>
      <c r="K40" s="3">
        <v>3674.224814503486</v>
      </c>
    </row>
    <row r="41" spans="1:11" x14ac:dyDescent="0.3">
      <c r="A41" t="s">
        <v>117</v>
      </c>
      <c r="B41" s="2">
        <v>44562</v>
      </c>
      <c r="C41">
        <v>2022</v>
      </c>
      <c r="D41">
        <v>1</v>
      </c>
      <c r="E41" t="s">
        <v>62</v>
      </c>
      <c r="F41" t="s">
        <v>48</v>
      </c>
      <c r="G41" t="s">
        <v>37</v>
      </c>
      <c r="H41" s="3">
        <v>21442.176399048061</v>
      </c>
      <c r="I41">
        <v>30</v>
      </c>
      <c r="J41" s="3">
        <v>11751.53104440371</v>
      </c>
      <c r="K41" s="3">
        <v>9690.6453546443481</v>
      </c>
    </row>
    <row r="42" spans="1:11" x14ac:dyDescent="0.3">
      <c r="A42" t="s">
        <v>118</v>
      </c>
      <c r="B42" s="2">
        <v>44562</v>
      </c>
      <c r="C42">
        <v>2022</v>
      </c>
      <c r="D42">
        <v>1</v>
      </c>
      <c r="E42" t="s">
        <v>50</v>
      </c>
      <c r="F42" t="s">
        <v>67</v>
      </c>
      <c r="G42" t="s">
        <v>40</v>
      </c>
      <c r="H42" s="3">
        <v>20542.132975203502</v>
      </c>
      <c r="I42">
        <v>4</v>
      </c>
      <c r="J42" s="3">
        <v>14251.04546922279</v>
      </c>
      <c r="K42" s="3">
        <v>6291.0875059807076</v>
      </c>
    </row>
    <row r="43" spans="1:11" x14ac:dyDescent="0.3">
      <c r="A43" t="s">
        <v>119</v>
      </c>
      <c r="B43" s="2">
        <v>44562</v>
      </c>
      <c r="C43">
        <v>2022</v>
      </c>
      <c r="D43">
        <v>1</v>
      </c>
      <c r="E43" t="s">
        <v>50</v>
      </c>
      <c r="F43" t="s">
        <v>48</v>
      </c>
      <c r="G43" t="s">
        <v>40</v>
      </c>
      <c r="H43" s="3">
        <v>51496.531086539697</v>
      </c>
      <c r="I43">
        <v>10</v>
      </c>
      <c r="J43" s="3">
        <v>35644.877125451487</v>
      </c>
      <c r="K43" s="3">
        <v>15851.653961088219</v>
      </c>
    </row>
    <row r="44" spans="1:11" x14ac:dyDescent="0.3">
      <c r="A44" t="s">
        <v>120</v>
      </c>
      <c r="B44" s="2">
        <v>44562</v>
      </c>
      <c r="C44">
        <v>2022</v>
      </c>
      <c r="D44">
        <v>1</v>
      </c>
      <c r="E44" t="s">
        <v>54</v>
      </c>
      <c r="F44" t="s">
        <v>67</v>
      </c>
      <c r="G44" t="s">
        <v>40</v>
      </c>
      <c r="H44" s="3">
        <v>14957.35616693985</v>
      </c>
      <c r="I44">
        <v>3</v>
      </c>
      <c r="J44" s="3">
        <v>9978.0535507941131</v>
      </c>
      <c r="K44" s="3">
        <v>4979.3026161457356</v>
      </c>
    </row>
    <row r="45" spans="1:11" x14ac:dyDescent="0.3">
      <c r="A45" t="s">
        <v>121</v>
      </c>
      <c r="B45" s="2">
        <v>44562</v>
      </c>
      <c r="C45">
        <v>2022</v>
      </c>
      <c r="D45">
        <v>1</v>
      </c>
      <c r="E45" t="s">
        <v>54</v>
      </c>
      <c r="F45" t="s">
        <v>48</v>
      </c>
      <c r="G45" t="s">
        <v>40</v>
      </c>
      <c r="H45" s="3">
        <v>37550.156406180467</v>
      </c>
      <c r="I45">
        <v>7</v>
      </c>
      <c r="J45" s="3">
        <v>25494.387765665571</v>
      </c>
      <c r="K45" s="3">
        <v>12055.7686405149</v>
      </c>
    </row>
    <row r="46" spans="1:11" x14ac:dyDescent="0.3">
      <c r="A46" t="s">
        <v>122</v>
      </c>
      <c r="B46" s="2">
        <v>44562</v>
      </c>
      <c r="C46">
        <v>2022</v>
      </c>
      <c r="D46">
        <v>1</v>
      </c>
      <c r="E46" t="s">
        <v>58</v>
      </c>
      <c r="F46" t="s">
        <v>67</v>
      </c>
      <c r="G46" t="s">
        <v>40</v>
      </c>
      <c r="H46" s="3">
        <v>10273.95779328909</v>
      </c>
      <c r="I46">
        <v>2</v>
      </c>
      <c r="J46" s="3">
        <v>7080.8543908946167</v>
      </c>
      <c r="K46" s="3">
        <v>3193.1034023944731</v>
      </c>
    </row>
    <row r="47" spans="1:11" x14ac:dyDescent="0.3">
      <c r="A47" t="s">
        <v>123</v>
      </c>
      <c r="B47" s="2">
        <v>44562</v>
      </c>
      <c r="C47">
        <v>2022</v>
      </c>
      <c r="D47">
        <v>1</v>
      </c>
      <c r="E47" t="s">
        <v>58</v>
      </c>
      <c r="F47" t="s">
        <v>48</v>
      </c>
      <c r="G47" t="s">
        <v>40</v>
      </c>
      <c r="H47" s="3">
        <v>27799.429698050219</v>
      </c>
      <c r="I47">
        <v>5</v>
      </c>
      <c r="J47" s="3">
        <v>19366.77107310003</v>
      </c>
      <c r="K47" s="3">
        <v>8432.6586249501852</v>
      </c>
    </row>
    <row r="48" spans="1:11" x14ac:dyDescent="0.3">
      <c r="A48" t="s">
        <v>124</v>
      </c>
      <c r="B48" s="2">
        <v>44562</v>
      </c>
      <c r="C48">
        <v>2022</v>
      </c>
      <c r="D48">
        <v>1</v>
      </c>
      <c r="E48" t="s">
        <v>62</v>
      </c>
      <c r="F48" t="s">
        <v>67</v>
      </c>
      <c r="G48" t="s">
        <v>40</v>
      </c>
      <c r="H48" s="3">
        <v>8735.3744671214845</v>
      </c>
      <c r="I48">
        <v>2</v>
      </c>
      <c r="J48" s="3">
        <v>5789.1431160382763</v>
      </c>
      <c r="K48" s="3">
        <v>2946.2313510832082</v>
      </c>
    </row>
    <row r="49" spans="1:11" x14ac:dyDescent="0.3">
      <c r="A49" t="s">
        <v>125</v>
      </c>
      <c r="B49" s="2">
        <v>44562</v>
      </c>
      <c r="C49">
        <v>2022</v>
      </c>
      <c r="D49">
        <v>1</v>
      </c>
      <c r="E49" t="s">
        <v>62</v>
      </c>
      <c r="F49" t="s">
        <v>48</v>
      </c>
      <c r="G49" t="s">
        <v>40</v>
      </c>
      <c r="H49" s="3">
        <v>20829.46292100038</v>
      </c>
      <c r="I49">
        <v>4</v>
      </c>
      <c r="J49" s="3">
        <v>14330.387630218849</v>
      </c>
      <c r="K49" s="3">
        <v>6499.0752907815386</v>
      </c>
    </row>
    <row r="50" spans="1:11" x14ac:dyDescent="0.3">
      <c r="A50" t="s">
        <v>126</v>
      </c>
      <c r="B50" s="2">
        <v>44562</v>
      </c>
      <c r="C50">
        <v>2022</v>
      </c>
      <c r="D50">
        <v>1</v>
      </c>
      <c r="E50" t="s">
        <v>50</v>
      </c>
      <c r="F50" t="s">
        <v>67</v>
      </c>
      <c r="G50" t="s">
        <v>43</v>
      </c>
      <c r="H50" s="3">
        <v>40577.026807051952</v>
      </c>
      <c r="I50">
        <v>12</v>
      </c>
      <c r="J50" s="3">
        <v>24002.089539999051</v>
      </c>
      <c r="K50" s="3">
        <v>16574.93726705289</v>
      </c>
    </row>
    <row r="51" spans="1:11" x14ac:dyDescent="0.3">
      <c r="A51" t="s">
        <v>127</v>
      </c>
      <c r="B51" s="2">
        <v>44562</v>
      </c>
      <c r="C51">
        <v>2022</v>
      </c>
      <c r="D51">
        <v>1</v>
      </c>
      <c r="E51" t="s">
        <v>50</v>
      </c>
      <c r="F51" t="s">
        <v>48</v>
      </c>
      <c r="G51" t="s">
        <v>43</v>
      </c>
      <c r="H51" s="3">
        <v>106781.91946163389</v>
      </c>
      <c r="I51">
        <v>31</v>
      </c>
      <c r="J51" s="3">
        <v>63964.812855015203</v>
      </c>
      <c r="K51" s="3">
        <v>42817.106606618647</v>
      </c>
    </row>
    <row r="52" spans="1:11" x14ac:dyDescent="0.3">
      <c r="A52" t="s">
        <v>128</v>
      </c>
      <c r="B52" s="2">
        <v>44562</v>
      </c>
      <c r="C52">
        <v>2022</v>
      </c>
      <c r="D52">
        <v>1</v>
      </c>
      <c r="E52" t="s">
        <v>54</v>
      </c>
      <c r="F52" t="s">
        <v>67</v>
      </c>
      <c r="G52" t="s">
        <v>43</v>
      </c>
      <c r="H52" s="3">
        <v>36450.832478844437</v>
      </c>
      <c r="I52">
        <v>10</v>
      </c>
      <c r="J52" s="3">
        <v>21774.20176602112</v>
      </c>
      <c r="K52" s="3">
        <v>14676.63071282332</v>
      </c>
    </row>
    <row r="53" spans="1:11" x14ac:dyDescent="0.3">
      <c r="A53" t="s">
        <v>129</v>
      </c>
      <c r="B53" s="2">
        <v>44562</v>
      </c>
      <c r="C53">
        <v>2022</v>
      </c>
      <c r="D53">
        <v>1</v>
      </c>
      <c r="E53" t="s">
        <v>54</v>
      </c>
      <c r="F53" t="s">
        <v>48</v>
      </c>
      <c r="G53" t="s">
        <v>43</v>
      </c>
      <c r="H53" s="3">
        <v>87265.148394451389</v>
      </c>
      <c r="I53">
        <v>25</v>
      </c>
      <c r="J53" s="3">
        <v>52026.338945591793</v>
      </c>
      <c r="K53" s="3">
        <v>35238.809448859603</v>
      </c>
    </row>
    <row r="54" spans="1:11" x14ac:dyDescent="0.3">
      <c r="A54" t="s">
        <v>130</v>
      </c>
      <c r="B54" s="2">
        <v>44562</v>
      </c>
      <c r="C54">
        <v>2022</v>
      </c>
      <c r="D54">
        <v>1</v>
      </c>
      <c r="E54" t="s">
        <v>58</v>
      </c>
      <c r="F54" t="s">
        <v>67</v>
      </c>
      <c r="G54" t="s">
        <v>43</v>
      </c>
      <c r="H54" s="3">
        <v>22989.154768068231</v>
      </c>
      <c r="I54">
        <v>7</v>
      </c>
      <c r="J54" s="3">
        <v>13368.299979231509</v>
      </c>
      <c r="K54" s="3">
        <v>9620.8547888367139</v>
      </c>
    </row>
    <row r="55" spans="1:11" x14ac:dyDescent="0.3">
      <c r="A55" t="s">
        <v>131</v>
      </c>
      <c r="B55" s="2">
        <v>44562</v>
      </c>
      <c r="C55">
        <v>2022</v>
      </c>
      <c r="D55">
        <v>1</v>
      </c>
      <c r="E55" t="s">
        <v>58</v>
      </c>
      <c r="F55" t="s">
        <v>48</v>
      </c>
      <c r="G55" t="s">
        <v>43</v>
      </c>
      <c r="H55" s="3">
        <v>59939.781985757589</v>
      </c>
      <c r="I55">
        <v>17</v>
      </c>
      <c r="J55" s="3">
        <v>34149.912606402613</v>
      </c>
      <c r="K55" s="3">
        <v>25789.869379354979</v>
      </c>
    </row>
    <row r="56" spans="1:11" x14ac:dyDescent="0.3">
      <c r="A56" t="s">
        <v>132</v>
      </c>
      <c r="B56" s="2">
        <v>44562</v>
      </c>
      <c r="C56">
        <v>2022</v>
      </c>
      <c r="D56">
        <v>1</v>
      </c>
      <c r="E56" t="s">
        <v>62</v>
      </c>
      <c r="F56" t="s">
        <v>67</v>
      </c>
      <c r="G56" t="s">
        <v>43</v>
      </c>
      <c r="H56" s="3">
        <v>15935.197580567001</v>
      </c>
      <c r="I56">
        <v>5</v>
      </c>
      <c r="J56" s="3">
        <v>9335.2495476280474</v>
      </c>
      <c r="K56" s="3">
        <v>6599.9480329389517</v>
      </c>
    </row>
    <row r="57" spans="1:11" x14ac:dyDescent="0.3">
      <c r="A57" t="s">
        <v>133</v>
      </c>
      <c r="B57" s="2">
        <v>44562</v>
      </c>
      <c r="C57">
        <v>2022</v>
      </c>
      <c r="D57">
        <v>1</v>
      </c>
      <c r="E57" t="s">
        <v>62</v>
      </c>
      <c r="F57" t="s">
        <v>48</v>
      </c>
      <c r="G57" t="s">
        <v>43</v>
      </c>
      <c r="H57" s="3">
        <v>44872.961035837907</v>
      </c>
      <c r="I57">
        <v>13</v>
      </c>
      <c r="J57" s="3">
        <v>26952.375505028958</v>
      </c>
      <c r="K57" s="3">
        <v>17920.585530808949</v>
      </c>
    </row>
    <row r="58" spans="1:11" x14ac:dyDescent="0.3">
      <c r="A58" t="s">
        <v>134</v>
      </c>
      <c r="B58" s="2">
        <v>44593</v>
      </c>
      <c r="C58">
        <v>2022</v>
      </c>
      <c r="D58">
        <v>2</v>
      </c>
      <c r="E58" t="s">
        <v>50</v>
      </c>
      <c r="F58" t="s">
        <v>67</v>
      </c>
      <c r="G58" t="s">
        <v>19</v>
      </c>
      <c r="H58" s="3">
        <v>41125.043054163492</v>
      </c>
      <c r="I58">
        <v>8</v>
      </c>
      <c r="J58" s="3">
        <v>26137.060285794589</v>
      </c>
      <c r="K58" s="3">
        <v>14987.9827683689</v>
      </c>
    </row>
    <row r="59" spans="1:11" x14ac:dyDescent="0.3">
      <c r="A59" t="s">
        <v>135</v>
      </c>
      <c r="B59" s="2">
        <v>44593</v>
      </c>
      <c r="C59">
        <v>2022</v>
      </c>
      <c r="D59">
        <v>2</v>
      </c>
      <c r="E59" t="s">
        <v>50</v>
      </c>
      <c r="F59" t="s">
        <v>48</v>
      </c>
      <c r="G59" t="s">
        <v>19</v>
      </c>
      <c r="H59" s="3">
        <v>98256.844147637428</v>
      </c>
      <c r="I59">
        <v>19</v>
      </c>
      <c r="J59" s="3">
        <v>61698.39341796068</v>
      </c>
      <c r="K59" s="3">
        <v>36558.450729676748</v>
      </c>
    </row>
    <row r="60" spans="1:11" x14ac:dyDescent="0.3">
      <c r="A60" t="s">
        <v>136</v>
      </c>
      <c r="B60" s="2">
        <v>44593</v>
      </c>
      <c r="C60">
        <v>2022</v>
      </c>
      <c r="D60">
        <v>2</v>
      </c>
      <c r="E60" t="s">
        <v>54</v>
      </c>
      <c r="F60" t="s">
        <v>67</v>
      </c>
      <c r="G60" t="s">
        <v>19</v>
      </c>
      <c r="H60" s="3">
        <v>30813.682404032119</v>
      </c>
      <c r="I60">
        <v>6</v>
      </c>
      <c r="J60" s="3">
        <v>19252.125111306901</v>
      </c>
      <c r="K60" s="3">
        <v>11561.55729272522</v>
      </c>
    </row>
    <row r="61" spans="1:11" x14ac:dyDescent="0.3">
      <c r="A61" t="s">
        <v>137</v>
      </c>
      <c r="B61" s="2">
        <v>44593</v>
      </c>
      <c r="C61">
        <v>2022</v>
      </c>
      <c r="D61">
        <v>2</v>
      </c>
      <c r="E61" t="s">
        <v>54</v>
      </c>
      <c r="F61" t="s">
        <v>48</v>
      </c>
      <c r="G61" t="s">
        <v>19</v>
      </c>
      <c r="H61" s="3">
        <v>83174.6174697854</v>
      </c>
      <c r="I61">
        <v>16</v>
      </c>
      <c r="J61" s="3">
        <v>51920.655260311418</v>
      </c>
      <c r="K61" s="3">
        <v>31253.962209473979</v>
      </c>
    </row>
    <row r="62" spans="1:11" x14ac:dyDescent="0.3">
      <c r="A62" t="s">
        <v>138</v>
      </c>
      <c r="B62" s="2">
        <v>44593</v>
      </c>
      <c r="C62">
        <v>2022</v>
      </c>
      <c r="D62">
        <v>2</v>
      </c>
      <c r="E62" t="s">
        <v>58</v>
      </c>
      <c r="F62" t="s">
        <v>67</v>
      </c>
      <c r="G62" t="s">
        <v>19</v>
      </c>
      <c r="H62" s="3">
        <v>23824.9720693784</v>
      </c>
      <c r="I62">
        <v>5</v>
      </c>
      <c r="J62" s="3">
        <v>14623.618111140029</v>
      </c>
      <c r="K62" s="3">
        <v>9201.3539582383746</v>
      </c>
    </row>
    <row r="63" spans="1:11" x14ac:dyDescent="0.3">
      <c r="A63" t="s">
        <v>139</v>
      </c>
      <c r="B63" s="2">
        <v>44593</v>
      </c>
      <c r="C63">
        <v>2022</v>
      </c>
      <c r="D63">
        <v>2</v>
      </c>
      <c r="E63" t="s">
        <v>58</v>
      </c>
      <c r="F63" t="s">
        <v>48</v>
      </c>
      <c r="G63" t="s">
        <v>19</v>
      </c>
      <c r="H63" s="3">
        <v>54786.995301034229</v>
      </c>
      <c r="I63">
        <v>11</v>
      </c>
      <c r="J63" s="3">
        <v>33888.415249001031</v>
      </c>
      <c r="K63" s="3">
        <v>20898.580052033201</v>
      </c>
    </row>
    <row r="64" spans="1:11" x14ac:dyDescent="0.3">
      <c r="A64" t="s">
        <v>140</v>
      </c>
      <c r="B64" s="2">
        <v>44593</v>
      </c>
      <c r="C64">
        <v>2022</v>
      </c>
      <c r="D64">
        <v>2</v>
      </c>
      <c r="E64" t="s">
        <v>62</v>
      </c>
      <c r="F64" t="s">
        <v>67</v>
      </c>
      <c r="G64" t="s">
        <v>19</v>
      </c>
      <c r="H64" s="3">
        <v>17646.615321781799</v>
      </c>
      <c r="I64">
        <v>3</v>
      </c>
      <c r="J64" s="3">
        <v>11269.60175450675</v>
      </c>
      <c r="K64" s="3">
        <v>6377.0135672750484</v>
      </c>
    </row>
    <row r="65" spans="1:11" x14ac:dyDescent="0.3">
      <c r="A65" t="s">
        <v>141</v>
      </c>
      <c r="B65" s="2">
        <v>44593</v>
      </c>
      <c r="C65">
        <v>2022</v>
      </c>
      <c r="D65">
        <v>2</v>
      </c>
      <c r="E65" t="s">
        <v>62</v>
      </c>
      <c r="F65" t="s">
        <v>48</v>
      </c>
      <c r="G65" t="s">
        <v>19</v>
      </c>
      <c r="H65" s="3">
        <v>40502.906518376993</v>
      </c>
      <c r="I65">
        <v>8</v>
      </c>
      <c r="J65" s="3">
        <v>24685.75410042216</v>
      </c>
      <c r="K65" s="3">
        <v>15817.152417954831</v>
      </c>
    </row>
    <row r="66" spans="1:11" x14ac:dyDescent="0.3">
      <c r="A66" t="s">
        <v>142</v>
      </c>
      <c r="B66" s="2">
        <v>44593</v>
      </c>
      <c r="C66">
        <v>2022</v>
      </c>
      <c r="D66">
        <v>2</v>
      </c>
      <c r="E66" t="s">
        <v>50</v>
      </c>
      <c r="F66" t="s">
        <v>67</v>
      </c>
      <c r="G66" t="s">
        <v>24</v>
      </c>
      <c r="H66" s="3">
        <v>38581.578977221419</v>
      </c>
      <c r="I66">
        <v>6</v>
      </c>
      <c r="J66" s="3">
        <v>26203.974624446961</v>
      </c>
      <c r="K66" s="3">
        <v>12377.60435277446</v>
      </c>
    </row>
    <row r="67" spans="1:11" x14ac:dyDescent="0.3">
      <c r="A67" t="s">
        <v>143</v>
      </c>
      <c r="B67" s="2">
        <v>44593</v>
      </c>
      <c r="C67">
        <v>2022</v>
      </c>
      <c r="D67">
        <v>2</v>
      </c>
      <c r="E67" t="s">
        <v>50</v>
      </c>
      <c r="F67" t="s">
        <v>48</v>
      </c>
      <c r="G67" t="s">
        <v>24</v>
      </c>
      <c r="H67" s="3">
        <v>98570.203411396025</v>
      </c>
      <c r="I67">
        <v>16</v>
      </c>
      <c r="J67" s="3">
        <v>64679.234768894719</v>
      </c>
      <c r="K67" s="3">
        <v>33890.968642501313</v>
      </c>
    </row>
    <row r="68" spans="1:11" x14ac:dyDescent="0.3">
      <c r="A68" t="s">
        <v>144</v>
      </c>
      <c r="B68" s="2">
        <v>44593</v>
      </c>
      <c r="C68">
        <v>2022</v>
      </c>
      <c r="D68">
        <v>2</v>
      </c>
      <c r="E68" t="s">
        <v>54</v>
      </c>
      <c r="F68" t="s">
        <v>67</v>
      </c>
      <c r="G68" t="s">
        <v>24</v>
      </c>
      <c r="H68" s="3">
        <v>29901.903536982751</v>
      </c>
      <c r="I68">
        <v>5</v>
      </c>
      <c r="J68" s="3">
        <v>20206.09569809186</v>
      </c>
      <c r="K68" s="3">
        <v>9695.8078388908871</v>
      </c>
    </row>
    <row r="69" spans="1:11" x14ac:dyDescent="0.3">
      <c r="A69" t="s">
        <v>145</v>
      </c>
      <c r="B69" s="2">
        <v>44593</v>
      </c>
      <c r="C69">
        <v>2022</v>
      </c>
      <c r="D69">
        <v>2</v>
      </c>
      <c r="E69" t="s">
        <v>54</v>
      </c>
      <c r="F69" t="s">
        <v>48</v>
      </c>
      <c r="G69" t="s">
        <v>24</v>
      </c>
      <c r="H69" s="3">
        <v>76368.211153321739</v>
      </c>
      <c r="I69">
        <v>13</v>
      </c>
      <c r="J69" s="3">
        <v>49126.680326288573</v>
      </c>
      <c r="K69" s="3">
        <v>27241.53082703317</v>
      </c>
    </row>
    <row r="70" spans="1:11" x14ac:dyDescent="0.3">
      <c r="A70" t="s">
        <v>146</v>
      </c>
      <c r="B70" s="2">
        <v>44593</v>
      </c>
      <c r="C70">
        <v>2022</v>
      </c>
      <c r="D70">
        <v>2</v>
      </c>
      <c r="E70" t="s">
        <v>58</v>
      </c>
      <c r="F70" t="s">
        <v>67</v>
      </c>
      <c r="G70" t="s">
        <v>24</v>
      </c>
      <c r="H70" s="3">
        <v>19068.435575883439</v>
      </c>
      <c r="I70">
        <v>3</v>
      </c>
      <c r="J70" s="3">
        <v>12717.89412506402</v>
      </c>
      <c r="K70" s="3">
        <v>6350.5414508194244</v>
      </c>
    </row>
    <row r="71" spans="1:11" x14ac:dyDescent="0.3">
      <c r="A71" t="s">
        <v>147</v>
      </c>
      <c r="B71" s="2">
        <v>44593</v>
      </c>
      <c r="C71">
        <v>2022</v>
      </c>
      <c r="D71">
        <v>2</v>
      </c>
      <c r="E71" t="s">
        <v>58</v>
      </c>
      <c r="F71" t="s">
        <v>48</v>
      </c>
      <c r="G71" t="s">
        <v>24</v>
      </c>
      <c r="H71" s="3">
        <v>49844.092108634897</v>
      </c>
      <c r="I71">
        <v>8</v>
      </c>
      <c r="J71" s="3">
        <v>32460.823966092539</v>
      </c>
      <c r="K71" s="3">
        <v>17383.268142542362</v>
      </c>
    </row>
    <row r="72" spans="1:11" x14ac:dyDescent="0.3">
      <c r="A72" t="s">
        <v>148</v>
      </c>
      <c r="B72" s="2">
        <v>44593</v>
      </c>
      <c r="C72">
        <v>2022</v>
      </c>
      <c r="D72">
        <v>2</v>
      </c>
      <c r="E72" t="s">
        <v>62</v>
      </c>
      <c r="F72" t="s">
        <v>67</v>
      </c>
      <c r="G72" t="s">
        <v>24</v>
      </c>
      <c r="H72" s="3">
        <v>16994.836900080671</v>
      </c>
      <c r="I72">
        <v>3</v>
      </c>
      <c r="J72" s="3">
        <v>10930.851801103419</v>
      </c>
      <c r="K72" s="3">
        <v>6063.9850989772567</v>
      </c>
    </row>
    <row r="73" spans="1:11" x14ac:dyDescent="0.3">
      <c r="A73" t="s">
        <v>149</v>
      </c>
      <c r="B73" s="2">
        <v>44593</v>
      </c>
      <c r="C73">
        <v>2022</v>
      </c>
      <c r="D73">
        <v>2</v>
      </c>
      <c r="E73" t="s">
        <v>62</v>
      </c>
      <c r="F73" t="s">
        <v>48</v>
      </c>
      <c r="G73" t="s">
        <v>24</v>
      </c>
      <c r="H73" s="3">
        <v>39248.09353177606</v>
      </c>
      <c r="I73">
        <v>6</v>
      </c>
      <c r="J73" s="3">
        <v>26005.637020064889</v>
      </c>
      <c r="K73" s="3">
        <v>13242.456511711171</v>
      </c>
    </row>
    <row r="74" spans="1:11" x14ac:dyDescent="0.3">
      <c r="A74" t="s">
        <v>150</v>
      </c>
      <c r="B74" s="2">
        <v>44593</v>
      </c>
      <c r="C74">
        <v>2022</v>
      </c>
      <c r="D74">
        <v>2</v>
      </c>
      <c r="E74" t="s">
        <v>50</v>
      </c>
      <c r="F74" t="s">
        <v>67</v>
      </c>
      <c r="G74" t="s">
        <v>29</v>
      </c>
      <c r="H74" s="3">
        <v>25508.57455641159</v>
      </c>
      <c r="I74">
        <v>6</v>
      </c>
      <c r="J74" s="3">
        <v>16622.129863224</v>
      </c>
      <c r="K74" s="3">
        <v>8886.4446931875937</v>
      </c>
    </row>
    <row r="75" spans="1:11" x14ac:dyDescent="0.3">
      <c r="A75" t="s">
        <v>151</v>
      </c>
      <c r="B75" s="2">
        <v>44593</v>
      </c>
      <c r="C75">
        <v>2022</v>
      </c>
      <c r="D75">
        <v>2</v>
      </c>
      <c r="E75" t="s">
        <v>50</v>
      </c>
      <c r="F75" t="s">
        <v>48</v>
      </c>
      <c r="G75" t="s">
        <v>29</v>
      </c>
      <c r="H75" s="3">
        <v>68109.927950927682</v>
      </c>
      <c r="I75">
        <v>16</v>
      </c>
      <c r="J75" s="3">
        <v>42927.390554772013</v>
      </c>
      <c r="K75" s="3">
        <v>25182.537396155669</v>
      </c>
    </row>
    <row r="76" spans="1:11" x14ac:dyDescent="0.3">
      <c r="A76" t="s">
        <v>152</v>
      </c>
      <c r="B76" s="2">
        <v>44593</v>
      </c>
      <c r="C76">
        <v>2022</v>
      </c>
      <c r="D76">
        <v>2</v>
      </c>
      <c r="E76" t="s">
        <v>54</v>
      </c>
      <c r="F76" t="s">
        <v>67</v>
      </c>
      <c r="G76" t="s">
        <v>29</v>
      </c>
      <c r="H76" s="3">
        <v>22822.331860126778</v>
      </c>
      <c r="I76">
        <v>5</v>
      </c>
      <c r="J76" s="3">
        <v>14212.18121298498</v>
      </c>
      <c r="K76" s="3">
        <v>8610.1506471418015</v>
      </c>
    </row>
    <row r="77" spans="1:11" x14ac:dyDescent="0.3">
      <c r="A77" t="s">
        <v>153</v>
      </c>
      <c r="B77" s="2">
        <v>44593</v>
      </c>
      <c r="C77">
        <v>2022</v>
      </c>
      <c r="D77">
        <v>2</v>
      </c>
      <c r="E77" t="s">
        <v>54</v>
      </c>
      <c r="F77" t="s">
        <v>48</v>
      </c>
      <c r="G77" t="s">
        <v>29</v>
      </c>
      <c r="H77" s="3">
        <v>57275.342673324267</v>
      </c>
      <c r="I77">
        <v>13</v>
      </c>
      <c r="J77" s="3">
        <v>36595.619038095123</v>
      </c>
      <c r="K77" s="3">
        <v>20679.72363522914</v>
      </c>
    </row>
    <row r="78" spans="1:11" x14ac:dyDescent="0.3">
      <c r="A78" t="s">
        <v>154</v>
      </c>
      <c r="B78" s="2">
        <v>44593</v>
      </c>
      <c r="C78">
        <v>2022</v>
      </c>
      <c r="D78">
        <v>2</v>
      </c>
      <c r="E78" t="s">
        <v>58</v>
      </c>
      <c r="F78" t="s">
        <v>67</v>
      </c>
      <c r="G78" t="s">
        <v>29</v>
      </c>
      <c r="H78" s="3">
        <v>15113.534010361671</v>
      </c>
      <c r="I78">
        <v>4</v>
      </c>
      <c r="J78" s="3">
        <v>9657.4385841205876</v>
      </c>
      <c r="K78" s="3">
        <v>5456.0954262410869</v>
      </c>
    </row>
    <row r="79" spans="1:11" x14ac:dyDescent="0.3">
      <c r="A79" t="s">
        <v>155</v>
      </c>
      <c r="B79" s="2">
        <v>44593</v>
      </c>
      <c r="C79">
        <v>2022</v>
      </c>
      <c r="D79">
        <v>2</v>
      </c>
      <c r="E79" t="s">
        <v>58</v>
      </c>
      <c r="F79" t="s">
        <v>48</v>
      </c>
      <c r="G79" t="s">
        <v>29</v>
      </c>
      <c r="H79" s="3">
        <v>37418.916246371351</v>
      </c>
      <c r="I79">
        <v>9</v>
      </c>
      <c r="J79" s="3">
        <v>24184.468299728651</v>
      </c>
      <c r="K79" s="3">
        <v>13234.4479466427</v>
      </c>
    </row>
    <row r="80" spans="1:11" x14ac:dyDescent="0.3">
      <c r="A80" t="s">
        <v>156</v>
      </c>
      <c r="B80" s="2">
        <v>44593</v>
      </c>
      <c r="C80">
        <v>2022</v>
      </c>
      <c r="D80">
        <v>2</v>
      </c>
      <c r="E80" t="s">
        <v>62</v>
      </c>
      <c r="F80" t="s">
        <v>67</v>
      </c>
      <c r="G80" t="s">
        <v>29</v>
      </c>
      <c r="H80" s="3">
        <v>11863.673704449629</v>
      </c>
      <c r="I80">
        <v>3</v>
      </c>
      <c r="J80" s="3">
        <v>7722.5318061318148</v>
      </c>
      <c r="K80" s="3">
        <v>4141.1418983178146</v>
      </c>
    </row>
    <row r="81" spans="1:11" x14ac:dyDescent="0.3">
      <c r="A81" t="s">
        <v>157</v>
      </c>
      <c r="B81" s="2">
        <v>44593</v>
      </c>
      <c r="C81">
        <v>2022</v>
      </c>
      <c r="D81">
        <v>2</v>
      </c>
      <c r="E81" t="s">
        <v>62</v>
      </c>
      <c r="F81" t="s">
        <v>48</v>
      </c>
      <c r="G81" t="s">
        <v>29</v>
      </c>
      <c r="H81" s="3">
        <v>28416.38877200428</v>
      </c>
      <c r="I81">
        <v>7</v>
      </c>
      <c r="J81" s="3">
        <v>18167.038850549961</v>
      </c>
      <c r="K81" s="3">
        <v>10249.349921454321</v>
      </c>
    </row>
    <row r="82" spans="1:11" x14ac:dyDescent="0.3">
      <c r="A82" t="s">
        <v>158</v>
      </c>
      <c r="B82" s="2">
        <v>44593</v>
      </c>
      <c r="C82">
        <v>2022</v>
      </c>
      <c r="D82">
        <v>2</v>
      </c>
      <c r="E82" t="s">
        <v>50</v>
      </c>
      <c r="F82" t="s">
        <v>67</v>
      </c>
      <c r="G82" t="s">
        <v>34</v>
      </c>
      <c r="H82" s="3">
        <v>23986.59828260824</v>
      </c>
      <c r="I82">
        <v>28</v>
      </c>
      <c r="J82" s="3">
        <v>11898.10949272347</v>
      </c>
      <c r="K82" s="3">
        <v>12088.48878988477</v>
      </c>
    </row>
    <row r="83" spans="1:11" x14ac:dyDescent="0.3">
      <c r="A83" t="s">
        <v>159</v>
      </c>
      <c r="B83" s="2">
        <v>44593</v>
      </c>
      <c r="C83">
        <v>2022</v>
      </c>
      <c r="D83">
        <v>2</v>
      </c>
      <c r="E83" t="s">
        <v>50</v>
      </c>
      <c r="F83" t="s">
        <v>48</v>
      </c>
      <c r="G83" t="s">
        <v>34</v>
      </c>
      <c r="H83" s="3">
        <v>63517.926162650008</v>
      </c>
      <c r="I83">
        <v>75</v>
      </c>
      <c r="J83" s="3">
        <v>30611.66343824971</v>
      </c>
      <c r="K83" s="3">
        <v>32906.262724400302</v>
      </c>
    </row>
    <row r="84" spans="1:11" x14ac:dyDescent="0.3">
      <c r="A84" t="s">
        <v>160</v>
      </c>
      <c r="B84" s="2">
        <v>44593</v>
      </c>
      <c r="C84">
        <v>2022</v>
      </c>
      <c r="D84">
        <v>2</v>
      </c>
      <c r="E84" t="s">
        <v>54</v>
      </c>
      <c r="F84" t="s">
        <v>67</v>
      </c>
      <c r="G84" t="s">
        <v>34</v>
      </c>
      <c r="H84" s="3">
        <v>19243.892073696879</v>
      </c>
      <c r="I84">
        <v>23</v>
      </c>
      <c r="J84" s="3">
        <v>9179.4688206824248</v>
      </c>
      <c r="K84" s="3">
        <v>10064.42325301446</v>
      </c>
    </row>
    <row r="85" spans="1:11" x14ac:dyDescent="0.3">
      <c r="A85" t="s">
        <v>161</v>
      </c>
      <c r="B85" s="2">
        <v>44593</v>
      </c>
      <c r="C85">
        <v>2022</v>
      </c>
      <c r="D85">
        <v>2</v>
      </c>
      <c r="E85" t="s">
        <v>54</v>
      </c>
      <c r="F85" t="s">
        <v>48</v>
      </c>
      <c r="G85" t="s">
        <v>34</v>
      </c>
      <c r="H85" s="3">
        <v>48411.04398888284</v>
      </c>
      <c r="I85">
        <v>57</v>
      </c>
      <c r="J85" s="3">
        <v>22563.228546843118</v>
      </c>
      <c r="K85" s="3">
        <v>25847.815442039719</v>
      </c>
    </row>
    <row r="86" spans="1:11" x14ac:dyDescent="0.3">
      <c r="A86" t="s">
        <v>162</v>
      </c>
      <c r="B86" s="2">
        <v>44593</v>
      </c>
      <c r="C86">
        <v>2022</v>
      </c>
      <c r="D86">
        <v>2</v>
      </c>
      <c r="E86" t="s">
        <v>58</v>
      </c>
      <c r="F86" t="s">
        <v>67</v>
      </c>
      <c r="G86" t="s">
        <v>34</v>
      </c>
      <c r="H86" s="3">
        <v>13899.34815856663</v>
      </c>
      <c r="I86">
        <v>16</v>
      </c>
      <c r="J86" s="3">
        <v>6640.1442376348668</v>
      </c>
      <c r="K86" s="3">
        <v>7259.2039209317636</v>
      </c>
    </row>
    <row r="87" spans="1:11" x14ac:dyDescent="0.3">
      <c r="A87" t="s">
        <v>163</v>
      </c>
      <c r="B87" s="2">
        <v>44593</v>
      </c>
      <c r="C87">
        <v>2022</v>
      </c>
      <c r="D87">
        <v>2</v>
      </c>
      <c r="E87" t="s">
        <v>58</v>
      </c>
      <c r="F87" t="s">
        <v>48</v>
      </c>
      <c r="G87" t="s">
        <v>34</v>
      </c>
      <c r="H87" s="3">
        <v>35727.586416051032</v>
      </c>
      <c r="I87">
        <v>42</v>
      </c>
      <c r="J87" s="3">
        <v>17045.403422469932</v>
      </c>
      <c r="K87" s="3">
        <v>18682.1829935811</v>
      </c>
    </row>
    <row r="88" spans="1:11" x14ac:dyDescent="0.3">
      <c r="A88" t="s">
        <v>164</v>
      </c>
      <c r="B88" s="2">
        <v>44593</v>
      </c>
      <c r="C88">
        <v>2022</v>
      </c>
      <c r="D88">
        <v>2</v>
      </c>
      <c r="E88" t="s">
        <v>62</v>
      </c>
      <c r="F88" t="s">
        <v>67</v>
      </c>
      <c r="G88" t="s">
        <v>34</v>
      </c>
      <c r="H88" s="3">
        <v>9465.8818638973444</v>
      </c>
      <c r="I88">
        <v>11</v>
      </c>
      <c r="J88" s="3">
        <v>4622.1620330333581</v>
      </c>
      <c r="K88" s="3">
        <v>4843.7198308639863</v>
      </c>
    </row>
    <row r="89" spans="1:11" x14ac:dyDescent="0.3">
      <c r="A89" t="s">
        <v>165</v>
      </c>
      <c r="B89" s="2">
        <v>44593</v>
      </c>
      <c r="C89">
        <v>2022</v>
      </c>
      <c r="D89">
        <v>2</v>
      </c>
      <c r="E89" t="s">
        <v>62</v>
      </c>
      <c r="F89" t="s">
        <v>48</v>
      </c>
      <c r="G89" t="s">
        <v>34</v>
      </c>
      <c r="H89" s="3">
        <v>27114.488311424841</v>
      </c>
      <c r="I89">
        <v>32</v>
      </c>
      <c r="J89" s="3">
        <v>13123.30004839996</v>
      </c>
      <c r="K89" s="3">
        <v>13991.18826302488</v>
      </c>
    </row>
    <row r="90" spans="1:11" x14ac:dyDescent="0.3">
      <c r="A90" t="s">
        <v>166</v>
      </c>
      <c r="B90" s="2">
        <v>44593</v>
      </c>
      <c r="C90">
        <v>2022</v>
      </c>
      <c r="D90">
        <v>2</v>
      </c>
      <c r="E90" t="s">
        <v>50</v>
      </c>
      <c r="F90" t="s">
        <v>67</v>
      </c>
      <c r="G90" t="s">
        <v>37</v>
      </c>
      <c r="H90" s="3">
        <v>19669.622693836991</v>
      </c>
      <c r="I90">
        <v>27</v>
      </c>
      <c r="J90" s="3">
        <v>10588.634799781519</v>
      </c>
      <c r="K90" s="3">
        <v>9080.9878940554736</v>
      </c>
    </row>
    <row r="91" spans="1:11" x14ac:dyDescent="0.3">
      <c r="A91" t="s">
        <v>167</v>
      </c>
      <c r="B91" s="2">
        <v>44593</v>
      </c>
      <c r="C91">
        <v>2022</v>
      </c>
      <c r="D91">
        <v>2</v>
      </c>
      <c r="E91" t="s">
        <v>50</v>
      </c>
      <c r="F91" t="s">
        <v>48</v>
      </c>
      <c r="G91" t="s">
        <v>37</v>
      </c>
      <c r="H91" s="3">
        <v>53733.847775558133</v>
      </c>
      <c r="I91">
        <v>75</v>
      </c>
      <c r="J91" s="3">
        <v>29645.249597239988</v>
      </c>
      <c r="K91" s="3">
        <v>24088.598178318141</v>
      </c>
    </row>
    <row r="92" spans="1:11" x14ac:dyDescent="0.3">
      <c r="A92" t="s">
        <v>168</v>
      </c>
      <c r="B92" s="2">
        <v>44593</v>
      </c>
      <c r="C92">
        <v>2022</v>
      </c>
      <c r="D92">
        <v>2</v>
      </c>
      <c r="E92" t="s">
        <v>54</v>
      </c>
      <c r="F92" t="s">
        <v>67</v>
      </c>
      <c r="G92" t="s">
        <v>37</v>
      </c>
      <c r="H92" s="3">
        <v>17023.65095758839</v>
      </c>
      <c r="I92">
        <v>24</v>
      </c>
      <c r="J92" s="3">
        <v>9476.1839581927052</v>
      </c>
      <c r="K92" s="3">
        <v>7547.466999395685</v>
      </c>
    </row>
    <row r="93" spans="1:11" x14ac:dyDescent="0.3">
      <c r="A93" t="s">
        <v>169</v>
      </c>
      <c r="B93" s="2">
        <v>44593</v>
      </c>
      <c r="C93">
        <v>2022</v>
      </c>
      <c r="D93">
        <v>2</v>
      </c>
      <c r="E93" t="s">
        <v>54</v>
      </c>
      <c r="F93" t="s">
        <v>48</v>
      </c>
      <c r="G93" t="s">
        <v>37</v>
      </c>
      <c r="H93" s="3">
        <v>42486.960661604498</v>
      </c>
      <c r="I93">
        <v>59</v>
      </c>
      <c r="J93" s="3">
        <v>24010.550305616969</v>
      </c>
      <c r="K93" s="3">
        <v>18476.410355987529</v>
      </c>
    </row>
    <row r="94" spans="1:11" x14ac:dyDescent="0.3">
      <c r="A94" t="s">
        <v>170</v>
      </c>
      <c r="B94" s="2">
        <v>44593</v>
      </c>
      <c r="C94">
        <v>2022</v>
      </c>
      <c r="D94">
        <v>2</v>
      </c>
      <c r="E94" t="s">
        <v>58</v>
      </c>
      <c r="F94" t="s">
        <v>67</v>
      </c>
      <c r="G94" t="s">
        <v>37</v>
      </c>
      <c r="H94" s="3">
        <v>12435.11262537927</v>
      </c>
      <c r="I94">
        <v>17</v>
      </c>
      <c r="J94" s="3">
        <v>6948.5704406822206</v>
      </c>
      <c r="K94" s="3">
        <v>5486.5421846970512</v>
      </c>
    </row>
    <row r="95" spans="1:11" x14ac:dyDescent="0.3">
      <c r="A95" t="s">
        <v>171</v>
      </c>
      <c r="B95" s="2">
        <v>44593</v>
      </c>
      <c r="C95">
        <v>2022</v>
      </c>
      <c r="D95">
        <v>2</v>
      </c>
      <c r="E95" t="s">
        <v>58</v>
      </c>
      <c r="F95" t="s">
        <v>48</v>
      </c>
      <c r="G95" t="s">
        <v>37</v>
      </c>
      <c r="H95" s="3">
        <v>31564.50264741631</v>
      </c>
      <c r="I95">
        <v>44</v>
      </c>
      <c r="J95" s="3">
        <v>17598.232343798471</v>
      </c>
      <c r="K95" s="3">
        <v>13966.270303617841</v>
      </c>
    </row>
    <row r="96" spans="1:11" x14ac:dyDescent="0.3">
      <c r="A96" t="s">
        <v>172</v>
      </c>
      <c r="B96" s="2">
        <v>44593</v>
      </c>
      <c r="C96">
        <v>2022</v>
      </c>
      <c r="D96">
        <v>2</v>
      </c>
      <c r="E96" t="s">
        <v>62</v>
      </c>
      <c r="F96" t="s">
        <v>67</v>
      </c>
      <c r="G96" t="s">
        <v>37</v>
      </c>
      <c r="H96" s="3">
        <v>8710.9605085885687</v>
      </c>
      <c r="I96">
        <v>12</v>
      </c>
      <c r="J96" s="3">
        <v>4796.210006313212</v>
      </c>
      <c r="K96" s="3">
        <v>3914.7505022753571</v>
      </c>
    </row>
    <row r="97" spans="1:11" x14ac:dyDescent="0.3">
      <c r="A97" t="s">
        <v>173</v>
      </c>
      <c r="B97" s="2">
        <v>44593</v>
      </c>
      <c r="C97">
        <v>2022</v>
      </c>
      <c r="D97">
        <v>2</v>
      </c>
      <c r="E97" t="s">
        <v>62</v>
      </c>
      <c r="F97" t="s">
        <v>48</v>
      </c>
      <c r="G97" t="s">
        <v>37</v>
      </c>
      <c r="H97" s="3">
        <v>22524.183929143219</v>
      </c>
      <c r="I97">
        <v>31</v>
      </c>
      <c r="J97" s="3">
        <v>12474.890630246089</v>
      </c>
      <c r="K97" s="3">
        <v>10049.29329889713</v>
      </c>
    </row>
    <row r="98" spans="1:11" x14ac:dyDescent="0.3">
      <c r="A98" t="s">
        <v>174</v>
      </c>
      <c r="B98" s="2">
        <v>44593</v>
      </c>
      <c r="C98">
        <v>2022</v>
      </c>
      <c r="D98">
        <v>2</v>
      </c>
      <c r="E98" t="s">
        <v>50</v>
      </c>
      <c r="F98" t="s">
        <v>67</v>
      </c>
      <c r="G98" t="s">
        <v>40</v>
      </c>
      <c r="H98" s="3">
        <v>18054.94129008651</v>
      </c>
      <c r="I98">
        <v>3</v>
      </c>
      <c r="J98" s="3">
        <v>12738.10143144884</v>
      </c>
      <c r="K98" s="3">
        <v>5316.8398586376679</v>
      </c>
    </row>
    <row r="99" spans="1:11" x14ac:dyDescent="0.3">
      <c r="A99" t="s">
        <v>175</v>
      </c>
      <c r="B99" s="2">
        <v>44593</v>
      </c>
      <c r="C99">
        <v>2022</v>
      </c>
      <c r="D99">
        <v>2</v>
      </c>
      <c r="E99" t="s">
        <v>50</v>
      </c>
      <c r="F99" t="s">
        <v>48</v>
      </c>
      <c r="G99" t="s">
        <v>40</v>
      </c>
      <c r="H99" s="3">
        <v>46219.602463927738</v>
      </c>
      <c r="I99">
        <v>9</v>
      </c>
      <c r="J99" s="3">
        <v>31126.448216873669</v>
      </c>
      <c r="K99" s="3">
        <v>15093.15424705407</v>
      </c>
    </row>
    <row r="100" spans="1:11" x14ac:dyDescent="0.3">
      <c r="A100" t="s">
        <v>176</v>
      </c>
      <c r="B100" s="2">
        <v>44593</v>
      </c>
      <c r="C100">
        <v>2022</v>
      </c>
      <c r="D100">
        <v>2</v>
      </c>
      <c r="E100" t="s">
        <v>54</v>
      </c>
      <c r="F100" t="s">
        <v>67</v>
      </c>
      <c r="G100" t="s">
        <v>40</v>
      </c>
      <c r="H100" s="3">
        <v>15599.557396497659</v>
      </c>
      <c r="I100">
        <v>3</v>
      </c>
      <c r="J100" s="3">
        <v>10695.991955971769</v>
      </c>
      <c r="K100" s="3">
        <v>4903.5654405258847</v>
      </c>
    </row>
    <row r="101" spans="1:11" x14ac:dyDescent="0.3">
      <c r="A101" t="s">
        <v>177</v>
      </c>
      <c r="B101" s="2">
        <v>44593</v>
      </c>
      <c r="C101">
        <v>2022</v>
      </c>
      <c r="D101">
        <v>2</v>
      </c>
      <c r="E101" t="s">
        <v>54</v>
      </c>
      <c r="F101" t="s">
        <v>48</v>
      </c>
      <c r="G101" t="s">
        <v>40</v>
      </c>
      <c r="H101" s="3">
        <v>40693.247858624927</v>
      </c>
      <c r="I101">
        <v>8</v>
      </c>
      <c r="J101" s="3">
        <v>27687.876944215612</v>
      </c>
      <c r="K101" s="3">
        <v>13005.370914409321</v>
      </c>
    </row>
    <row r="102" spans="1:11" x14ac:dyDescent="0.3">
      <c r="A102" t="s">
        <v>178</v>
      </c>
      <c r="B102" s="2">
        <v>44593</v>
      </c>
      <c r="C102">
        <v>2022</v>
      </c>
      <c r="D102">
        <v>2</v>
      </c>
      <c r="E102" t="s">
        <v>58</v>
      </c>
      <c r="F102" t="s">
        <v>67</v>
      </c>
      <c r="G102" t="s">
        <v>40</v>
      </c>
      <c r="H102" s="3">
        <v>10094.36443113448</v>
      </c>
      <c r="I102">
        <v>2</v>
      </c>
      <c r="J102" s="3">
        <v>7012.6466446476225</v>
      </c>
      <c r="K102" s="3">
        <v>3081.7177864868549</v>
      </c>
    </row>
    <row r="103" spans="1:11" x14ac:dyDescent="0.3">
      <c r="A103" t="s">
        <v>179</v>
      </c>
      <c r="B103" s="2">
        <v>44593</v>
      </c>
      <c r="C103">
        <v>2022</v>
      </c>
      <c r="D103">
        <v>2</v>
      </c>
      <c r="E103" t="s">
        <v>58</v>
      </c>
      <c r="F103" t="s">
        <v>48</v>
      </c>
      <c r="G103" t="s">
        <v>40</v>
      </c>
      <c r="H103" s="3">
        <v>26024.10153037593</v>
      </c>
      <c r="I103">
        <v>5</v>
      </c>
      <c r="J103" s="3">
        <v>18354.261656865769</v>
      </c>
      <c r="K103" s="3">
        <v>7669.8398735101619</v>
      </c>
    </row>
    <row r="104" spans="1:11" x14ac:dyDescent="0.3">
      <c r="A104" t="s">
        <v>180</v>
      </c>
      <c r="B104" s="2">
        <v>44593</v>
      </c>
      <c r="C104">
        <v>2022</v>
      </c>
      <c r="D104">
        <v>2</v>
      </c>
      <c r="E104" t="s">
        <v>62</v>
      </c>
      <c r="F104" t="s">
        <v>67</v>
      </c>
      <c r="G104" t="s">
        <v>40</v>
      </c>
      <c r="H104" s="3">
        <v>7639.3729175876224</v>
      </c>
      <c r="I104">
        <v>1</v>
      </c>
      <c r="J104" s="3">
        <v>5214.5257888904234</v>
      </c>
      <c r="K104" s="3">
        <v>2424.8471286971999</v>
      </c>
    </row>
    <row r="105" spans="1:11" x14ac:dyDescent="0.3">
      <c r="A105" t="s">
        <v>181</v>
      </c>
      <c r="B105" s="2">
        <v>44593</v>
      </c>
      <c r="C105">
        <v>2022</v>
      </c>
      <c r="D105">
        <v>2</v>
      </c>
      <c r="E105" t="s">
        <v>62</v>
      </c>
      <c r="F105" t="s">
        <v>48</v>
      </c>
      <c r="G105" t="s">
        <v>40</v>
      </c>
      <c r="H105" s="3">
        <v>18070.09972293568</v>
      </c>
      <c r="I105">
        <v>3</v>
      </c>
      <c r="J105" s="3">
        <v>11931.911273284421</v>
      </c>
      <c r="K105" s="3">
        <v>6138.188449651263</v>
      </c>
    </row>
    <row r="106" spans="1:11" x14ac:dyDescent="0.3">
      <c r="A106" t="s">
        <v>182</v>
      </c>
      <c r="B106" s="2">
        <v>44593</v>
      </c>
      <c r="C106">
        <v>2022</v>
      </c>
      <c r="D106">
        <v>2</v>
      </c>
      <c r="E106" t="s">
        <v>50</v>
      </c>
      <c r="F106" t="s">
        <v>67</v>
      </c>
      <c r="G106" t="s">
        <v>43</v>
      </c>
      <c r="H106" s="3">
        <v>39784.942375234117</v>
      </c>
      <c r="I106">
        <v>11</v>
      </c>
      <c r="J106" s="3">
        <v>23298.946104797651</v>
      </c>
      <c r="K106" s="3">
        <v>16485.99627043647</v>
      </c>
    </row>
    <row r="107" spans="1:11" x14ac:dyDescent="0.3">
      <c r="A107" t="s">
        <v>183</v>
      </c>
      <c r="B107" s="2">
        <v>44593</v>
      </c>
      <c r="C107">
        <v>2022</v>
      </c>
      <c r="D107">
        <v>2</v>
      </c>
      <c r="E107" t="s">
        <v>50</v>
      </c>
      <c r="F107" t="s">
        <v>48</v>
      </c>
      <c r="G107" t="s">
        <v>43</v>
      </c>
      <c r="H107" s="3">
        <v>109580.8168740215</v>
      </c>
      <c r="I107">
        <v>31</v>
      </c>
      <c r="J107" s="3">
        <v>65715.735435750394</v>
      </c>
      <c r="K107" s="3">
        <v>43865.081438271111</v>
      </c>
    </row>
    <row r="108" spans="1:11" x14ac:dyDescent="0.3">
      <c r="A108" t="s">
        <v>184</v>
      </c>
      <c r="B108" s="2">
        <v>44593</v>
      </c>
      <c r="C108">
        <v>2022</v>
      </c>
      <c r="D108">
        <v>2</v>
      </c>
      <c r="E108" t="s">
        <v>54</v>
      </c>
      <c r="F108" t="s">
        <v>67</v>
      </c>
      <c r="G108" t="s">
        <v>43</v>
      </c>
      <c r="H108" s="3">
        <v>31809.3824475644</v>
      </c>
      <c r="I108">
        <v>9</v>
      </c>
      <c r="J108" s="3">
        <v>18949.155434667671</v>
      </c>
      <c r="K108" s="3">
        <v>12860.22701289673</v>
      </c>
    </row>
    <row r="109" spans="1:11" x14ac:dyDescent="0.3">
      <c r="A109" t="s">
        <v>185</v>
      </c>
      <c r="B109" s="2">
        <v>44593</v>
      </c>
      <c r="C109">
        <v>2022</v>
      </c>
      <c r="D109">
        <v>2</v>
      </c>
      <c r="E109" t="s">
        <v>54</v>
      </c>
      <c r="F109" t="s">
        <v>48</v>
      </c>
      <c r="G109" t="s">
        <v>43</v>
      </c>
      <c r="H109" s="3">
        <v>91019.933842868792</v>
      </c>
      <c r="I109">
        <v>26</v>
      </c>
      <c r="J109" s="3">
        <v>54115.659366821899</v>
      </c>
      <c r="K109" s="3">
        <v>36904.274476046892</v>
      </c>
    </row>
    <row r="110" spans="1:11" x14ac:dyDescent="0.3">
      <c r="A110" t="s">
        <v>186</v>
      </c>
      <c r="B110" s="2">
        <v>44593</v>
      </c>
      <c r="C110">
        <v>2022</v>
      </c>
      <c r="D110">
        <v>2</v>
      </c>
      <c r="E110" t="s">
        <v>58</v>
      </c>
      <c r="F110" t="s">
        <v>67</v>
      </c>
      <c r="G110" t="s">
        <v>43</v>
      </c>
      <c r="H110" s="3">
        <v>25780.642286030401</v>
      </c>
      <c r="I110">
        <v>7</v>
      </c>
      <c r="J110" s="3">
        <v>15133.919464738799</v>
      </c>
      <c r="K110" s="3">
        <v>10646.722821291591</v>
      </c>
    </row>
    <row r="111" spans="1:11" x14ac:dyDescent="0.3">
      <c r="A111" t="s">
        <v>187</v>
      </c>
      <c r="B111" s="2">
        <v>44593</v>
      </c>
      <c r="C111">
        <v>2022</v>
      </c>
      <c r="D111">
        <v>2</v>
      </c>
      <c r="E111" t="s">
        <v>58</v>
      </c>
      <c r="F111" t="s">
        <v>48</v>
      </c>
      <c r="G111" t="s">
        <v>43</v>
      </c>
      <c r="H111" s="3">
        <v>56623.318415456873</v>
      </c>
      <c r="I111">
        <v>16</v>
      </c>
      <c r="J111" s="3">
        <v>32638.625980641391</v>
      </c>
      <c r="K111" s="3">
        <v>23984.69243481549</v>
      </c>
    </row>
    <row r="112" spans="1:11" x14ac:dyDescent="0.3">
      <c r="A112" t="s">
        <v>188</v>
      </c>
      <c r="B112" s="2">
        <v>44593</v>
      </c>
      <c r="C112">
        <v>2022</v>
      </c>
      <c r="D112">
        <v>2</v>
      </c>
      <c r="E112" t="s">
        <v>62</v>
      </c>
      <c r="F112" t="s">
        <v>67</v>
      </c>
      <c r="G112" t="s">
        <v>43</v>
      </c>
      <c r="H112" s="3">
        <v>15872.09890264266</v>
      </c>
      <c r="I112">
        <v>5</v>
      </c>
      <c r="J112" s="3">
        <v>9451.3972344379235</v>
      </c>
      <c r="K112" s="3">
        <v>6420.7016682047397</v>
      </c>
    </row>
    <row r="113" spans="1:11" x14ac:dyDescent="0.3">
      <c r="A113" t="s">
        <v>189</v>
      </c>
      <c r="B113" s="2">
        <v>44593</v>
      </c>
      <c r="C113">
        <v>2022</v>
      </c>
      <c r="D113">
        <v>2</v>
      </c>
      <c r="E113" t="s">
        <v>62</v>
      </c>
      <c r="F113" t="s">
        <v>48</v>
      </c>
      <c r="G113" t="s">
        <v>43</v>
      </c>
      <c r="H113" s="3">
        <v>42587.478939226872</v>
      </c>
      <c r="I113">
        <v>12</v>
      </c>
      <c r="J113" s="3">
        <v>24749.284409412739</v>
      </c>
      <c r="K113" s="3">
        <v>17838.194529814129</v>
      </c>
    </row>
    <row r="114" spans="1:11" x14ac:dyDescent="0.3">
      <c r="A114" t="s">
        <v>190</v>
      </c>
      <c r="B114" s="2">
        <v>44621</v>
      </c>
      <c r="C114">
        <v>2022</v>
      </c>
      <c r="D114">
        <v>3</v>
      </c>
      <c r="E114" t="s">
        <v>50</v>
      </c>
      <c r="F114" t="s">
        <v>67</v>
      </c>
      <c r="G114" t="s">
        <v>19</v>
      </c>
      <c r="H114" s="3">
        <v>39044.33021971905</v>
      </c>
      <c r="I114">
        <v>8</v>
      </c>
      <c r="J114" s="3">
        <v>25159.171526269271</v>
      </c>
      <c r="K114" s="3">
        <v>13885.158693449779</v>
      </c>
    </row>
    <row r="115" spans="1:11" x14ac:dyDescent="0.3">
      <c r="A115" t="s">
        <v>191</v>
      </c>
      <c r="B115" s="2">
        <v>44621</v>
      </c>
      <c r="C115">
        <v>2022</v>
      </c>
      <c r="D115">
        <v>3</v>
      </c>
      <c r="E115" t="s">
        <v>50</v>
      </c>
      <c r="F115" t="s">
        <v>48</v>
      </c>
      <c r="G115" t="s">
        <v>19</v>
      </c>
      <c r="H115" s="3">
        <v>99889.400393292148</v>
      </c>
      <c r="I115">
        <v>19</v>
      </c>
      <c r="J115" s="3">
        <v>62567.410116103558</v>
      </c>
      <c r="K115" s="3">
        <v>37321.99027718859</v>
      </c>
    </row>
    <row r="116" spans="1:11" x14ac:dyDescent="0.3">
      <c r="A116" t="s">
        <v>192</v>
      </c>
      <c r="B116" s="2">
        <v>44621</v>
      </c>
      <c r="C116">
        <v>2022</v>
      </c>
      <c r="D116">
        <v>3</v>
      </c>
      <c r="E116" t="s">
        <v>54</v>
      </c>
      <c r="F116" t="s">
        <v>67</v>
      </c>
      <c r="G116" t="s">
        <v>19</v>
      </c>
      <c r="H116" s="3">
        <v>32713.07714852655</v>
      </c>
      <c r="I116">
        <v>6</v>
      </c>
      <c r="J116" s="3">
        <v>20070.125945357951</v>
      </c>
      <c r="K116" s="3">
        <v>12642.951203168601</v>
      </c>
    </row>
    <row r="117" spans="1:11" x14ac:dyDescent="0.3">
      <c r="A117" t="s">
        <v>193</v>
      </c>
      <c r="B117" s="2">
        <v>44621</v>
      </c>
      <c r="C117">
        <v>2022</v>
      </c>
      <c r="D117">
        <v>3</v>
      </c>
      <c r="E117" t="s">
        <v>54</v>
      </c>
      <c r="F117" t="s">
        <v>48</v>
      </c>
      <c r="G117" t="s">
        <v>19</v>
      </c>
      <c r="H117" s="3">
        <v>81228.526192109639</v>
      </c>
      <c r="I117">
        <v>16</v>
      </c>
      <c r="J117" s="3">
        <v>49807.459183104278</v>
      </c>
      <c r="K117" s="3">
        <v>31421.067009005361</v>
      </c>
    </row>
    <row r="118" spans="1:11" x14ac:dyDescent="0.3">
      <c r="A118" t="s">
        <v>194</v>
      </c>
      <c r="B118" s="2">
        <v>44621</v>
      </c>
      <c r="C118">
        <v>2022</v>
      </c>
      <c r="D118">
        <v>3</v>
      </c>
      <c r="E118" t="s">
        <v>58</v>
      </c>
      <c r="F118" t="s">
        <v>67</v>
      </c>
      <c r="G118" t="s">
        <v>19</v>
      </c>
      <c r="H118" s="3">
        <v>23953.20141858952</v>
      </c>
      <c r="I118">
        <v>5</v>
      </c>
      <c r="J118" s="3">
        <v>14826.139245398461</v>
      </c>
      <c r="K118" s="3">
        <v>9127.0621731910596</v>
      </c>
    </row>
    <row r="119" spans="1:11" x14ac:dyDescent="0.3">
      <c r="A119" t="s">
        <v>195</v>
      </c>
      <c r="B119" s="2">
        <v>44621</v>
      </c>
      <c r="C119">
        <v>2022</v>
      </c>
      <c r="D119">
        <v>3</v>
      </c>
      <c r="E119" t="s">
        <v>58</v>
      </c>
      <c r="F119" t="s">
        <v>48</v>
      </c>
      <c r="G119" t="s">
        <v>19</v>
      </c>
      <c r="H119" s="3">
        <v>55035.353032794417</v>
      </c>
      <c r="I119">
        <v>11</v>
      </c>
      <c r="J119" s="3">
        <v>33974.818107544161</v>
      </c>
      <c r="K119" s="3">
        <v>21060.53492525026</v>
      </c>
    </row>
    <row r="120" spans="1:11" x14ac:dyDescent="0.3">
      <c r="A120" t="s">
        <v>196</v>
      </c>
      <c r="B120" s="2">
        <v>44621</v>
      </c>
      <c r="C120">
        <v>2022</v>
      </c>
      <c r="D120">
        <v>3</v>
      </c>
      <c r="E120" t="s">
        <v>62</v>
      </c>
      <c r="F120" t="s">
        <v>67</v>
      </c>
      <c r="G120" t="s">
        <v>19</v>
      </c>
      <c r="H120" s="3">
        <v>16381.68120631724</v>
      </c>
      <c r="I120">
        <v>3</v>
      </c>
      <c r="J120" s="3">
        <v>10360.82140987905</v>
      </c>
      <c r="K120" s="3">
        <v>6020.8597964381879</v>
      </c>
    </row>
    <row r="121" spans="1:11" x14ac:dyDescent="0.3">
      <c r="A121" t="s">
        <v>197</v>
      </c>
      <c r="B121" s="2">
        <v>44621</v>
      </c>
      <c r="C121">
        <v>2022</v>
      </c>
      <c r="D121">
        <v>3</v>
      </c>
      <c r="E121" t="s">
        <v>62</v>
      </c>
      <c r="F121" t="s">
        <v>48</v>
      </c>
      <c r="G121" t="s">
        <v>19</v>
      </c>
      <c r="H121" s="3">
        <v>43151.466084874519</v>
      </c>
      <c r="I121">
        <v>8</v>
      </c>
      <c r="J121" s="3">
        <v>26843.68147487663</v>
      </c>
      <c r="K121" s="3">
        <v>16307.784609997891</v>
      </c>
    </row>
    <row r="122" spans="1:11" x14ac:dyDescent="0.3">
      <c r="A122" t="s">
        <v>198</v>
      </c>
      <c r="B122" s="2">
        <v>44621</v>
      </c>
      <c r="C122">
        <v>2022</v>
      </c>
      <c r="D122">
        <v>3</v>
      </c>
      <c r="E122" t="s">
        <v>50</v>
      </c>
      <c r="F122" t="s">
        <v>67</v>
      </c>
      <c r="G122" t="s">
        <v>24</v>
      </c>
      <c r="H122" s="3">
        <v>43457.210639523713</v>
      </c>
      <c r="I122">
        <v>7</v>
      </c>
      <c r="J122" s="3">
        <v>28304.038287976538</v>
      </c>
      <c r="K122" s="3">
        <v>15153.172351547169</v>
      </c>
    </row>
    <row r="123" spans="1:11" x14ac:dyDescent="0.3">
      <c r="A123" t="s">
        <v>199</v>
      </c>
      <c r="B123" s="2">
        <v>44621</v>
      </c>
      <c r="C123">
        <v>2022</v>
      </c>
      <c r="D123">
        <v>3</v>
      </c>
      <c r="E123" t="s">
        <v>50</v>
      </c>
      <c r="F123" t="s">
        <v>48</v>
      </c>
      <c r="G123" t="s">
        <v>24</v>
      </c>
      <c r="H123" s="3">
        <v>109878.66124848351</v>
      </c>
      <c r="I123">
        <v>18</v>
      </c>
      <c r="J123" s="3">
        <v>74987.619232855533</v>
      </c>
      <c r="K123" s="3">
        <v>34891.042015627943</v>
      </c>
    </row>
    <row r="124" spans="1:11" x14ac:dyDescent="0.3">
      <c r="A124" t="s">
        <v>200</v>
      </c>
      <c r="B124" s="2">
        <v>44621</v>
      </c>
      <c r="C124">
        <v>2022</v>
      </c>
      <c r="D124">
        <v>3</v>
      </c>
      <c r="E124" t="s">
        <v>54</v>
      </c>
      <c r="F124" t="s">
        <v>67</v>
      </c>
      <c r="G124" t="s">
        <v>24</v>
      </c>
      <c r="H124" s="3">
        <v>34541.493877388253</v>
      </c>
      <c r="I124">
        <v>6</v>
      </c>
      <c r="J124" s="3">
        <v>22817.619778240209</v>
      </c>
      <c r="K124" s="3">
        <v>11723.87409914805</v>
      </c>
    </row>
    <row r="125" spans="1:11" x14ac:dyDescent="0.3">
      <c r="A125" t="s">
        <v>201</v>
      </c>
      <c r="B125" s="2">
        <v>44621</v>
      </c>
      <c r="C125">
        <v>2022</v>
      </c>
      <c r="D125">
        <v>3</v>
      </c>
      <c r="E125" t="s">
        <v>54</v>
      </c>
      <c r="F125" t="s">
        <v>48</v>
      </c>
      <c r="G125" t="s">
        <v>24</v>
      </c>
      <c r="H125" s="3">
        <v>100445.4043910679</v>
      </c>
      <c r="I125">
        <v>16</v>
      </c>
      <c r="J125" s="3">
        <v>67211.416674620195</v>
      </c>
      <c r="K125" s="3">
        <v>33233.987716447737</v>
      </c>
    </row>
    <row r="126" spans="1:11" x14ac:dyDescent="0.3">
      <c r="A126" t="s">
        <v>202</v>
      </c>
      <c r="B126" s="2">
        <v>44621</v>
      </c>
      <c r="C126">
        <v>2022</v>
      </c>
      <c r="D126">
        <v>3</v>
      </c>
      <c r="E126" t="s">
        <v>58</v>
      </c>
      <c r="F126" t="s">
        <v>67</v>
      </c>
      <c r="G126" t="s">
        <v>24</v>
      </c>
      <c r="H126" s="3">
        <v>25436.415440249359</v>
      </c>
      <c r="I126">
        <v>4</v>
      </c>
      <c r="J126" s="3">
        <v>16604.23749731795</v>
      </c>
      <c r="K126" s="3">
        <v>8832.1779429314083</v>
      </c>
    </row>
    <row r="127" spans="1:11" x14ac:dyDescent="0.3">
      <c r="A127" t="s">
        <v>203</v>
      </c>
      <c r="B127" s="2">
        <v>44621</v>
      </c>
      <c r="C127">
        <v>2022</v>
      </c>
      <c r="D127">
        <v>3</v>
      </c>
      <c r="E127" t="s">
        <v>58</v>
      </c>
      <c r="F127" t="s">
        <v>48</v>
      </c>
      <c r="G127" t="s">
        <v>24</v>
      </c>
      <c r="H127" s="3">
        <v>64160.530524562972</v>
      </c>
      <c r="I127">
        <v>11</v>
      </c>
      <c r="J127" s="3">
        <v>42622.726719067599</v>
      </c>
      <c r="K127" s="3">
        <v>21537.803805495369</v>
      </c>
    </row>
    <row r="128" spans="1:11" x14ac:dyDescent="0.3">
      <c r="A128" t="s">
        <v>204</v>
      </c>
      <c r="B128" s="2">
        <v>44621</v>
      </c>
      <c r="C128">
        <v>2022</v>
      </c>
      <c r="D128">
        <v>3</v>
      </c>
      <c r="E128" t="s">
        <v>62</v>
      </c>
      <c r="F128" t="s">
        <v>67</v>
      </c>
      <c r="G128" t="s">
        <v>24</v>
      </c>
      <c r="H128" s="3">
        <v>17933.408262121309</v>
      </c>
      <c r="I128">
        <v>3</v>
      </c>
      <c r="J128" s="3">
        <v>11902.331091328941</v>
      </c>
      <c r="K128" s="3">
        <v>6031.0771707923668</v>
      </c>
    </row>
    <row r="129" spans="1:11" x14ac:dyDescent="0.3">
      <c r="A129" t="s">
        <v>205</v>
      </c>
      <c r="B129" s="2">
        <v>44621</v>
      </c>
      <c r="C129">
        <v>2022</v>
      </c>
      <c r="D129">
        <v>3</v>
      </c>
      <c r="E129" t="s">
        <v>62</v>
      </c>
      <c r="F129" t="s">
        <v>48</v>
      </c>
      <c r="G129" t="s">
        <v>24</v>
      </c>
      <c r="H129" s="3">
        <v>50659.823769926203</v>
      </c>
      <c r="I129">
        <v>8</v>
      </c>
      <c r="J129" s="3">
        <v>32298.21960267155</v>
      </c>
      <c r="K129" s="3">
        <v>18361.604167254649</v>
      </c>
    </row>
    <row r="130" spans="1:11" x14ac:dyDescent="0.3">
      <c r="A130" t="s">
        <v>206</v>
      </c>
      <c r="B130" s="2">
        <v>44621</v>
      </c>
      <c r="C130">
        <v>2022</v>
      </c>
      <c r="D130">
        <v>3</v>
      </c>
      <c r="E130" t="s">
        <v>50</v>
      </c>
      <c r="F130" t="s">
        <v>67</v>
      </c>
      <c r="G130" t="s">
        <v>29</v>
      </c>
      <c r="H130" s="3">
        <v>30096.12721371423</v>
      </c>
      <c r="I130">
        <v>7</v>
      </c>
      <c r="J130" s="3">
        <v>19960.232181392141</v>
      </c>
      <c r="K130" s="3">
        <v>10135.895032322091</v>
      </c>
    </row>
    <row r="131" spans="1:11" x14ac:dyDescent="0.3">
      <c r="A131" t="s">
        <v>207</v>
      </c>
      <c r="B131" s="2">
        <v>44621</v>
      </c>
      <c r="C131">
        <v>2022</v>
      </c>
      <c r="D131">
        <v>3</v>
      </c>
      <c r="E131" t="s">
        <v>50</v>
      </c>
      <c r="F131" t="s">
        <v>48</v>
      </c>
      <c r="G131" t="s">
        <v>29</v>
      </c>
      <c r="H131" s="3">
        <v>75706.729259013853</v>
      </c>
      <c r="I131">
        <v>18</v>
      </c>
      <c r="J131" s="3">
        <v>49577.931349070474</v>
      </c>
      <c r="K131" s="3">
        <v>26128.79790994338</v>
      </c>
    </row>
    <row r="132" spans="1:11" x14ac:dyDescent="0.3">
      <c r="A132" t="s">
        <v>208</v>
      </c>
      <c r="B132" s="2">
        <v>44621</v>
      </c>
      <c r="C132">
        <v>2022</v>
      </c>
      <c r="D132">
        <v>3</v>
      </c>
      <c r="E132" t="s">
        <v>54</v>
      </c>
      <c r="F132" t="s">
        <v>67</v>
      </c>
      <c r="G132" t="s">
        <v>29</v>
      </c>
      <c r="H132" s="3">
        <v>24080.54539318259</v>
      </c>
      <c r="I132">
        <v>6</v>
      </c>
      <c r="J132" s="3">
        <v>15301.3639398753</v>
      </c>
      <c r="K132" s="3">
        <v>8779.1814533072902</v>
      </c>
    </row>
    <row r="133" spans="1:11" x14ac:dyDescent="0.3">
      <c r="A133" t="s">
        <v>209</v>
      </c>
      <c r="B133" s="2">
        <v>44621</v>
      </c>
      <c r="C133">
        <v>2022</v>
      </c>
      <c r="D133">
        <v>3</v>
      </c>
      <c r="E133" t="s">
        <v>54</v>
      </c>
      <c r="F133" t="s">
        <v>48</v>
      </c>
      <c r="G133" t="s">
        <v>29</v>
      </c>
      <c r="H133" s="3">
        <v>60354.314614498668</v>
      </c>
      <c r="I133">
        <v>14</v>
      </c>
      <c r="J133" s="3">
        <v>37860.373369471621</v>
      </c>
      <c r="K133" s="3">
        <v>22493.94124502705</v>
      </c>
    </row>
    <row r="134" spans="1:11" x14ac:dyDescent="0.3">
      <c r="A134" t="s">
        <v>210</v>
      </c>
      <c r="B134" s="2">
        <v>44621</v>
      </c>
      <c r="C134">
        <v>2022</v>
      </c>
      <c r="D134">
        <v>3</v>
      </c>
      <c r="E134" t="s">
        <v>58</v>
      </c>
      <c r="F134" t="s">
        <v>67</v>
      </c>
      <c r="G134" t="s">
        <v>29</v>
      </c>
      <c r="H134" s="3">
        <v>15974.581290719219</v>
      </c>
      <c r="I134">
        <v>4</v>
      </c>
      <c r="J134" s="3">
        <v>10287.69280849761</v>
      </c>
      <c r="K134" s="3">
        <v>5686.888482221615</v>
      </c>
    </row>
    <row r="135" spans="1:11" x14ac:dyDescent="0.3">
      <c r="A135" t="s">
        <v>211</v>
      </c>
      <c r="B135" s="2">
        <v>44621</v>
      </c>
      <c r="C135">
        <v>2022</v>
      </c>
      <c r="D135">
        <v>3</v>
      </c>
      <c r="E135" t="s">
        <v>58</v>
      </c>
      <c r="F135" t="s">
        <v>48</v>
      </c>
      <c r="G135" t="s">
        <v>29</v>
      </c>
      <c r="H135" s="3">
        <v>40376.367099237119</v>
      </c>
      <c r="I135">
        <v>9</v>
      </c>
      <c r="J135" s="3">
        <v>25881.201142863989</v>
      </c>
      <c r="K135" s="3">
        <v>14495.16595637313</v>
      </c>
    </row>
    <row r="136" spans="1:11" x14ac:dyDescent="0.3">
      <c r="A136" t="s">
        <v>212</v>
      </c>
      <c r="B136" s="2">
        <v>44621</v>
      </c>
      <c r="C136">
        <v>2022</v>
      </c>
      <c r="D136">
        <v>3</v>
      </c>
      <c r="E136" t="s">
        <v>62</v>
      </c>
      <c r="F136" t="s">
        <v>67</v>
      </c>
      <c r="G136" t="s">
        <v>29</v>
      </c>
      <c r="H136" s="3">
        <v>11777.900977954199</v>
      </c>
      <c r="I136">
        <v>3</v>
      </c>
      <c r="J136" s="3">
        <v>7586.114293620607</v>
      </c>
      <c r="K136" s="3">
        <v>4191.786684333596</v>
      </c>
    </row>
    <row r="137" spans="1:11" x14ac:dyDescent="0.3">
      <c r="A137" t="s">
        <v>213</v>
      </c>
      <c r="B137" s="2">
        <v>44621</v>
      </c>
      <c r="C137">
        <v>2022</v>
      </c>
      <c r="D137">
        <v>3</v>
      </c>
      <c r="E137" t="s">
        <v>62</v>
      </c>
      <c r="F137" t="s">
        <v>48</v>
      </c>
      <c r="G137" t="s">
        <v>29</v>
      </c>
      <c r="H137" s="3">
        <v>31959.822410662779</v>
      </c>
      <c r="I137">
        <v>7</v>
      </c>
      <c r="J137" s="3">
        <v>20524.820763358381</v>
      </c>
      <c r="K137" s="3">
        <v>11435.0016473044</v>
      </c>
    </row>
    <row r="138" spans="1:11" x14ac:dyDescent="0.3">
      <c r="A138" t="s">
        <v>214</v>
      </c>
      <c r="B138" s="2">
        <v>44621</v>
      </c>
      <c r="C138">
        <v>2022</v>
      </c>
      <c r="D138">
        <v>3</v>
      </c>
      <c r="E138" t="s">
        <v>50</v>
      </c>
      <c r="F138" t="s">
        <v>67</v>
      </c>
      <c r="G138" t="s">
        <v>34</v>
      </c>
      <c r="H138" s="3">
        <v>27663.798056130188</v>
      </c>
      <c r="I138">
        <v>33</v>
      </c>
      <c r="J138" s="3">
        <v>13399.62236594702</v>
      </c>
      <c r="K138" s="3">
        <v>14264.17569018317</v>
      </c>
    </row>
    <row r="139" spans="1:11" x14ac:dyDescent="0.3">
      <c r="A139" t="s">
        <v>215</v>
      </c>
      <c r="B139" s="2">
        <v>44621</v>
      </c>
      <c r="C139">
        <v>2022</v>
      </c>
      <c r="D139">
        <v>3</v>
      </c>
      <c r="E139" t="s">
        <v>50</v>
      </c>
      <c r="F139" t="s">
        <v>48</v>
      </c>
      <c r="G139" t="s">
        <v>34</v>
      </c>
      <c r="H139" s="3">
        <v>77870.67272182829</v>
      </c>
      <c r="I139">
        <v>92</v>
      </c>
      <c r="J139" s="3">
        <v>38351.673961849083</v>
      </c>
      <c r="K139" s="3">
        <v>39518.998759979208</v>
      </c>
    </row>
    <row r="140" spans="1:11" x14ac:dyDescent="0.3">
      <c r="A140" t="s">
        <v>216</v>
      </c>
      <c r="B140" s="2">
        <v>44621</v>
      </c>
      <c r="C140">
        <v>2022</v>
      </c>
      <c r="D140">
        <v>3</v>
      </c>
      <c r="E140" t="s">
        <v>54</v>
      </c>
      <c r="F140" t="s">
        <v>67</v>
      </c>
      <c r="G140" t="s">
        <v>34</v>
      </c>
      <c r="H140" s="3">
        <v>22702.892793964849</v>
      </c>
      <c r="I140">
        <v>27</v>
      </c>
      <c r="J140" s="3">
        <v>11008.82368554232</v>
      </c>
      <c r="K140" s="3">
        <v>11694.069108422529</v>
      </c>
    </row>
    <row r="141" spans="1:11" x14ac:dyDescent="0.3">
      <c r="A141" t="s">
        <v>217</v>
      </c>
      <c r="B141" s="2">
        <v>44621</v>
      </c>
      <c r="C141">
        <v>2022</v>
      </c>
      <c r="D141">
        <v>3</v>
      </c>
      <c r="E141" t="s">
        <v>54</v>
      </c>
      <c r="F141" t="s">
        <v>48</v>
      </c>
      <c r="G141" t="s">
        <v>34</v>
      </c>
      <c r="H141" s="3">
        <v>62845.799824129288</v>
      </c>
      <c r="I141">
        <v>74</v>
      </c>
      <c r="J141" s="3">
        <v>29596.033879435701</v>
      </c>
      <c r="K141" s="3">
        <v>33249.765944693587</v>
      </c>
    </row>
    <row r="142" spans="1:11" x14ac:dyDescent="0.3">
      <c r="A142" t="s">
        <v>218</v>
      </c>
      <c r="B142" s="2">
        <v>44621</v>
      </c>
      <c r="C142">
        <v>2022</v>
      </c>
      <c r="D142">
        <v>3</v>
      </c>
      <c r="E142" t="s">
        <v>58</v>
      </c>
      <c r="F142" t="s">
        <v>67</v>
      </c>
      <c r="G142" t="s">
        <v>34</v>
      </c>
      <c r="H142" s="3">
        <v>17623.444620846931</v>
      </c>
      <c r="I142">
        <v>21</v>
      </c>
      <c r="J142" s="3">
        <v>8666.7261784495458</v>
      </c>
      <c r="K142" s="3">
        <v>8956.7184423973886</v>
      </c>
    </row>
    <row r="143" spans="1:11" x14ac:dyDescent="0.3">
      <c r="A143" t="s">
        <v>219</v>
      </c>
      <c r="B143" s="2">
        <v>44621</v>
      </c>
      <c r="C143">
        <v>2022</v>
      </c>
      <c r="D143">
        <v>3</v>
      </c>
      <c r="E143" t="s">
        <v>58</v>
      </c>
      <c r="F143" t="s">
        <v>48</v>
      </c>
      <c r="G143" t="s">
        <v>34</v>
      </c>
      <c r="H143" s="3">
        <v>41639.141341304858</v>
      </c>
      <c r="I143">
        <v>49</v>
      </c>
      <c r="J143" s="3">
        <v>20577.018917677109</v>
      </c>
      <c r="K143" s="3">
        <v>21062.122423627749</v>
      </c>
    </row>
    <row r="144" spans="1:11" x14ac:dyDescent="0.3">
      <c r="A144" t="s">
        <v>220</v>
      </c>
      <c r="B144" s="2">
        <v>44621</v>
      </c>
      <c r="C144">
        <v>2022</v>
      </c>
      <c r="D144">
        <v>3</v>
      </c>
      <c r="E144" t="s">
        <v>62</v>
      </c>
      <c r="F144" t="s">
        <v>67</v>
      </c>
      <c r="G144" t="s">
        <v>34</v>
      </c>
      <c r="H144" s="3">
        <v>12370.71996706447</v>
      </c>
      <c r="I144">
        <v>15</v>
      </c>
      <c r="J144" s="3">
        <v>6274.8469288116212</v>
      </c>
      <c r="K144" s="3">
        <v>6095.8730382528483</v>
      </c>
    </row>
    <row r="145" spans="1:11" x14ac:dyDescent="0.3">
      <c r="A145" t="s">
        <v>221</v>
      </c>
      <c r="B145" s="2">
        <v>44621</v>
      </c>
      <c r="C145">
        <v>2022</v>
      </c>
      <c r="D145">
        <v>3</v>
      </c>
      <c r="E145" t="s">
        <v>62</v>
      </c>
      <c r="F145" t="s">
        <v>48</v>
      </c>
      <c r="G145" t="s">
        <v>34</v>
      </c>
      <c r="H145" s="3">
        <v>29642.161667750701</v>
      </c>
      <c r="I145">
        <v>35</v>
      </c>
      <c r="J145" s="3">
        <v>13940.50147966174</v>
      </c>
      <c r="K145" s="3">
        <v>15701.660188088959</v>
      </c>
    </row>
    <row r="146" spans="1:11" x14ac:dyDescent="0.3">
      <c r="A146" t="s">
        <v>222</v>
      </c>
      <c r="B146" s="2">
        <v>44621</v>
      </c>
      <c r="C146">
        <v>2022</v>
      </c>
      <c r="D146">
        <v>3</v>
      </c>
      <c r="E146" t="s">
        <v>50</v>
      </c>
      <c r="F146" t="s">
        <v>67</v>
      </c>
      <c r="G146" t="s">
        <v>37</v>
      </c>
      <c r="H146" s="3">
        <v>26499.396573619331</v>
      </c>
      <c r="I146">
        <v>37</v>
      </c>
      <c r="J146" s="3">
        <v>14638.386760682601</v>
      </c>
      <c r="K146" s="3">
        <v>11861.00981293672</v>
      </c>
    </row>
    <row r="147" spans="1:11" x14ac:dyDescent="0.3">
      <c r="A147" t="s">
        <v>223</v>
      </c>
      <c r="B147" s="2">
        <v>44621</v>
      </c>
      <c r="C147">
        <v>2022</v>
      </c>
      <c r="D147">
        <v>3</v>
      </c>
      <c r="E147" t="s">
        <v>50</v>
      </c>
      <c r="F147" t="s">
        <v>48</v>
      </c>
      <c r="G147" t="s">
        <v>37</v>
      </c>
      <c r="H147" s="3">
        <v>59411.557534711137</v>
      </c>
      <c r="I147">
        <v>83</v>
      </c>
      <c r="J147" s="3">
        <v>31451.71944780627</v>
      </c>
      <c r="K147" s="3">
        <v>27959.838086904871</v>
      </c>
    </row>
    <row r="148" spans="1:11" x14ac:dyDescent="0.3">
      <c r="A148" t="s">
        <v>224</v>
      </c>
      <c r="B148" s="2">
        <v>44621</v>
      </c>
      <c r="C148">
        <v>2022</v>
      </c>
      <c r="D148">
        <v>3</v>
      </c>
      <c r="E148" t="s">
        <v>54</v>
      </c>
      <c r="F148" t="s">
        <v>67</v>
      </c>
      <c r="G148" t="s">
        <v>37</v>
      </c>
      <c r="H148" s="3">
        <v>17919.94509305049</v>
      </c>
      <c r="I148">
        <v>25</v>
      </c>
      <c r="J148" s="3">
        <v>9954.1025860325371</v>
      </c>
      <c r="K148" s="3">
        <v>7965.8425070179492</v>
      </c>
    </row>
    <row r="149" spans="1:11" x14ac:dyDescent="0.3">
      <c r="A149" t="s">
        <v>225</v>
      </c>
      <c r="B149" s="2">
        <v>44621</v>
      </c>
      <c r="C149">
        <v>2022</v>
      </c>
      <c r="D149">
        <v>3</v>
      </c>
      <c r="E149" t="s">
        <v>54</v>
      </c>
      <c r="F149" t="s">
        <v>48</v>
      </c>
      <c r="G149" t="s">
        <v>37</v>
      </c>
      <c r="H149" s="3">
        <v>48772.827820312858</v>
      </c>
      <c r="I149">
        <v>68</v>
      </c>
      <c r="J149" s="3">
        <v>26560.356241512109</v>
      </c>
      <c r="K149" s="3">
        <v>22212.471578800749</v>
      </c>
    </row>
    <row r="150" spans="1:11" x14ac:dyDescent="0.3">
      <c r="A150" t="s">
        <v>226</v>
      </c>
      <c r="B150" s="2">
        <v>44621</v>
      </c>
      <c r="C150">
        <v>2022</v>
      </c>
      <c r="D150">
        <v>3</v>
      </c>
      <c r="E150" t="s">
        <v>58</v>
      </c>
      <c r="F150" t="s">
        <v>67</v>
      </c>
      <c r="G150" t="s">
        <v>37</v>
      </c>
      <c r="H150" s="3">
        <v>12035.699433166361</v>
      </c>
      <c r="I150">
        <v>17</v>
      </c>
      <c r="J150" s="3">
        <v>6848.8198413202599</v>
      </c>
      <c r="K150" s="3">
        <v>5186.8795918461046</v>
      </c>
    </row>
    <row r="151" spans="1:11" x14ac:dyDescent="0.3">
      <c r="A151" t="s">
        <v>227</v>
      </c>
      <c r="B151" s="2">
        <v>44621</v>
      </c>
      <c r="C151">
        <v>2022</v>
      </c>
      <c r="D151">
        <v>3</v>
      </c>
      <c r="E151" t="s">
        <v>58</v>
      </c>
      <c r="F151" t="s">
        <v>48</v>
      </c>
      <c r="G151" t="s">
        <v>37</v>
      </c>
      <c r="H151" s="3">
        <v>32913.402450461137</v>
      </c>
      <c r="I151">
        <v>46</v>
      </c>
      <c r="J151" s="3">
        <v>17849.96872665513</v>
      </c>
      <c r="K151" s="3">
        <v>15063.433723806011</v>
      </c>
    </row>
    <row r="152" spans="1:11" x14ac:dyDescent="0.3">
      <c r="A152" t="s">
        <v>228</v>
      </c>
      <c r="B152" s="2">
        <v>44621</v>
      </c>
      <c r="C152">
        <v>2022</v>
      </c>
      <c r="D152">
        <v>3</v>
      </c>
      <c r="E152" t="s">
        <v>62</v>
      </c>
      <c r="F152" t="s">
        <v>67</v>
      </c>
      <c r="G152" t="s">
        <v>37</v>
      </c>
      <c r="H152" s="3">
        <v>9893.9134111807562</v>
      </c>
      <c r="I152">
        <v>14</v>
      </c>
      <c r="J152" s="3">
        <v>5276.1973320879106</v>
      </c>
      <c r="K152" s="3">
        <v>4617.7160790928447</v>
      </c>
    </row>
    <row r="153" spans="1:11" x14ac:dyDescent="0.3">
      <c r="A153" t="s">
        <v>229</v>
      </c>
      <c r="B153" s="2">
        <v>44621</v>
      </c>
      <c r="C153">
        <v>2022</v>
      </c>
      <c r="D153">
        <v>3</v>
      </c>
      <c r="E153" t="s">
        <v>62</v>
      </c>
      <c r="F153" t="s">
        <v>48</v>
      </c>
      <c r="G153" t="s">
        <v>37</v>
      </c>
      <c r="H153" s="3">
        <v>24807.29243747615</v>
      </c>
      <c r="I153">
        <v>34</v>
      </c>
      <c r="J153" s="3">
        <v>13528.2721440471</v>
      </c>
      <c r="K153" s="3">
        <v>11279.02029342905</v>
      </c>
    </row>
    <row r="154" spans="1:11" x14ac:dyDescent="0.3">
      <c r="A154" t="s">
        <v>230</v>
      </c>
      <c r="B154" s="2">
        <v>44621</v>
      </c>
      <c r="C154">
        <v>2022</v>
      </c>
      <c r="D154">
        <v>3</v>
      </c>
      <c r="E154" t="s">
        <v>50</v>
      </c>
      <c r="F154" t="s">
        <v>67</v>
      </c>
      <c r="G154" t="s">
        <v>40</v>
      </c>
      <c r="H154" s="3">
        <v>21595.44756620871</v>
      </c>
      <c r="I154">
        <v>4</v>
      </c>
      <c r="J154" s="3">
        <v>14371.002461827909</v>
      </c>
      <c r="K154" s="3">
        <v>7224.4451043807994</v>
      </c>
    </row>
    <row r="155" spans="1:11" x14ac:dyDescent="0.3">
      <c r="A155" t="s">
        <v>231</v>
      </c>
      <c r="B155" s="2">
        <v>44621</v>
      </c>
      <c r="C155">
        <v>2022</v>
      </c>
      <c r="D155">
        <v>3</v>
      </c>
      <c r="E155" t="s">
        <v>50</v>
      </c>
      <c r="F155" t="s">
        <v>48</v>
      </c>
      <c r="G155" t="s">
        <v>40</v>
      </c>
      <c r="H155" s="3">
        <v>55477.467293159003</v>
      </c>
      <c r="I155">
        <v>10</v>
      </c>
      <c r="J155" s="3">
        <v>38796.982597412723</v>
      </c>
      <c r="K155" s="3">
        <v>16680.484695746269</v>
      </c>
    </row>
    <row r="156" spans="1:11" x14ac:dyDescent="0.3">
      <c r="A156" t="s">
        <v>232</v>
      </c>
      <c r="B156" s="2">
        <v>44621</v>
      </c>
      <c r="C156">
        <v>2022</v>
      </c>
      <c r="D156">
        <v>3</v>
      </c>
      <c r="E156" t="s">
        <v>54</v>
      </c>
      <c r="F156" t="s">
        <v>67</v>
      </c>
      <c r="G156" t="s">
        <v>40</v>
      </c>
      <c r="H156" s="3">
        <v>17502.877397053169</v>
      </c>
      <c r="I156">
        <v>3</v>
      </c>
      <c r="J156" s="3">
        <v>11628.065803429579</v>
      </c>
      <c r="K156" s="3">
        <v>5874.8115936235827</v>
      </c>
    </row>
    <row r="157" spans="1:11" x14ac:dyDescent="0.3">
      <c r="A157" t="s">
        <v>233</v>
      </c>
      <c r="B157" s="2">
        <v>44621</v>
      </c>
      <c r="C157">
        <v>2022</v>
      </c>
      <c r="D157">
        <v>3</v>
      </c>
      <c r="E157" t="s">
        <v>54</v>
      </c>
      <c r="F157" t="s">
        <v>48</v>
      </c>
      <c r="G157" t="s">
        <v>40</v>
      </c>
      <c r="H157" s="3">
        <v>45906.418853684983</v>
      </c>
      <c r="I157">
        <v>9</v>
      </c>
      <c r="J157" s="3">
        <v>31691.65431870829</v>
      </c>
      <c r="K157" s="3">
        <v>14214.764534976701</v>
      </c>
    </row>
    <row r="158" spans="1:11" x14ac:dyDescent="0.3">
      <c r="A158" t="s">
        <v>234</v>
      </c>
      <c r="B158" s="2">
        <v>44621</v>
      </c>
      <c r="C158">
        <v>2022</v>
      </c>
      <c r="D158">
        <v>3</v>
      </c>
      <c r="E158" t="s">
        <v>58</v>
      </c>
      <c r="F158" t="s">
        <v>67</v>
      </c>
      <c r="G158" t="s">
        <v>40</v>
      </c>
      <c r="H158" s="3">
        <v>13188.828629295829</v>
      </c>
      <c r="I158">
        <v>2</v>
      </c>
      <c r="J158" s="3">
        <v>8759.9352663352911</v>
      </c>
      <c r="K158" s="3">
        <v>4428.8933629605344</v>
      </c>
    </row>
    <row r="159" spans="1:11" x14ac:dyDescent="0.3">
      <c r="A159" t="s">
        <v>235</v>
      </c>
      <c r="B159" s="2">
        <v>44621</v>
      </c>
      <c r="C159">
        <v>2022</v>
      </c>
      <c r="D159">
        <v>3</v>
      </c>
      <c r="E159" t="s">
        <v>58</v>
      </c>
      <c r="F159" t="s">
        <v>48</v>
      </c>
      <c r="G159" t="s">
        <v>40</v>
      </c>
      <c r="H159" s="3">
        <v>32386.540390094269</v>
      </c>
      <c r="I159">
        <v>6</v>
      </c>
      <c r="J159" s="3">
        <v>22217.876013894169</v>
      </c>
      <c r="K159" s="3">
        <v>10168.6643762001</v>
      </c>
    </row>
    <row r="160" spans="1:11" x14ac:dyDescent="0.3">
      <c r="A160" t="s">
        <v>236</v>
      </c>
      <c r="B160" s="2">
        <v>44621</v>
      </c>
      <c r="C160">
        <v>2022</v>
      </c>
      <c r="D160">
        <v>3</v>
      </c>
      <c r="E160" t="s">
        <v>62</v>
      </c>
      <c r="F160" t="s">
        <v>67</v>
      </c>
      <c r="G160" t="s">
        <v>40</v>
      </c>
      <c r="H160" s="3">
        <v>7990.3686474275701</v>
      </c>
      <c r="I160">
        <v>1</v>
      </c>
      <c r="J160" s="3">
        <v>5676.4438370917615</v>
      </c>
      <c r="K160" s="3">
        <v>2313.9248103358091</v>
      </c>
    </row>
    <row r="161" spans="1:11" x14ac:dyDescent="0.3">
      <c r="A161" t="s">
        <v>237</v>
      </c>
      <c r="B161" s="2">
        <v>44621</v>
      </c>
      <c r="C161">
        <v>2022</v>
      </c>
      <c r="D161">
        <v>3</v>
      </c>
      <c r="E161" t="s">
        <v>62</v>
      </c>
      <c r="F161" t="s">
        <v>48</v>
      </c>
      <c r="G161" t="s">
        <v>40</v>
      </c>
      <c r="H161" s="3">
        <v>22283.448125708081</v>
      </c>
      <c r="I161">
        <v>4</v>
      </c>
      <c r="J161" s="3">
        <v>15475.39227070784</v>
      </c>
      <c r="K161" s="3">
        <v>6808.0558550002479</v>
      </c>
    </row>
    <row r="162" spans="1:11" x14ac:dyDescent="0.3">
      <c r="A162" t="s">
        <v>238</v>
      </c>
      <c r="B162" s="2">
        <v>44621</v>
      </c>
      <c r="C162">
        <v>2022</v>
      </c>
      <c r="D162">
        <v>3</v>
      </c>
      <c r="E162" t="s">
        <v>50</v>
      </c>
      <c r="F162" t="s">
        <v>67</v>
      </c>
      <c r="G162" t="s">
        <v>43</v>
      </c>
      <c r="H162" s="3">
        <v>45843.860415341667</v>
      </c>
      <c r="I162">
        <v>13</v>
      </c>
      <c r="J162" s="3">
        <v>26627.475596312819</v>
      </c>
      <c r="K162" s="3">
        <v>19216.384819028852</v>
      </c>
    </row>
    <row r="163" spans="1:11" x14ac:dyDescent="0.3">
      <c r="A163" t="s">
        <v>239</v>
      </c>
      <c r="B163" s="2">
        <v>44621</v>
      </c>
      <c r="C163">
        <v>2022</v>
      </c>
      <c r="D163">
        <v>3</v>
      </c>
      <c r="E163" t="s">
        <v>50</v>
      </c>
      <c r="F163" t="s">
        <v>48</v>
      </c>
      <c r="G163" t="s">
        <v>43</v>
      </c>
      <c r="H163" s="3">
        <v>111852.329074511</v>
      </c>
      <c r="I163">
        <v>32</v>
      </c>
      <c r="J163" s="3">
        <v>65955.808411424499</v>
      </c>
      <c r="K163" s="3">
        <v>45896.520663086492</v>
      </c>
    </row>
    <row r="164" spans="1:11" x14ac:dyDescent="0.3">
      <c r="A164" t="s">
        <v>240</v>
      </c>
      <c r="B164" s="2">
        <v>44621</v>
      </c>
      <c r="C164">
        <v>2022</v>
      </c>
      <c r="D164">
        <v>3</v>
      </c>
      <c r="E164" t="s">
        <v>54</v>
      </c>
      <c r="F164" t="s">
        <v>67</v>
      </c>
      <c r="G164" t="s">
        <v>43</v>
      </c>
      <c r="H164" s="3">
        <v>36301.241844579308</v>
      </c>
      <c r="I164">
        <v>10</v>
      </c>
      <c r="J164" s="3">
        <v>21424.678538189692</v>
      </c>
      <c r="K164" s="3">
        <v>14876.56330638962</v>
      </c>
    </row>
    <row r="165" spans="1:11" x14ac:dyDescent="0.3">
      <c r="A165" t="s">
        <v>241</v>
      </c>
      <c r="B165" s="2">
        <v>44621</v>
      </c>
      <c r="C165">
        <v>2022</v>
      </c>
      <c r="D165">
        <v>3</v>
      </c>
      <c r="E165" t="s">
        <v>54</v>
      </c>
      <c r="F165" t="s">
        <v>48</v>
      </c>
      <c r="G165" t="s">
        <v>43</v>
      </c>
      <c r="H165" s="3">
        <v>93853.856938980025</v>
      </c>
      <c r="I165">
        <v>27</v>
      </c>
      <c r="J165" s="3">
        <v>55844.85947477186</v>
      </c>
      <c r="K165" s="3">
        <v>38008.997464208172</v>
      </c>
    </row>
    <row r="166" spans="1:11" x14ac:dyDescent="0.3">
      <c r="A166" t="s">
        <v>242</v>
      </c>
      <c r="B166" s="2">
        <v>44621</v>
      </c>
      <c r="C166">
        <v>2022</v>
      </c>
      <c r="D166">
        <v>3</v>
      </c>
      <c r="E166" t="s">
        <v>58</v>
      </c>
      <c r="F166" t="s">
        <v>67</v>
      </c>
      <c r="G166" t="s">
        <v>43</v>
      </c>
      <c r="H166" s="3">
        <v>22044.186902226658</v>
      </c>
      <c r="I166">
        <v>6</v>
      </c>
      <c r="J166" s="3">
        <v>12686.076065661389</v>
      </c>
      <c r="K166" s="3">
        <v>9358.1108365652708</v>
      </c>
    </row>
    <row r="167" spans="1:11" x14ac:dyDescent="0.3">
      <c r="A167" t="s">
        <v>243</v>
      </c>
      <c r="B167" s="2">
        <v>44621</v>
      </c>
      <c r="C167">
        <v>2022</v>
      </c>
      <c r="D167">
        <v>3</v>
      </c>
      <c r="E167" t="s">
        <v>58</v>
      </c>
      <c r="F167" t="s">
        <v>48</v>
      </c>
      <c r="G167" t="s">
        <v>43</v>
      </c>
      <c r="H167" s="3">
        <v>63638.411676873307</v>
      </c>
      <c r="I167">
        <v>18</v>
      </c>
      <c r="J167" s="3">
        <v>37947.143515422627</v>
      </c>
      <c r="K167" s="3">
        <v>25691.268161450669</v>
      </c>
    </row>
    <row r="168" spans="1:11" x14ac:dyDescent="0.3">
      <c r="A168" t="s">
        <v>244</v>
      </c>
      <c r="B168" s="2">
        <v>44621</v>
      </c>
      <c r="C168">
        <v>2022</v>
      </c>
      <c r="D168">
        <v>3</v>
      </c>
      <c r="E168" t="s">
        <v>62</v>
      </c>
      <c r="F168" t="s">
        <v>67</v>
      </c>
      <c r="G168" t="s">
        <v>43</v>
      </c>
      <c r="H168" s="3">
        <v>19090.55368624139</v>
      </c>
      <c r="I168">
        <v>5</v>
      </c>
      <c r="J168" s="3">
        <v>10715.133771713399</v>
      </c>
      <c r="K168" s="3">
        <v>8375.4199145279908</v>
      </c>
    </row>
    <row r="169" spans="1:11" x14ac:dyDescent="0.3">
      <c r="A169" t="s">
        <v>245</v>
      </c>
      <c r="B169" s="2">
        <v>44621</v>
      </c>
      <c r="C169">
        <v>2022</v>
      </c>
      <c r="D169">
        <v>3</v>
      </c>
      <c r="E169" t="s">
        <v>62</v>
      </c>
      <c r="F169" t="s">
        <v>48</v>
      </c>
      <c r="G169" t="s">
        <v>43</v>
      </c>
      <c r="H169" s="3">
        <v>46099.187219243053</v>
      </c>
      <c r="I169">
        <v>13</v>
      </c>
      <c r="J169" s="3">
        <v>26890.145757432441</v>
      </c>
      <c r="K169" s="3">
        <v>19209.041461810601</v>
      </c>
    </row>
    <row r="170" spans="1:11" x14ac:dyDescent="0.3">
      <c r="A170" t="s">
        <v>246</v>
      </c>
      <c r="B170" s="2">
        <v>44652</v>
      </c>
      <c r="C170">
        <v>2022</v>
      </c>
      <c r="D170">
        <v>4</v>
      </c>
      <c r="E170" t="s">
        <v>50</v>
      </c>
      <c r="F170" t="s">
        <v>67</v>
      </c>
      <c r="G170" t="s">
        <v>19</v>
      </c>
      <c r="H170" s="3">
        <v>43027.617696808811</v>
      </c>
      <c r="I170">
        <v>8</v>
      </c>
      <c r="J170" s="3">
        <v>26442.659627917641</v>
      </c>
      <c r="K170" s="3">
        <v>16584.95806889117</v>
      </c>
    </row>
    <row r="171" spans="1:11" x14ac:dyDescent="0.3">
      <c r="A171" t="s">
        <v>247</v>
      </c>
      <c r="B171" s="2">
        <v>44652</v>
      </c>
      <c r="C171">
        <v>2022</v>
      </c>
      <c r="D171">
        <v>4</v>
      </c>
      <c r="E171" t="s">
        <v>50</v>
      </c>
      <c r="F171" t="s">
        <v>48</v>
      </c>
      <c r="G171" t="s">
        <v>19</v>
      </c>
      <c r="H171" s="3">
        <v>107534.5410509895</v>
      </c>
      <c r="I171">
        <v>21</v>
      </c>
      <c r="J171" s="3">
        <v>67431.461778491139</v>
      </c>
      <c r="K171" s="3">
        <v>40103.079272498348</v>
      </c>
    </row>
    <row r="172" spans="1:11" x14ac:dyDescent="0.3">
      <c r="A172" t="s">
        <v>248</v>
      </c>
      <c r="B172" s="2">
        <v>44652</v>
      </c>
      <c r="C172">
        <v>2022</v>
      </c>
      <c r="D172">
        <v>4</v>
      </c>
      <c r="E172" t="s">
        <v>54</v>
      </c>
      <c r="F172" t="s">
        <v>67</v>
      </c>
      <c r="G172" t="s">
        <v>19</v>
      </c>
      <c r="H172" s="3">
        <v>32980.686790690379</v>
      </c>
      <c r="I172">
        <v>6</v>
      </c>
      <c r="J172" s="3">
        <v>20456.35542290163</v>
      </c>
      <c r="K172" s="3">
        <v>12524.331367788751</v>
      </c>
    </row>
    <row r="173" spans="1:11" x14ac:dyDescent="0.3">
      <c r="A173" t="s">
        <v>249</v>
      </c>
      <c r="B173" s="2">
        <v>44652</v>
      </c>
      <c r="C173">
        <v>2022</v>
      </c>
      <c r="D173">
        <v>4</v>
      </c>
      <c r="E173" t="s">
        <v>54</v>
      </c>
      <c r="F173" t="s">
        <v>48</v>
      </c>
      <c r="G173" t="s">
        <v>19</v>
      </c>
      <c r="H173" s="3">
        <v>83845.385656552797</v>
      </c>
      <c r="I173">
        <v>16</v>
      </c>
      <c r="J173" s="3">
        <v>50668.933371385298</v>
      </c>
      <c r="K173" s="3">
        <v>33176.452285167499</v>
      </c>
    </row>
    <row r="174" spans="1:11" x14ac:dyDescent="0.3">
      <c r="A174" t="s">
        <v>250</v>
      </c>
      <c r="B174" s="2">
        <v>44652</v>
      </c>
      <c r="C174">
        <v>2022</v>
      </c>
      <c r="D174">
        <v>4</v>
      </c>
      <c r="E174" t="s">
        <v>58</v>
      </c>
      <c r="F174" t="s">
        <v>67</v>
      </c>
      <c r="G174" t="s">
        <v>19</v>
      </c>
      <c r="H174" s="3">
        <v>21898.77086838839</v>
      </c>
      <c r="I174">
        <v>4</v>
      </c>
      <c r="J174" s="3">
        <v>13336.515189736479</v>
      </c>
      <c r="K174" s="3">
        <v>8562.2556786519071</v>
      </c>
    </row>
    <row r="175" spans="1:11" x14ac:dyDescent="0.3">
      <c r="A175" t="s">
        <v>251</v>
      </c>
      <c r="B175" s="2">
        <v>44652</v>
      </c>
      <c r="C175">
        <v>2022</v>
      </c>
      <c r="D175">
        <v>4</v>
      </c>
      <c r="E175" t="s">
        <v>58</v>
      </c>
      <c r="F175" t="s">
        <v>48</v>
      </c>
      <c r="G175" t="s">
        <v>19</v>
      </c>
      <c r="H175" s="3">
        <v>61412.308436139043</v>
      </c>
      <c r="I175">
        <v>12</v>
      </c>
      <c r="J175" s="3">
        <v>38211.79883238105</v>
      </c>
      <c r="K175" s="3">
        <v>23200.50960375799</v>
      </c>
    </row>
    <row r="176" spans="1:11" x14ac:dyDescent="0.3">
      <c r="A176" t="s">
        <v>252</v>
      </c>
      <c r="B176" s="2">
        <v>44652</v>
      </c>
      <c r="C176">
        <v>2022</v>
      </c>
      <c r="D176">
        <v>4</v>
      </c>
      <c r="E176" t="s">
        <v>62</v>
      </c>
      <c r="F176" t="s">
        <v>67</v>
      </c>
      <c r="G176" t="s">
        <v>19</v>
      </c>
      <c r="H176" s="3">
        <v>18209.491490761109</v>
      </c>
      <c r="I176">
        <v>4</v>
      </c>
      <c r="J176" s="3">
        <v>11273.816823119991</v>
      </c>
      <c r="K176" s="3">
        <v>6935.6746676411203</v>
      </c>
    </row>
    <row r="177" spans="1:11" x14ac:dyDescent="0.3">
      <c r="A177" t="s">
        <v>253</v>
      </c>
      <c r="B177" s="2">
        <v>44652</v>
      </c>
      <c r="C177">
        <v>2022</v>
      </c>
      <c r="D177">
        <v>4</v>
      </c>
      <c r="E177" t="s">
        <v>62</v>
      </c>
      <c r="F177" t="s">
        <v>48</v>
      </c>
      <c r="G177" t="s">
        <v>19</v>
      </c>
      <c r="H177" s="3">
        <v>44927.639229083346</v>
      </c>
      <c r="I177">
        <v>9</v>
      </c>
      <c r="J177" s="3">
        <v>27564.76786364866</v>
      </c>
      <c r="K177" s="3">
        <v>17362.87136543469</v>
      </c>
    </row>
    <row r="178" spans="1:11" x14ac:dyDescent="0.3">
      <c r="A178" t="s">
        <v>254</v>
      </c>
      <c r="B178" s="2">
        <v>44652</v>
      </c>
      <c r="C178">
        <v>2022</v>
      </c>
      <c r="D178">
        <v>4</v>
      </c>
      <c r="E178" t="s">
        <v>50</v>
      </c>
      <c r="F178" t="s">
        <v>67</v>
      </c>
      <c r="G178" t="s">
        <v>24</v>
      </c>
      <c r="H178" s="3">
        <v>45030.477287410322</v>
      </c>
      <c r="I178">
        <v>7</v>
      </c>
      <c r="J178" s="3">
        <v>29462.887170243659</v>
      </c>
      <c r="K178" s="3">
        <v>15567.590117166659</v>
      </c>
    </row>
    <row r="179" spans="1:11" x14ac:dyDescent="0.3">
      <c r="A179" t="s">
        <v>255</v>
      </c>
      <c r="B179" s="2">
        <v>44652</v>
      </c>
      <c r="C179">
        <v>2022</v>
      </c>
      <c r="D179">
        <v>4</v>
      </c>
      <c r="E179" t="s">
        <v>50</v>
      </c>
      <c r="F179" t="s">
        <v>48</v>
      </c>
      <c r="G179" t="s">
        <v>24</v>
      </c>
      <c r="H179" s="3">
        <v>128607.8064888706</v>
      </c>
      <c r="I179">
        <v>21</v>
      </c>
      <c r="J179" s="3">
        <v>85944.800034715983</v>
      </c>
      <c r="K179" s="3">
        <v>42663.006454154631</v>
      </c>
    </row>
    <row r="180" spans="1:11" x14ac:dyDescent="0.3">
      <c r="A180" t="s">
        <v>256</v>
      </c>
      <c r="B180" s="2">
        <v>44652</v>
      </c>
      <c r="C180">
        <v>2022</v>
      </c>
      <c r="D180">
        <v>4</v>
      </c>
      <c r="E180" t="s">
        <v>54</v>
      </c>
      <c r="F180" t="s">
        <v>67</v>
      </c>
      <c r="G180" t="s">
        <v>24</v>
      </c>
      <c r="H180" s="3">
        <v>37540.077206073278</v>
      </c>
      <c r="I180">
        <v>6</v>
      </c>
      <c r="J180" s="3">
        <v>24545.572432452649</v>
      </c>
      <c r="K180" s="3">
        <v>12994.504773620631</v>
      </c>
    </row>
    <row r="181" spans="1:11" x14ac:dyDescent="0.3">
      <c r="A181" t="s">
        <v>257</v>
      </c>
      <c r="B181" s="2">
        <v>44652</v>
      </c>
      <c r="C181">
        <v>2022</v>
      </c>
      <c r="D181">
        <v>4</v>
      </c>
      <c r="E181" t="s">
        <v>54</v>
      </c>
      <c r="F181" t="s">
        <v>48</v>
      </c>
      <c r="G181" t="s">
        <v>24</v>
      </c>
      <c r="H181" s="3">
        <v>92931.755917266113</v>
      </c>
      <c r="I181">
        <v>15</v>
      </c>
      <c r="J181" s="3">
        <v>61237.703594411563</v>
      </c>
      <c r="K181" s="3">
        <v>31694.052322854561</v>
      </c>
    </row>
    <row r="182" spans="1:11" x14ac:dyDescent="0.3">
      <c r="A182" t="s">
        <v>258</v>
      </c>
      <c r="B182" s="2">
        <v>44652</v>
      </c>
      <c r="C182">
        <v>2022</v>
      </c>
      <c r="D182">
        <v>4</v>
      </c>
      <c r="E182" t="s">
        <v>58</v>
      </c>
      <c r="F182" t="s">
        <v>67</v>
      </c>
      <c r="G182" t="s">
        <v>24</v>
      </c>
      <c r="H182" s="3">
        <v>27249.72911803607</v>
      </c>
      <c r="I182">
        <v>4</v>
      </c>
      <c r="J182" s="3">
        <v>18687.287806538501</v>
      </c>
      <c r="K182" s="3">
        <v>8562.441311497565</v>
      </c>
    </row>
    <row r="183" spans="1:11" x14ac:dyDescent="0.3">
      <c r="A183" t="s">
        <v>259</v>
      </c>
      <c r="B183" s="2">
        <v>44652</v>
      </c>
      <c r="C183">
        <v>2022</v>
      </c>
      <c r="D183">
        <v>4</v>
      </c>
      <c r="E183" t="s">
        <v>58</v>
      </c>
      <c r="F183" t="s">
        <v>48</v>
      </c>
      <c r="G183" t="s">
        <v>24</v>
      </c>
      <c r="H183" s="3">
        <v>67457.582983477609</v>
      </c>
      <c r="I183">
        <v>11</v>
      </c>
      <c r="J183" s="3">
        <v>43381.071076412787</v>
      </c>
      <c r="K183" s="3">
        <v>24076.511907064822</v>
      </c>
    </row>
    <row r="184" spans="1:11" x14ac:dyDescent="0.3">
      <c r="A184" t="s">
        <v>260</v>
      </c>
      <c r="B184" s="2">
        <v>44652</v>
      </c>
      <c r="C184">
        <v>2022</v>
      </c>
      <c r="D184">
        <v>4</v>
      </c>
      <c r="E184" t="s">
        <v>62</v>
      </c>
      <c r="F184" t="s">
        <v>67</v>
      </c>
      <c r="G184" t="s">
        <v>24</v>
      </c>
      <c r="H184" s="3">
        <v>22849.80090902785</v>
      </c>
      <c r="I184">
        <v>4</v>
      </c>
      <c r="J184" s="3">
        <v>14578.1754557104</v>
      </c>
      <c r="K184" s="3">
        <v>8271.625453317447</v>
      </c>
    </row>
    <row r="185" spans="1:11" x14ac:dyDescent="0.3">
      <c r="A185" t="s">
        <v>261</v>
      </c>
      <c r="B185" s="2">
        <v>44652</v>
      </c>
      <c r="C185">
        <v>2022</v>
      </c>
      <c r="D185">
        <v>4</v>
      </c>
      <c r="E185" t="s">
        <v>62</v>
      </c>
      <c r="F185" t="s">
        <v>48</v>
      </c>
      <c r="G185" t="s">
        <v>24</v>
      </c>
      <c r="H185" s="3">
        <v>56334.892165964593</v>
      </c>
      <c r="I185">
        <v>9</v>
      </c>
      <c r="J185" s="3">
        <v>37705.452888049898</v>
      </c>
      <c r="K185" s="3">
        <v>18629.439277914691</v>
      </c>
    </row>
    <row r="186" spans="1:11" x14ac:dyDescent="0.3">
      <c r="A186" t="s">
        <v>262</v>
      </c>
      <c r="B186" s="2">
        <v>44652</v>
      </c>
      <c r="C186">
        <v>2022</v>
      </c>
      <c r="D186">
        <v>4</v>
      </c>
      <c r="E186" t="s">
        <v>50</v>
      </c>
      <c r="F186" t="s">
        <v>67</v>
      </c>
      <c r="G186" t="s">
        <v>29</v>
      </c>
      <c r="H186" s="3">
        <v>34354.152365310321</v>
      </c>
      <c r="I186">
        <v>8</v>
      </c>
      <c r="J186" s="3">
        <v>21718.077847668399</v>
      </c>
      <c r="K186" s="3">
        <v>12636.07451764192</v>
      </c>
    </row>
    <row r="187" spans="1:11" x14ac:dyDescent="0.3">
      <c r="A187" t="s">
        <v>263</v>
      </c>
      <c r="B187" s="2">
        <v>44652</v>
      </c>
      <c r="C187">
        <v>2022</v>
      </c>
      <c r="D187">
        <v>4</v>
      </c>
      <c r="E187" t="s">
        <v>50</v>
      </c>
      <c r="F187" t="s">
        <v>48</v>
      </c>
      <c r="G187" t="s">
        <v>29</v>
      </c>
      <c r="H187" s="3">
        <v>84202.114215880167</v>
      </c>
      <c r="I187">
        <v>20</v>
      </c>
      <c r="J187" s="3">
        <v>53580.660037134352</v>
      </c>
      <c r="K187" s="3">
        <v>30621.454178745811</v>
      </c>
    </row>
    <row r="188" spans="1:11" x14ac:dyDescent="0.3">
      <c r="A188" t="s">
        <v>264</v>
      </c>
      <c r="B188" s="2">
        <v>44652</v>
      </c>
      <c r="C188">
        <v>2022</v>
      </c>
      <c r="D188">
        <v>4</v>
      </c>
      <c r="E188" t="s">
        <v>54</v>
      </c>
      <c r="F188" t="s">
        <v>67</v>
      </c>
      <c r="G188" t="s">
        <v>29</v>
      </c>
      <c r="H188" s="3">
        <v>26631.977144324301</v>
      </c>
      <c r="I188">
        <v>6</v>
      </c>
      <c r="J188" s="3">
        <v>16804.80630129328</v>
      </c>
      <c r="K188" s="3">
        <v>9827.1708430310246</v>
      </c>
    </row>
    <row r="189" spans="1:11" x14ac:dyDescent="0.3">
      <c r="A189" t="s">
        <v>265</v>
      </c>
      <c r="B189" s="2">
        <v>44652</v>
      </c>
      <c r="C189">
        <v>2022</v>
      </c>
      <c r="D189">
        <v>4</v>
      </c>
      <c r="E189" t="s">
        <v>54</v>
      </c>
      <c r="F189" t="s">
        <v>48</v>
      </c>
      <c r="G189" t="s">
        <v>29</v>
      </c>
      <c r="H189" s="3">
        <v>64766.067854990783</v>
      </c>
      <c r="I189">
        <v>15</v>
      </c>
      <c r="J189" s="3">
        <v>41256.445216747808</v>
      </c>
      <c r="K189" s="3">
        <v>23509.62263824297</v>
      </c>
    </row>
    <row r="190" spans="1:11" x14ac:dyDescent="0.3">
      <c r="A190" t="s">
        <v>266</v>
      </c>
      <c r="B190" s="2">
        <v>44652</v>
      </c>
      <c r="C190">
        <v>2022</v>
      </c>
      <c r="D190">
        <v>4</v>
      </c>
      <c r="E190" t="s">
        <v>58</v>
      </c>
      <c r="F190" t="s">
        <v>67</v>
      </c>
      <c r="G190" t="s">
        <v>29</v>
      </c>
      <c r="H190" s="3">
        <v>17143.194955512881</v>
      </c>
      <c r="I190">
        <v>4</v>
      </c>
      <c r="J190" s="3">
        <v>11287.33943328231</v>
      </c>
      <c r="K190" s="3">
        <v>5855.8555222305686</v>
      </c>
    </row>
    <row r="191" spans="1:11" x14ac:dyDescent="0.3">
      <c r="A191" t="s">
        <v>267</v>
      </c>
      <c r="B191" s="2">
        <v>44652</v>
      </c>
      <c r="C191">
        <v>2022</v>
      </c>
      <c r="D191">
        <v>4</v>
      </c>
      <c r="E191" t="s">
        <v>58</v>
      </c>
      <c r="F191" t="s">
        <v>48</v>
      </c>
      <c r="G191" t="s">
        <v>29</v>
      </c>
      <c r="H191" s="3">
        <v>44869.235097337303</v>
      </c>
      <c r="I191">
        <v>10</v>
      </c>
      <c r="J191" s="3">
        <v>29130.925519565641</v>
      </c>
      <c r="K191" s="3">
        <v>15738.30957777165</v>
      </c>
    </row>
    <row r="192" spans="1:11" x14ac:dyDescent="0.3">
      <c r="A192" t="s">
        <v>268</v>
      </c>
      <c r="B192" s="2">
        <v>44652</v>
      </c>
      <c r="C192">
        <v>2022</v>
      </c>
      <c r="D192">
        <v>4</v>
      </c>
      <c r="E192" t="s">
        <v>62</v>
      </c>
      <c r="F192" t="s">
        <v>67</v>
      </c>
      <c r="G192" t="s">
        <v>29</v>
      </c>
      <c r="H192" s="3">
        <v>13214.984713253931</v>
      </c>
      <c r="I192">
        <v>3</v>
      </c>
      <c r="J192" s="3">
        <v>8588.8522129765333</v>
      </c>
      <c r="K192" s="3">
        <v>4626.1325002773992</v>
      </c>
    </row>
    <row r="193" spans="1:11" x14ac:dyDescent="0.3">
      <c r="A193" t="s">
        <v>269</v>
      </c>
      <c r="B193" s="2">
        <v>44652</v>
      </c>
      <c r="C193">
        <v>2022</v>
      </c>
      <c r="D193">
        <v>4</v>
      </c>
      <c r="E193" t="s">
        <v>62</v>
      </c>
      <c r="F193" t="s">
        <v>48</v>
      </c>
      <c r="G193" t="s">
        <v>29</v>
      </c>
      <c r="H193" s="3">
        <v>33775.284556083752</v>
      </c>
      <c r="I193">
        <v>8</v>
      </c>
      <c r="J193" s="3">
        <v>21065.140520695149</v>
      </c>
      <c r="K193" s="3">
        <v>12710.144035388599</v>
      </c>
    </row>
    <row r="194" spans="1:11" x14ac:dyDescent="0.3">
      <c r="A194" t="s">
        <v>270</v>
      </c>
      <c r="B194" s="2">
        <v>44652</v>
      </c>
      <c r="C194">
        <v>2022</v>
      </c>
      <c r="D194">
        <v>4</v>
      </c>
      <c r="E194" t="s">
        <v>50</v>
      </c>
      <c r="F194" t="s">
        <v>67</v>
      </c>
      <c r="G194" t="s">
        <v>34</v>
      </c>
      <c r="H194" s="3">
        <v>29556.73312655542</v>
      </c>
      <c r="I194">
        <v>35</v>
      </c>
      <c r="J194" s="3">
        <v>13893.261570496639</v>
      </c>
      <c r="K194" s="3">
        <v>15663.471556058779</v>
      </c>
    </row>
    <row r="195" spans="1:11" x14ac:dyDescent="0.3">
      <c r="A195" t="s">
        <v>271</v>
      </c>
      <c r="B195" s="2">
        <v>44652</v>
      </c>
      <c r="C195">
        <v>2022</v>
      </c>
      <c r="D195">
        <v>4</v>
      </c>
      <c r="E195" t="s">
        <v>50</v>
      </c>
      <c r="F195" t="s">
        <v>48</v>
      </c>
      <c r="G195" t="s">
        <v>34</v>
      </c>
      <c r="H195" s="3">
        <v>72259.849432727351</v>
      </c>
      <c r="I195">
        <v>85</v>
      </c>
      <c r="J195" s="3">
        <v>32912.219662276701</v>
      </c>
      <c r="K195" s="3">
        <v>39347.629770450651</v>
      </c>
    </row>
    <row r="196" spans="1:11" x14ac:dyDescent="0.3">
      <c r="A196" t="s">
        <v>272</v>
      </c>
      <c r="B196" s="2">
        <v>44652</v>
      </c>
      <c r="C196">
        <v>2022</v>
      </c>
      <c r="D196">
        <v>4</v>
      </c>
      <c r="E196" t="s">
        <v>54</v>
      </c>
      <c r="F196" t="s">
        <v>67</v>
      </c>
      <c r="G196" t="s">
        <v>34</v>
      </c>
      <c r="H196" s="3">
        <v>22598.06097292023</v>
      </c>
      <c r="I196">
        <v>27</v>
      </c>
      <c r="J196" s="3">
        <v>10689.039890067699</v>
      </c>
      <c r="K196" s="3">
        <v>11909.021082852531</v>
      </c>
    </row>
    <row r="197" spans="1:11" x14ac:dyDescent="0.3">
      <c r="A197" t="s">
        <v>273</v>
      </c>
      <c r="B197" s="2">
        <v>44652</v>
      </c>
      <c r="C197">
        <v>2022</v>
      </c>
      <c r="D197">
        <v>4</v>
      </c>
      <c r="E197" t="s">
        <v>54</v>
      </c>
      <c r="F197" t="s">
        <v>48</v>
      </c>
      <c r="G197" t="s">
        <v>34</v>
      </c>
      <c r="H197" s="3">
        <v>60202.67312308024</v>
      </c>
      <c r="I197">
        <v>71</v>
      </c>
      <c r="J197" s="3">
        <v>29394.9133098165</v>
      </c>
      <c r="K197" s="3">
        <v>30807.759813263739</v>
      </c>
    </row>
    <row r="198" spans="1:11" x14ac:dyDescent="0.3">
      <c r="A198" t="s">
        <v>274</v>
      </c>
      <c r="B198" s="2">
        <v>44652</v>
      </c>
      <c r="C198">
        <v>2022</v>
      </c>
      <c r="D198">
        <v>4</v>
      </c>
      <c r="E198" t="s">
        <v>58</v>
      </c>
      <c r="F198" t="s">
        <v>67</v>
      </c>
      <c r="G198" t="s">
        <v>34</v>
      </c>
      <c r="H198" s="3">
        <v>17652.032560674641</v>
      </c>
      <c r="I198">
        <v>21</v>
      </c>
      <c r="J198" s="3">
        <v>8551.816983254761</v>
      </c>
      <c r="K198" s="3">
        <v>9100.2155774198764</v>
      </c>
    </row>
    <row r="199" spans="1:11" x14ac:dyDescent="0.3">
      <c r="A199" t="s">
        <v>275</v>
      </c>
      <c r="B199" s="2">
        <v>44652</v>
      </c>
      <c r="C199">
        <v>2022</v>
      </c>
      <c r="D199">
        <v>4</v>
      </c>
      <c r="E199" t="s">
        <v>58</v>
      </c>
      <c r="F199" t="s">
        <v>48</v>
      </c>
      <c r="G199" t="s">
        <v>34</v>
      </c>
      <c r="H199" s="3">
        <v>45174.592833874143</v>
      </c>
      <c r="I199">
        <v>53</v>
      </c>
      <c r="J199" s="3">
        <v>21597.346054835121</v>
      </c>
      <c r="K199" s="3">
        <v>23577.246779039018</v>
      </c>
    </row>
    <row r="200" spans="1:11" x14ac:dyDescent="0.3">
      <c r="A200" t="s">
        <v>276</v>
      </c>
      <c r="B200" s="2">
        <v>44652</v>
      </c>
      <c r="C200">
        <v>2022</v>
      </c>
      <c r="D200">
        <v>4</v>
      </c>
      <c r="E200" t="s">
        <v>62</v>
      </c>
      <c r="F200" t="s">
        <v>67</v>
      </c>
      <c r="G200" t="s">
        <v>34</v>
      </c>
      <c r="H200" s="3">
        <v>11761.15350672549</v>
      </c>
      <c r="I200">
        <v>14</v>
      </c>
      <c r="J200" s="3">
        <v>5643.087609429389</v>
      </c>
      <c r="K200" s="3">
        <v>6118.0658972960991</v>
      </c>
    </row>
    <row r="201" spans="1:11" x14ac:dyDescent="0.3">
      <c r="A201" t="s">
        <v>277</v>
      </c>
      <c r="B201" s="2">
        <v>44652</v>
      </c>
      <c r="C201">
        <v>2022</v>
      </c>
      <c r="D201">
        <v>4</v>
      </c>
      <c r="E201" t="s">
        <v>62</v>
      </c>
      <c r="F201" t="s">
        <v>48</v>
      </c>
      <c r="G201" t="s">
        <v>34</v>
      </c>
      <c r="H201" s="3">
        <v>31916.694370828409</v>
      </c>
      <c r="I201">
        <v>38</v>
      </c>
      <c r="J201" s="3">
        <v>15130.046055882671</v>
      </c>
      <c r="K201" s="3">
        <v>16786.648314945742</v>
      </c>
    </row>
    <row r="202" spans="1:11" x14ac:dyDescent="0.3">
      <c r="A202" t="s">
        <v>278</v>
      </c>
      <c r="B202" s="2">
        <v>44652</v>
      </c>
      <c r="C202">
        <v>2022</v>
      </c>
      <c r="D202">
        <v>4</v>
      </c>
      <c r="E202" t="s">
        <v>50</v>
      </c>
      <c r="F202" t="s">
        <v>67</v>
      </c>
      <c r="G202" t="s">
        <v>37</v>
      </c>
      <c r="H202" s="3">
        <v>24087.683268049139</v>
      </c>
      <c r="I202">
        <v>33</v>
      </c>
      <c r="J202" s="3">
        <v>13297.05425177261</v>
      </c>
      <c r="K202" s="3">
        <v>10790.629016276531</v>
      </c>
    </row>
    <row r="203" spans="1:11" x14ac:dyDescent="0.3">
      <c r="A203" t="s">
        <v>279</v>
      </c>
      <c r="B203" s="2">
        <v>44652</v>
      </c>
      <c r="C203">
        <v>2022</v>
      </c>
      <c r="D203">
        <v>4</v>
      </c>
      <c r="E203" t="s">
        <v>50</v>
      </c>
      <c r="F203" t="s">
        <v>48</v>
      </c>
      <c r="G203" t="s">
        <v>37</v>
      </c>
      <c r="H203" s="3">
        <v>60953.618392113443</v>
      </c>
      <c r="I203">
        <v>85</v>
      </c>
      <c r="J203" s="3">
        <v>33986.652334246857</v>
      </c>
      <c r="K203" s="3">
        <v>26966.966057866579</v>
      </c>
    </row>
    <row r="204" spans="1:11" x14ac:dyDescent="0.3">
      <c r="A204" t="s">
        <v>280</v>
      </c>
      <c r="B204" s="2">
        <v>44652</v>
      </c>
      <c r="C204">
        <v>2022</v>
      </c>
      <c r="D204">
        <v>4</v>
      </c>
      <c r="E204" t="s">
        <v>54</v>
      </c>
      <c r="F204" t="s">
        <v>67</v>
      </c>
      <c r="G204" t="s">
        <v>37</v>
      </c>
      <c r="H204" s="3">
        <v>19027.89882916609</v>
      </c>
      <c r="I204">
        <v>26</v>
      </c>
      <c r="J204" s="3">
        <v>10160.949745970051</v>
      </c>
      <c r="K204" s="3">
        <v>8866.9490831960411</v>
      </c>
    </row>
    <row r="205" spans="1:11" x14ac:dyDescent="0.3">
      <c r="A205" t="s">
        <v>281</v>
      </c>
      <c r="B205" s="2">
        <v>44652</v>
      </c>
      <c r="C205">
        <v>2022</v>
      </c>
      <c r="D205">
        <v>4</v>
      </c>
      <c r="E205" t="s">
        <v>54</v>
      </c>
      <c r="F205" t="s">
        <v>48</v>
      </c>
      <c r="G205" t="s">
        <v>37</v>
      </c>
      <c r="H205" s="3">
        <v>51386.86213504459</v>
      </c>
      <c r="I205">
        <v>71</v>
      </c>
      <c r="J205" s="3">
        <v>28415.213923071959</v>
      </c>
      <c r="K205" s="3">
        <v>22971.648211972632</v>
      </c>
    </row>
    <row r="206" spans="1:11" x14ac:dyDescent="0.3">
      <c r="A206" t="s">
        <v>282</v>
      </c>
      <c r="B206" s="2">
        <v>44652</v>
      </c>
      <c r="C206">
        <v>2022</v>
      </c>
      <c r="D206">
        <v>4</v>
      </c>
      <c r="E206" t="s">
        <v>58</v>
      </c>
      <c r="F206" t="s">
        <v>67</v>
      </c>
      <c r="G206" t="s">
        <v>37</v>
      </c>
      <c r="H206" s="3">
        <v>15089.99630455935</v>
      </c>
      <c r="I206">
        <v>21</v>
      </c>
      <c r="J206" s="3">
        <v>8438.7953112014293</v>
      </c>
      <c r="K206" s="3">
        <v>6651.2009933579166</v>
      </c>
    </row>
    <row r="207" spans="1:11" x14ac:dyDescent="0.3">
      <c r="A207" t="s">
        <v>283</v>
      </c>
      <c r="B207" s="2">
        <v>44652</v>
      </c>
      <c r="C207">
        <v>2022</v>
      </c>
      <c r="D207">
        <v>4</v>
      </c>
      <c r="E207" t="s">
        <v>58</v>
      </c>
      <c r="F207" t="s">
        <v>48</v>
      </c>
      <c r="G207" t="s">
        <v>37</v>
      </c>
      <c r="H207" s="3">
        <v>37032.761514724793</v>
      </c>
      <c r="I207">
        <v>51</v>
      </c>
      <c r="J207" s="3">
        <v>20215.832964040492</v>
      </c>
      <c r="K207" s="3">
        <v>16816.928550684301</v>
      </c>
    </row>
    <row r="208" spans="1:11" x14ac:dyDescent="0.3">
      <c r="A208" t="s">
        <v>284</v>
      </c>
      <c r="B208" s="2">
        <v>44652</v>
      </c>
      <c r="C208">
        <v>2022</v>
      </c>
      <c r="D208">
        <v>4</v>
      </c>
      <c r="E208" t="s">
        <v>62</v>
      </c>
      <c r="F208" t="s">
        <v>67</v>
      </c>
      <c r="G208" t="s">
        <v>37</v>
      </c>
      <c r="H208" s="3">
        <v>9554.5699212702166</v>
      </c>
      <c r="I208">
        <v>13</v>
      </c>
      <c r="J208" s="3">
        <v>5321.292897323211</v>
      </c>
      <c r="K208" s="3">
        <v>4233.2770239470055</v>
      </c>
    </row>
    <row r="209" spans="1:11" x14ac:dyDescent="0.3">
      <c r="A209" t="s">
        <v>285</v>
      </c>
      <c r="B209" s="2">
        <v>44652</v>
      </c>
      <c r="C209">
        <v>2022</v>
      </c>
      <c r="D209">
        <v>4</v>
      </c>
      <c r="E209" t="s">
        <v>62</v>
      </c>
      <c r="F209" t="s">
        <v>48</v>
      </c>
      <c r="G209" t="s">
        <v>37</v>
      </c>
      <c r="H209" s="3">
        <v>24231.418547794448</v>
      </c>
      <c r="I209">
        <v>34</v>
      </c>
      <c r="J209" s="3">
        <v>14002.49059341005</v>
      </c>
      <c r="K209" s="3">
        <v>10228.9279543844</v>
      </c>
    </row>
    <row r="210" spans="1:11" x14ac:dyDescent="0.3">
      <c r="A210" t="s">
        <v>286</v>
      </c>
      <c r="B210" s="2">
        <v>44652</v>
      </c>
      <c r="C210">
        <v>2022</v>
      </c>
      <c r="D210">
        <v>4</v>
      </c>
      <c r="E210" t="s">
        <v>50</v>
      </c>
      <c r="F210" t="s">
        <v>67</v>
      </c>
      <c r="G210" t="s">
        <v>40</v>
      </c>
      <c r="H210" s="3">
        <v>20972.04724748003</v>
      </c>
      <c r="I210">
        <v>4</v>
      </c>
      <c r="J210" s="3">
        <v>14443.534138514289</v>
      </c>
      <c r="K210" s="3">
        <v>6528.5131089657407</v>
      </c>
    </row>
    <row r="211" spans="1:11" x14ac:dyDescent="0.3">
      <c r="A211" t="s">
        <v>287</v>
      </c>
      <c r="B211" s="2">
        <v>44652</v>
      </c>
      <c r="C211">
        <v>2022</v>
      </c>
      <c r="D211">
        <v>4</v>
      </c>
      <c r="E211" t="s">
        <v>50</v>
      </c>
      <c r="F211" t="s">
        <v>48</v>
      </c>
      <c r="G211" t="s">
        <v>40</v>
      </c>
      <c r="H211" s="3">
        <v>57249.115809986193</v>
      </c>
      <c r="I211">
        <v>11</v>
      </c>
      <c r="J211" s="3">
        <v>39781.544601105081</v>
      </c>
      <c r="K211" s="3">
        <v>17467.571208881109</v>
      </c>
    </row>
    <row r="212" spans="1:11" x14ac:dyDescent="0.3">
      <c r="A212" t="s">
        <v>288</v>
      </c>
      <c r="B212" s="2">
        <v>44652</v>
      </c>
      <c r="C212">
        <v>2022</v>
      </c>
      <c r="D212">
        <v>4</v>
      </c>
      <c r="E212" t="s">
        <v>54</v>
      </c>
      <c r="F212" t="s">
        <v>67</v>
      </c>
      <c r="G212" t="s">
        <v>40</v>
      </c>
      <c r="H212" s="3">
        <v>17524.89191834781</v>
      </c>
      <c r="I212">
        <v>3</v>
      </c>
      <c r="J212" s="3">
        <v>11931.53054055044</v>
      </c>
      <c r="K212" s="3">
        <v>5593.3613777973769</v>
      </c>
    </row>
    <row r="213" spans="1:11" x14ac:dyDescent="0.3">
      <c r="A213" t="s">
        <v>289</v>
      </c>
      <c r="B213" s="2">
        <v>44652</v>
      </c>
      <c r="C213">
        <v>2022</v>
      </c>
      <c r="D213">
        <v>4</v>
      </c>
      <c r="E213" t="s">
        <v>54</v>
      </c>
      <c r="F213" t="s">
        <v>48</v>
      </c>
      <c r="G213" t="s">
        <v>40</v>
      </c>
      <c r="H213" s="3">
        <v>43415.396864358881</v>
      </c>
      <c r="I213">
        <v>8</v>
      </c>
      <c r="J213" s="3">
        <v>30054.357948571291</v>
      </c>
      <c r="K213" s="3">
        <v>13361.038915787591</v>
      </c>
    </row>
    <row r="214" spans="1:11" x14ac:dyDescent="0.3">
      <c r="A214" t="s">
        <v>290</v>
      </c>
      <c r="B214" s="2">
        <v>44652</v>
      </c>
      <c r="C214">
        <v>2022</v>
      </c>
      <c r="D214">
        <v>4</v>
      </c>
      <c r="E214" t="s">
        <v>58</v>
      </c>
      <c r="F214" t="s">
        <v>67</v>
      </c>
      <c r="G214" t="s">
        <v>40</v>
      </c>
      <c r="H214" s="3">
        <v>11390.48642272633</v>
      </c>
      <c r="I214">
        <v>2</v>
      </c>
      <c r="J214" s="3">
        <v>7924.5501854546474</v>
      </c>
      <c r="K214" s="3">
        <v>3465.936237271686</v>
      </c>
    </row>
    <row r="215" spans="1:11" x14ac:dyDescent="0.3">
      <c r="A215" t="s">
        <v>291</v>
      </c>
      <c r="B215" s="2">
        <v>44652</v>
      </c>
      <c r="C215">
        <v>2022</v>
      </c>
      <c r="D215">
        <v>4</v>
      </c>
      <c r="E215" t="s">
        <v>58</v>
      </c>
      <c r="F215" t="s">
        <v>48</v>
      </c>
      <c r="G215" t="s">
        <v>40</v>
      </c>
      <c r="H215" s="3">
        <v>32085.390375273349</v>
      </c>
      <c r="I215">
        <v>6</v>
      </c>
      <c r="J215" s="3">
        <v>22216.56413839967</v>
      </c>
      <c r="K215" s="3">
        <v>9868.8262368736796</v>
      </c>
    </row>
    <row r="216" spans="1:11" x14ac:dyDescent="0.3">
      <c r="A216" t="s">
        <v>292</v>
      </c>
      <c r="B216" s="2">
        <v>44652</v>
      </c>
      <c r="C216">
        <v>2022</v>
      </c>
      <c r="D216">
        <v>4</v>
      </c>
      <c r="E216" t="s">
        <v>62</v>
      </c>
      <c r="F216" t="s">
        <v>67</v>
      </c>
      <c r="G216" t="s">
        <v>40</v>
      </c>
      <c r="H216" s="3">
        <v>8534.8490471070272</v>
      </c>
      <c r="I216">
        <v>2</v>
      </c>
      <c r="J216" s="3">
        <v>5780.9552578071116</v>
      </c>
      <c r="K216" s="3">
        <v>2753.8937892999161</v>
      </c>
    </row>
    <row r="217" spans="1:11" x14ac:dyDescent="0.3">
      <c r="A217" t="s">
        <v>293</v>
      </c>
      <c r="B217" s="2">
        <v>44652</v>
      </c>
      <c r="C217">
        <v>2022</v>
      </c>
      <c r="D217">
        <v>4</v>
      </c>
      <c r="E217" t="s">
        <v>62</v>
      </c>
      <c r="F217" t="s">
        <v>48</v>
      </c>
      <c r="G217" t="s">
        <v>40</v>
      </c>
      <c r="H217" s="3">
        <v>22742.561449376721</v>
      </c>
      <c r="I217">
        <v>4</v>
      </c>
      <c r="J217" s="3">
        <v>15750.656885263361</v>
      </c>
      <c r="K217" s="3">
        <v>6991.9045641133562</v>
      </c>
    </row>
    <row r="218" spans="1:11" x14ac:dyDescent="0.3">
      <c r="A218" t="s">
        <v>294</v>
      </c>
      <c r="B218" s="2">
        <v>44652</v>
      </c>
      <c r="C218">
        <v>2022</v>
      </c>
      <c r="D218">
        <v>4</v>
      </c>
      <c r="E218" t="s">
        <v>50</v>
      </c>
      <c r="F218" t="s">
        <v>67</v>
      </c>
      <c r="G218" t="s">
        <v>43</v>
      </c>
      <c r="H218" s="3">
        <v>48716.882492975863</v>
      </c>
      <c r="I218">
        <v>14</v>
      </c>
      <c r="J218" s="3">
        <v>29499.46179732939</v>
      </c>
      <c r="K218" s="3">
        <v>19217.42069564647</v>
      </c>
    </row>
    <row r="219" spans="1:11" x14ac:dyDescent="0.3">
      <c r="A219" t="s">
        <v>295</v>
      </c>
      <c r="B219" s="2">
        <v>44652</v>
      </c>
      <c r="C219">
        <v>2022</v>
      </c>
      <c r="D219">
        <v>4</v>
      </c>
      <c r="E219" t="s">
        <v>50</v>
      </c>
      <c r="F219" t="s">
        <v>48</v>
      </c>
      <c r="G219" t="s">
        <v>43</v>
      </c>
      <c r="H219" s="3">
        <v>121577.3732467785</v>
      </c>
      <c r="I219">
        <v>35</v>
      </c>
      <c r="J219" s="3">
        <v>72309.907047374116</v>
      </c>
      <c r="K219" s="3">
        <v>49267.466199404393</v>
      </c>
    </row>
    <row r="220" spans="1:11" x14ac:dyDescent="0.3">
      <c r="A220" t="s">
        <v>296</v>
      </c>
      <c r="B220" s="2">
        <v>44652</v>
      </c>
      <c r="C220">
        <v>2022</v>
      </c>
      <c r="D220">
        <v>4</v>
      </c>
      <c r="E220" t="s">
        <v>54</v>
      </c>
      <c r="F220" t="s">
        <v>67</v>
      </c>
      <c r="G220" t="s">
        <v>43</v>
      </c>
      <c r="H220" s="3">
        <v>36279.332232889283</v>
      </c>
      <c r="I220">
        <v>10</v>
      </c>
      <c r="J220" s="3">
        <v>21775.44670252427</v>
      </c>
      <c r="K220" s="3">
        <v>14503.885530365</v>
      </c>
    </row>
    <row r="221" spans="1:11" x14ac:dyDescent="0.3">
      <c r="A221" t="s">
        <v>297</v>
      </c>
      <c r="B221" s="2">
        <v>44652</v>
      </c>
      <c r="C221">
        <v>2022</v>
      </c>
      <c r="D221">
        <v>4</v>
      </c>
      <c r="E221" t="s">
        <v>54</v>
      </c>
      <c r="F221" t="s">
        <v>48</v>
      </c>
      <c r="G221" t="s">
        <v>43</v>
      </c>
      <c r="H221" s="3">
        <v>87217.239809428531</v>
      </c>
      <c r="I221">
        <v>25</v>
      </c>
      <c r="J221" s="3">
        <v>51238.639840807569</v>
      </c>
      <c r="K221" s="3">
        <v>35978.599968620962</v>
      </c>
    </row>
    <row r="222" spans="1:11" x14ac:dyDescent="0.3">
      <c r="A222" t="s">
        <v>298</v>
      </c>
      <c r="B222" s="2">
        <v>44652</v>
      </c>
      <c r="C222">
        <v>2022</v>
      </c>
      <c r="D222">
        <v>4</v>
      </c>
      <c r="E222" t="s">
        <v>58</v>
      </c>
      <c r="F222" t="s">
        <v>67</v>
      </c>
      <c r="G222" t="s">
        <v>43</v>
      </c>
      <c r="H222" s="3">
        <v>28284.10892993541</v>
      </c>
      <c r="I222">
        <v>8</v>
      </c>
      <c r="J222" s="3">
        <v>16912.87723048258</v>
      </c>
      <c r="K222" s="3">
        <v>11371.23169945283</v>
      </c>
    </row>
    <row r="223" spans="1:11" x14ac:dyDescent="0.3">
      <c r="A223" t="s">
        <v>299</v>
      </c>
      <c r="B223" s="2">
        <v>44652</v>
      </c>
      <c r="C223">
        <v>2022</v>
      </c>
      <c r="D223">
        <v>4</v>
      </c>
      <c r="E223" t="s">
        <v>58</v>
      </c>
      <c r="F223" t="s">
        <v>48</v>
      </c>
      <c r="G223" t="s">
        <v>43</v>
      </c>
      <c r="H223" s="3">
        <v>67436.213618409776</v>
      </c>
      <c r="I223">
        <v>19</v>
      </c>
      <c r="J223" s="3">
        <v>39987.370005477707</v>
      </c>
      <c r="K223" s="3">
        <v>27448.843612932069</v>
      </c>
    </row>
    <row r="224" spans="1:11" x14ac:dyDescent="0.3">
      <c r="A224" t="s">
        <v>300</v>
      </c>
      <c r="B224" s="2">
        <v>44652</v>
      </c>
      <c r="C224">
        <v>2022</v>
      </c>
      <c r="D224">
        <v>4</v>
      </c>
      <c r="E224" t="s">
        <v>62</v>
      </c>
      <c r="F224" t="s">
        <v>67</v>
      </c>
      <c r="G224" t="s">
        <v>43</v>
      </c>
      <c r="H224" s="3">
        <v>17256.84379955136</v>
      </c>
      <c r="I224">
        <v>5</v>
      </c>
      <c r="J224" s="3">
        <v>10007.266637323701</v>
      </c>
      <c r="K224" s="3">
        <v>7249.5771622276661</v>
      </c>
    </row>
    <row r="225" spans="1:11" x14ac:dyDescent="0.3">
      <c r="A225" t="s">
        <v>301</v>
      </c>
      <c r="B225" s="2">
        <v>44652</v>
      </c>
      <c r="C225">
        <v>2022</v>
      </c>
      <c r="D225">
        <v>4</v>
      </c>
      <c r="E225" t="s">
        <v>62</v>
      </c>
      <c r="F225" t="s">
        <v>48</v>
      </c>
      <c r="G225" t="s">
        <v>43</v>
      </c>
      <c r="H225" s="3">
        <v>46016.111970717247</v>
      </c>
      <c r="I225">
        <v>13</v>
      </c>
      <c r="J225" s="3">
        <v>27305.164445839229</v>
      </c>
      <c r="K225" s="3">
        <v>18710.947524878022</v>
      </c>
    </row>
    <row r="226" spans="1:11" x14ac:dyDescent="0.3">
      <c r="A226" t="s">
        <v>302</v>
      </c>
      <c r="B226" s="2">
        <v>44682</v>
      </c>
      <c r="C226">
        <v>2022</v>
      </c>
      <c r="D226">
        <v>5</v>
      </c>
      <c r="E226" t="s">
        <v>50</v>
      </c>
      <c r="F226" t="s">
        <v>67</v>
      </c>
      <c r="G226" t="s">
        <v>19</v>
      </c>
      <c r="H226" s="3">
        <v>48114.68111745538</v>
      </c>
      <c r="I226">
        <v>9</v>
      </c>
      <c r="J226" s="3">
        <v>29298.601009832641</v>
      </c>
      <c r="K226" s="3">
        <v>18816.08010762274</v>
      </c>
    </row>
    <row r="227" spans="1:11" x14ac:dyDescent="0.3">
      <c r="A227" t="s">
        <v>303</v>
      </c>
      <c r="B227" s="2">
        <v>44682</v>
      </c>
      <c r="C227">
        <v>2022</v>
      </c>
      <c r="D227">
        <v>5</v>
      </c>
      <c r="E227" t="s">
        <v>50</v>
      </c>
      <c r="F227" t="s">
        <v>48</v>
      </c>
      <c r="G227" t="s">
        <v>19</v>
      </c>
      <c r="H227" s="3">
        <v>116876.6151961031</v>
      </c>
      <c r="I227">
        <v>22</v>
      </c>
      <c r="J227" s="3">
        <v>71638.008449005429</v>
      </c>
      <c r="K227" s="3">
        <v>45238.606747097707</v>
      </c>
    </row>
    <row r="228" spans="1:11" x14ac:dyDescent="0.3">
      <c r="A228" t="s">
        <v>304</v>
      </c>
      <c r="B228" s="2">
        <v>44682</v>
      </c>
      <c r="C228">
        <v>2022</v>
      </c>
      <c r="D228">
        <v>5</v>
      </c>
      <c r="E228" t="s">
        <v>54</v>
      </c>
      <c r="F228" t="s">
        <v>67</v>
      </c>
      <c r="G228" t="s">
        <v>19</v>
      </c>
      <c r="H228" s="3">
        <v>35343.525611542071</v>
      </c>
      <c r="I228">
        <v>7</v>
      </c>
      <c r="J228" s="3">
        <v>21987.663352592081</v>
      </c>
      <c r="K228" s="3">
        <v>13355.86225894999</v>
      </c>
    </row>
    <row r="229" spans="1:11" x14ac:dyDescent="0.3">
      <c r="A229" t="s">
        <v>305</v>
      </c>
      <c r="B229" s="2">
        <v>44682</v>
      </c>
      <c r="C229">
        <v>2022</v>
      </c>
      <c r="D229">
        <v>5</v>
      </c>
      <c r="E229" t="s">
        <v>54</v>
      </c>
      <c r="F229" t="s">
        <v>48</v>
      </c>
      <c r="G229" t="s">
        <v>19</v>
      </c>
      <c r="H229" s="3">
        <v>91287.158889497834</v>
      </c>
      <c r="I229">
        <v>18</v>
      </c>
      <c r="J229" s="3">
        <v>56900.860482466232</v>
      </c>
      <c r="K229" s="3">
        <v>34386.298407031602</v>
      </c>
    </row>
    <row r="230" spans="1:11" x14ac:dyDescent="0.3">
      <c r="A230" t="s">
        <v>306</v>
      </c>
      <c r="B230" s="2">
        <v>44682</v>
      </c>
      <c r="C230">
        <v>2022</v>
      </c>
      <c r="D230">
        <v>5</v>
      </c>
      <c r="E230" t="s">
        <v>58</v>
      </c>
      <c r="F230" t="s">
        <v>67</v>
      </c>
      <c r="G230" t="s">
        <v>19</v>
      </c>
      <c r="H230" s="3">
        <v>21176.107959772431</v>
      </c>
      <c r="I230">
        <v>4</v>
      </c>
      <c r="J230" s="3">
        <v>12848.141138880619</v>
      </c>
      <c r="K230" s="3">
        <v>8327.9668208918192</v>
      </c>
    </row>
    <row r="231" spans="1:11" x14ac:dyDescent="0.3">
      <c r="A231" t="s">
        <v>307</v>
      </c>
      <c r="B231" s="2">
        <v>44682</v>
      </c>
      <c r="C231">
        <v>2022</v>
      </c>
      <c r="D231">
        <v>5</v>
      </c>
      <c r="E231" t="s">
        <v>58</v>
      </c>
      <c r="F231" t="s">
        <v>48</v>
      </c>
      <c r="G231" t="s">
        <v>19</v>
      </c>
      <c r="H231" s="3">
        <v>58844.196028413608</v>
      </c>
      <c r="I231">
        <v>11</v>
      </c>
      <c r="J231" s="3">
        <v>37175.555287506417</v>
      </c>
      <c r="K231" s="3">
        <v>21668.640740907191</v>
      </c>
    </row>
    <row r="232" spans="1:11" x14ac:dyDescent="0.3">
      <c r="A232" t="s">
        <v>308</v>
      </c>
      <c r="B232" s="2">
        <v>44682</v>
      </c>
      <c r="C232">
        <v>2022</v>
      </c>
      <c r="D232">
        <v>5</v>
      </c>
      <c r="E232" t="s">
        <v>62</v>
      </c>
      <c r="F232" t="s">
        <v>67</v>
      </c>
      <c r="G232" t="s">
        <v>19</v>
      </c>
      <c r="H232" s="3">
        <v>17531.16802667945</v>
      </c>
      <c r="I232">
        <v>3</v>
      </c>
      <c r="J232" s="3">
        <v>10981.235966598821</v>
      </c>
      <c r="K232" s="3">
        <v>6549.9320600806241</v>
      </c>
    </row>
    <row r="233" spans="1:11" x14ac:dyDescent="0.3">
      <c r="A233" t="s">
        <v>309</v>
      </c>
      <c r="B233" s="2">
        <v>44682</v>
      </c>
      <c r="C233">
        <v>2022</v>
      </c>
      <c r="D233">
        <v>5</v>
      </c>
      <c r="E233" t="s">
        <v>62</v>
      </c>
      <c r="F233" t="s">
        <v>48</v>
      </c>
      <c r="G233" t="s">
        <v>19</v>
      </c>
      <c r="H233" s="3">
        <v>49565.241231607179</v>
      </c>
      <c r="I233">
        <v>10</v>
      </c>
      <c r="J233" s="3">
        <v>30340.630373958149</v>
      </c>
      <c r="K233" s="3">
        <v>19224.61085764903</v>
      </c>
    </row>
    <row r="234" spans="1:11" x14ac:dyDescent="0.3">
      <c r="A234" t="s">
        <v>310</v>
      </c>
      <c r="B234" s="2">
        <v>44682</v>
      </c>
      <c r="C234">
        <v>2022</v>
      </c>
      <c r="D234">
        <v>5</v>
      </c>
      <c r="E234" t="s">
        <v>50</v>
      </c>
      <c r="F234" t="s">
        <v>67</v>
      </c>
      <c r="G234" t="s">
        <v>24</v>
      </c>
      <c r="H234" s="3">
        <v>47191.90524232421</v>
      </c>
      <c r="I234">
        <v>8</v>
      </c>
      <c r="J234" s="3">
        <v>30284.62617446309</v>
      </c>
      <c r="K234" s="3">
        <v>16907.27906786112</v>
      </c>
    </row>
    <row r="235" spans="1:11" x14ac:dyDescent="0.3">
      <c r="A235" t="s">
        <v>311</v>
      </c>
      <c r="B235" s="2">
        <v>44682</v>
      </c>
      <c r="C235">
        <v>2022</v>
      </c>
      <c r="D235">
        <v>5</v>
      </c>
      <c r="E235" t="s">
        <v>50</v>
      </c>
      <c r="F235" t="s">
        <v>48</v>
      </c>
      <c r="G235" t="s">
        <v>24</v>
      </c>
      <c r="H235" s="3">
        <v>125419.7276258006</v>
      </c>
      <c r="I235">
        <v>21</v>
      </c>
      <c r="J235" s="3">
        <v>82561.114386087705</v>
      </c>
      <c r="K235" s="3">
        <v>42858.613239712882</v>
      </c>
    </row>
    <row r="236" spans="1:11" x14ac:dyDescent="0.3">
      <c r="A236" t="s">
        <v>312</v>
      </c>
      <c r="B236" s="2">
        <v>44682</v>
      </c>
      <c r="C236">
        <v>2022</v>
      </c>
      <c r="D236">
        <v>5</v>
      </c>
      <c r="E236" t="s">
        <v>54</v>
      </c>
      <c r="F236" t="s">
        <v>67</v>
      </c>
      <c r="G236" t="s">
        <v>24</v>
      </c>
      <c r="H236" s="3">
        <v>44351.537094225278</v>
      </c>
      <c r="I236">
        <v>7</v>
      </c>
      <c r="J236" s="3">
        <v>29037.04840688175</v>
      </c>
      <c r="K236" s="3">
        <v>15314.48868734353</v>
      </c>
    </row>
    <row r="237" spans="1:11" x14ac:dyDescent="0.3">
      <c r="A237" t="s">
        <v>313</v>
      </c>
      <c r="B237" s="2">
        <v>44682</v>
      </c>
      <c r="C237">
        <v>2022</v>
      </c>
      <c r="D237">
        <v>5</v>
      </c>
      <c r="E237" t="s">
        <v>54</v>
      </c>
      <c r="F237" t="s">
        <v>48</v>
      </c>
      <c r="G237" t="s">
        <v>24</v>
      </c>
      <c r="H237" s="3">
        <v>102693.3191229847</v>
      </c>
      <c r="I237">
        <v>17</v>
      </c>
      <c r="J237" s="3">
        <v>67915.62159762485</v>
      </c>
      <c r="K237" s="3">
        <v>34777.69752535985</v>
      </c>
    </row>
    <row r="238" spans="1:11" x14ac:dyDescent="0.3">
      <c r="A238" t="s">
        <v>314</v>
      </c>
      <c r="B238" s="2">
        <v>44682</v>
      </c>
      <c r="C238">
        <v>2022</v>
      </c>
      <c r="D238">
        <v>5</v>
      </c>
      <c r="E238" t="s">
        <v>58</v>
      </c>
      <c r="F238" t="s">
        <v>67</v>
      </c>
      <c r="G238" t="s">
        <v>24</v>
      </c>
      <c r="H238" s="3">
        <v>28517.816218930249</v>
      </c>
      <c r="I238">
        <v>5</v>
      </c>
      <c r="J238" s="3">
        <v>18698.737809292641</v>
      </c>
      <c r="K238" s="3">
        <v>9819.0784096376156</v>
      </c>
    </row>
    <row r="239" spans="1:11" x14ac:dyDescent="0.3">
      <c r="A239" t="s">
        <v>315</v>
      </c>
      <c r="B239" s="2">
        <v>44682</v>
      </c>
      <c r="C239">
        <v>2022</v>
      </c>
      <c r="D239">
        <v>5</v>
      </c>
      <c r="E239" t="s">
        <v>58</v>
      </c>
      <c r="F239" t="s">
        <v>48</v>
      </c>
      <c r="G239" t="s">
        <v>24</v>
      </c>
      <c r="H239" s="3">
        <v>67357.322790032587</v>
      </c>
      <c r="I239">
        <v>11</v>
      </c>
      <c r="J239" s="3">
        <v>42849.456034717048</v>
      </c>
      <c r="K239" s="3">
        <v>24507.866755315539</v>
      </c>
    </row>
    <row r="240" spans="1:11" x14ac:dyDescent="0.3">
      <c r="A240" t="s">
        <v>316</v>
      </c>
      <c r="B240" s="2">
        <v>44682</v>
      </c>
      <c r="C240">
        <v>2022</v>
      </c>
      <c r="D240">
        <v>5</v>
      </c>
      <c r="E240" t="s">
        <v>62</v>
      </c>
      <c r="F240" t="s">
        <v>67</v>
      </c>
      <c r="G240" t="s">
        <v>24</v>
      </c>
      <c r="H240" s="3">
        <v>20091.670896567561</v>
      </c>
      <c r="I240">
        <v>3</v>
      </c>
      <c r="J240" s="3">
        <v>13167.80862986351</v>
      </c>
      <c r="K240" s="3">
        <v>6923.8622667040436</v>
      </c>
    </row>
    <row r="241" spans="1:11" x14ac:dyDescent="0.3">
      <c r="A241" t="s">
        <v>317</v>
      </c>
      <c r="B241" s="2">
        <v>44682</v>
      </c>
      <c r="C241">
        <v>2022</v>
      </c>
      <c r="D241">
        <v>5</v>
      </c>
      <c r="E241" t="s">
        <v>62</v>
      </c>
      <c r="F241" t="s">
        <v>48</v>
      </c>
      <c r="G241" t="s">
        <v>24</v>
      </c>
      <c r="H241" s="3">
        <v>55646.68129994101</v>
      </c>
      <c r="I241">
        <v>9</v>
      </c>
      <c r="J241" s="3">
        <v>36524.770189400333</v>
      </c>
      <c r="K241" s="3">
        <v>19121.911110540681</v>
      </c>
    </row>
    <row r="242" spans="1:11" x14ac:dyDescent="0.3">
      <c r="A242" t="s">
        <v>318</v>
      </c>
      <c r="B242" s="2">
        <v>44682</v>
      </c>
      <c r="C242">
        <v>2022</v>
      </c>
      <c r="D242">
        <v>5</v>
      </c>
      <c r="E242" t="s">
        <v>50</v>
      </c>
      <c r="F242" t="s">
        <v>67</v>
      </c>
      <c r="G242" t="s">
        <v>29</v>
      </c>
      <c r="H242" s="3">
        <v>32972.932422443402</v>
      </c>
      <c r="I242">
        <v>8</v>
      </c>
      <c r="J242" s="3">
        <v>21343.371738315778</v>
      </c>
      <c r="K242" s="3">
        <v>11629.56068412762</v>
      </c>
    </row>
    <row r="243" spans="1:11" x14ac:dyDescent="0.3">
      <c r="A243" t="s">
        <v>319</v>
      </c>
      <c r="B243" s="2">
        <v>44682</v>
      </c>
      <c r="C243">
        <v>2022</v>
      </c>
      <c r="D243">
        <v>5</v>
      </c>
      <c r="E243" t="s">
        <v>50</v>
      </c>
      <c r="F243" t="s">
        <v>48</v>
      </c>
      <c r="G243" t="s">
        <v>29</v>
      </c>
      <c r="H243" s="3">
        <v>88699.865522959604</v>
      </c>
      <c r="I243">
        <v>21</v>
      </c>
      <c r="J243" s="3">
        <v>56054.477832018223</v>
      </c>
      <c r="K243" s="3">
        <v>32645.387690941388</v>
      </c>
    </row>
    <row r="244" spans="1:11" x14ac:dyDescent="0.3">
      <c r="A244" t="s">
        <v>320</v>
      </c>
      <c r="B244" s="2">
        <v>44682</v>
      </c>
      <c r="C244">
        <v>2022</v>
      </c>
      <c r="D244">
        <v>5</v>
      </c>
      <c r="E244" t="s">
        <v>54</v>
      </c>
      <c r="F244" t="s">
        <v>67</v>
      </c>
      <c r="G244" t="s">
        <v>29</v>
      </c>
      <c r="H244" s="3">
        <v>26756.729612257281</v>
      </c>
      <c r="I244">
        <v>6</v>
      </c>
      <c r="J244" s="3">
        <v>17641.737478668809</v>
      </c>
      <c r="K244" s="3">
        <v>9114.9921335884683</v>
      </c>
    </row>
    <row r="245" spans="1:11" x14ac:dyDescent="0.3">
      <c r="A245" t="s">
        <v>321</v>
      </c>
      <c r="B245" s="2">
        <v>44682</v>
      </c>
      <c r="C245">
        <v>2022</v>
      </c>
      <c r="D245">
        <v>5</v>
      </c>
      <c r="E245" t="s">
        <v>54</v>
      </c>
      <c r="F245" t="s">
        <v>48</v>
      </c>
      <c r="G245" t="s">
        <v>29</v>
      </c>
      <c r="H245" s="3">
        <v>70817.118851767867</v>
      </c>
      <c r="I245">
        <v>16</v>
      </c>
      <c r="J245" s="3">
        <v>43763.414452720201</v>
      </c>
      <c r="K245" s="3">
        <v>27053.70439904767</v>
      </c>
    </row>
    <row r="246" spans="1:11" x14ac:dyDescent="0.3">
      <c r="A246" t="s">
        <v>322</v>
      </c>
      <c r="B246" s="2">
        <v>44682</v>
      </c>
      <c r="C246">
        <v>2022</v>
      </c>
      <c r="D246">
        <v>5</v>
      </c>
      <c r="E246" t="s">
        <v>58</v>
      </c>
      <c r="F246" t="s">
        <v>67</v>
      </c>
      <c r="G246" t="s">
        <v>29</v>
      </c>
      <c r="H246" s="3">
        <v>19539.969638851919</v>
      </c>
      <c r="I246">
        <v>5</v>
      </c>
      <c r="J246" s="3">
        <v>12800.72496296009</v>
      </c>
      <c r="K246" s="3">
        <v>6739.2446758918231</v>
      </c>
    </row>
    <row r="247" spans="1:11" x14ac:dyDescent="0.3">
      <c r="A247" t="s">
        <v>323</v>
      </c>
      <c r="B247" s="2">
        <v>44682</v>
      </c>
      <c r="C247">
        <v>2022</v>
      </c>
      <c r="D247">
        <v>5</v>
      </c>
      <c r="E247" t="s">
        <v>58</v>
      </c>
      <c r="F247" t="s">
        <v>48</v>
      </c>
      <c r="G247" t="s">
        <v>29</v>
      </c>
      <c r="H247" s="3">
        <v>47855.048250558139</v>
      </c>
      <c r="I247">
        <v>11</v>
      </c>
      <c r="J247" s="3">
        <v>30503.566039942511</v>
      </c>
      <c r="K247" s="3">
        <v>17351.482210615632</v>
      </c>
    </row>
    <row r="248" spans="1:11" x14ac:dyDescent="0.3">
      <c r="A248" t="s">
        <v>324</v>
      </c>
      <c r="B248" s="2">
        <v>44682</v>
      </c>
      <c r="C248">
        <v>2022</v>
      </c>
      <c r="D248">
        <v>5</v>
      </c>
      <c r="E248" t="s">
        <v>62</v>
      </c>
      <c r="F248" t="s">
        <v>67</v>
      </c>
      <c r="G248" t="s">
        <v>29</v>
      </c>
      <c r="H248" s="3">
        <v>13892.793846279579</v>
      </c>
      <c r="I248">
        <v>3</v>
      </c>
      <c r="J248" s="3">
        <v>9028.9603097132022</v>
      </c>
      <c r="K248" s="3">
        <v>4863.8335365663816</v>
      </c>
    </row>
    <row r="249" spans="1:11" x14ac:dyDescent="0.3">
      <c r="A249" t="s">
        <v>325</v>
      </c>
      <c r="B249" s="2">
        <v>44682</v>
      </c>
      <c r="C249">
        <v>2022</v>
      </c>
      <c r="D249">
        <v>5</v>
      </c>
      <c r="E249" t="s">
        <v>62</v>
      </c>
      <c r="F249" t="s">
        <v>48</v>
      </c>
      <c r="G249" t="s">
        <v>29</v>
      </c>
      <c r="H249" s="3">
        <v>39248.187593028502</v>
      </c>
      <c r="I249">
        <v>9</v>
      </c>
      <c r="J249" s="3">
        <v>25154.92143240077</v>
      </c>
      <c r="K249" s="3">
        <v>14093.266160627731</v>
      </c>
    </row>
    <row r="250" spans="1:11" x14ac:dyDescent="0.3">
      <c r="A250" t="s">
        <v>326</v>
      </c>
      <c r="B250" s="2">
        <v>44682</v>
      </c>
      <c r="C250">
        <v>2022</v>
      </c>
      <c r="D250">
        <v>5</v>
      </c>
      <c r="E250" t="s">
        <v>50</v>
      </c>
      <c r="F250" t="s">
        <v>67</v>
      </c>
      <c r="G250" t="s">
        <v>34</v>
      </c>
      <c r="H250" s="3">
        <v>30051.622233262518</v>
      </c>
      <c r="I250">
        <v>35</v>
      </c>
      <c r="J250" s="3">
        <v>14720.65972701447</v>
      </c>
      <c r="K250" s="3">
        <v>15330.96250624805</v>
      </c>
    </row>
    <row r="251" spans="1:11" x14ac:dyDescent="0.3">
      <c r="A251" t="s">
        <v>327</v>
      </c>
      <c r="B251" s="2">
        <v>44682</v>
      </c>
      <c r="C251">
        <v>2022</v>
      </c>
      <c r="D251">
        <v>5</v>
      </c>
      <c r="E251" t="s">
        <v>50</v>
      </c>
      <c r="F251" t="s">
        <v>48</v>
      </c>
      <c r="G251" t="s">
        <v>34</v>
      </c>
      <c r="H251" s="3">
        <v>78155.46915247009</v>
      </c>
      <c r="I251">
        <v>92</v>
      </c>
      <c r="J251" s="3">
        <v>37253.053892728327</v>
      </c>
      <c r="K251" s="3">
        <v>40902.415259741763</v>
      </c>
    </row>
    <row r="252" spans="1:11" x14ac:dyDescent="0.3">
      <c r="A252" t="s">
        <v>328</v>
      </c>
      <c r="B252" s="2">
        <v>44682</v>
      </c>
      <c r="C252">
        <v>2022</v>
      </c>
      <c r="D252">
        <v>5</v>
      </c>
      <c r="E252" t="s">
        <v>54</v>
      </c>
      <c r="F252" t="s">
        <v>67</v>
      </c>
      <c r="G252" t="s">
        <v>34</v>
      </c>
      <c r="H252" s="3">
        <v>27138.414187656821</v>
      </c>
      <c r="I252">
        <v>32</v>
      </c>
      <c r="J252" s="3">
        <v>12768.838798681871</v>
      </c>
      <c r="K252" s="3">
        <v>14369.57538897495</v>
      </c>
    </row>
    <row r="253" spans="1:11" x14ac:dyDescent="0.3">
      <c r="A253" t="s">
        <v>329</v>
      </c>
      <c r="B253" s="2">
        <v>44682</v>
      </c>
      <c r="C253">
        <v>2022</v>
      </c>
      <c r="D253">
        <v>5</v>
      </c>
      <c r="E253" t="s">
        <v>54</v>
      </c>
      <c r="F253" t="s">
        <v>48</v>
      </c>
      <c r="G253" t="s">
        <v>34</v>
      </c>
      <c r="H253" s="3">
        <v>68347.136664211735</v>
      </c>
      <c r="I253">
        <v>80</v>
      </c>
      <c r="J253" s="3">
        <v>33645.460740474038</v>
      </c>
      <c r="K253" s="3">
        <v>34701.675923737697</v>
      </c>
    </row>
    <row r="254" spans="1:11" x14ac:dyDescent="0.3">
      <c r="A254" t="s">
        <v>330</v>
      </c>
      <c r="B254" s="2">
        <v>44682</v>
      </c>
      <c r="C254">
        <v>2022</v>
      </c>
      <c r="D254">
        <v>5</v>
      </c>
      <c r="E254" t="s">
        <v>58</v>
      </c>
      <c r="F254" t="s">
        <v>67</v>
      </c>
      <c r="G254" t="s">
        <v>34</v>
      </c>
      <c r="H254" s="3">
        <v>17475.785105327221</v>
      </c>
      <c r="I254">
        <v>21</v>
      </c>
      <c r="J254" s="3">
        <v>8371.2423189447909</v>
      </c>
      <c r="K254" s="3">
        <v>9104.5427863824261</v>
      </c>
    </row>
    <row r="255" spans="1:11" x14ac:dyDescent="0.3">
      <c r="A255" t="s">
        <v>331</v>
      </c>
      <c r="B255" s="2">
        <v>44682</v>
      </c>
      <c r="C255">
        <v>2022</v>
      </c>
      <c r="D255">
        <v>5</v>
      </c>
      <c r="E255" t="s">
        <v>58</v>
      </c>
      <c r="F255" t="s">
        <v>48</v>
      </c>
      <c r="G255" t="s">
        <v>34</v>
      </c>
      <c r="H255" s="3">
        <v>45641.452856607852</v>
      </c>
      <c r="I255">
        <v>54</v>
      </c>
      <c r="J255" s="3">
        <v>21995.26721660548</v>
      </c>
      <c r="K255" s="3">
        <v>23646.185640002379</v>
      </c>
    </row>
    <row r="256" spans="1:11" x14ac:dyDescent="0.3">
      <c r="A256" t="s">
        <v>332</v>
      </c>
      <c r="B256" s="2">
        <v>44682</v>
      </c>
      <c r="C256">
        <v>2022</v>
      </c>
      <c r="D256">
        <v>5</v>
      </c>
      <c r="E256" t="s">
        <v>62</v>
      </c>
      <c r="F256" t="s">
        <v>67</v>
      </c>
      <c r="G256" t="s">
        <v>34</v>
      </c>
      <c r="H256" s="3">
        <v>12895.697586236191</v>
      </c>
      <c r="I256">
        <v>15</v>
      </c>
      <c r="J256" s="3">
        <v>6327.5094514713883</v>
      </c>
      <c r="K256" s="3">
        <v>6568.1881347648059</v>
      </c>
    </row>
    <row r="257" spans="1:11" x14ac:dyDescent="0.3">
      <c r="A257" t="s">
        <v>333</v>
      </c>
      <c r="B257" s="2">
        <v>44682</v>
      </c>
      <c r="C257">
        <v>2022</v>
      </c>
      <c r="D257">
        <v>5</v>
      </c>
      <c r="E257" t="s">
        <v>62</v>
      </c>
      <c r="F257" t="s">
        <v>48</v>
      </c>
      <c r="G257" t="s">
        <v>34</v>
      </c>
      <c r="H257" s="3">
        <v>34661.906790187342</v>
      </c>
      <c r="I257">
        <v>41</v>
      </c>
      <c r="J257" s="3">
        <v>16328.66646468054</v>
      </c>
      <c r="K257" s="3">
        <v>18333.240325506798</v>
      </c>
    </row>
    <row r="258" spans="1:11" x14ac:dyDescent="0.3">
      <c r="A258" t="s">
        <v>334</v>
      </c>
      <c r="B258" s="2">
        <v>44682</v>
      </c>
      <c r="C258">
        <v>2022</v>
      </c>
      <c r="D258">
        <v>5</v>
      </c>
      <c r="E258" t="s">
        <v>50</v>
      </c>
      <c r="F258" t="s">
        <v>67</v>
      </c>
      <c r="G258" t="s">
        <v>37</v>
      </c>
      <c r="H258" s="3">
        <v>25615.18439232331</v>
      </c>
      <c r="I258">
        <v>36</v>
      </c>
      <c r="J258" s="3">
        <v>14239.36214633292</v>
      </c>
      <c r="K258" s="3">
        <v>11375.82224599039</v>
      </c>
    </row>
    <row r="259" spans="1:11" x14ac:dyDescent="0.3">
      <c r="A259" t="s">
        <v>335</v>
      </c>
      <c r="B259" s="2">
        <v>44682</v>
      </c>
      <c r="C259">
        <v>2022</v>
      </c>
      <c r="D259">
        <v>5</v>
      </c>
      <c r="E259" t="s">
        <v>50</v>
      </c>
      <c r="F259" t="s">
        <v>48</v>
      </c>
      <c r="G259" t="s">
        <v>37</v>
      </c>
      <c r="H259" s="3">
        <v>69394.387212765476</v>
      </c>
      <c r="I259">
        <v>96</v>
      </c>
      <c r="J259" s="3">
        <v>37761.652654087833</v>
      </c>
      <c r="K259" s="3">
        <v>31632.734558677639</v>
      </c>
    </row>
    <row r="260" spans="1:11" x14ac:dyDescent="0.3">
      <c r="A260" t="s">
        <v>336</v>
      </c>
      <c r="B260" s="2">
        <v>44682</v>
      </c>
      <c r="C260">
        <v>2022</v>
      </c>
      <c r="D260">
        <v>5</v>
      </c>
      <c r="E260" t="s">
        <v>54</v>
      </c>
      <c r="F260" t="s">
        <v>67</v>
      </c>
      <c r="G260" t="s">
        <v>37</v>
      </c>
      <c r="H260" s="3">
        <v>22191.285184489021</v>
      </c>
      <c r="I260">
        <v>31</v>
      </c>
      <c r="J260" s="3">
        <v>12176.17007361779</v>
      </c>
      <c r="K260" s="3">
        <v>10015.115110871229</v>
      </c>
    </row>
    <row r="261" spans="1:11" x14ac:dyDescent="0.3">
      <c r="A261" t="s">
        <v>337</v>
      </c>
      <c r="B261" s="2">
        <v>44682</v>
      </c>
      <c r="C261">
        <v>2022</v>
      </c>
      <c r="D261">
        <v>5</v>
      </c>
      <c r="E261" t="s">
        <v>54</v>
      </c>
      <c r="F261" t="s">
        <v>48</v>
      </c>
      <c r="G261" t="s">
        <v>37</v>
      </c>
      <c r="H261" s="3">
        <v>55779.709265291902</v>
      </c>
      <c r="I261">
        <v>77</v>
      </c>
      <c r="J261" s="3">
        <v>30718.753922694352</v>
      </c>
      <c r="K261" s="3">
        <v>25060.95534259755</v>
      </c>
    </row>
    <row r="262" spans="1:11" x14ac:dyDescent="0.3">
      <c r="A262" t="s">
        <v>338</v>
      </c>
      <c r="B262" s="2">
        <v>44682</v>
      </c>
      <c r="C262">
        <v>2022</v>
      </c>
      <c r="D262">
        <v>5</v>
      </c>
      <c r="E262" t="s">
        <v>58</v>
      </c>
      <c r="F262" t="s">
        <v>67</v>
      </c>
      <c r="G262" t="s">
        <v>37</v>
      </c>
      <c r="H262" s="3">
        <v>15518.516116866769</v>
      </c>
      <c r="I262">
        <v>22</v>
      </c>
      <c r="J262" s="3">
        <v>8304.6998146328951</v>
      </c>
      <c r="K262" s="3">
        <v>7213.816302233874</v>
      </c>
    </row>
    <row r="263" spans="1:11" x14ac:dyDescent="0.3">
      <c r="A263" t="s">
        <v>339</v>
      </c>
      <c r="B263" s="2">
        <v>44682</v>
      </c>
      <c r="C263">
        <v>2022</v>
      </c>
      <c r="D263">
        <v>5</v>
      </c>
      <c r="E263" t="s">
        <v>58</v>
      </c>
      <c r="F263" t="s">
        <v>48</v>
      </c>
      <c r="G263" t="s">
        <v>37</v>
      </c>
      <c r="H263" s="3">
        <v>38096.321024484263</v>
      </c>
      <c r="I263">
        <v>53</v>
      </c>
      <c r="J263" s="3">
        <v>20659.235385976779</v>
      </c>
      <c r="K263" s="3">
        <v>17437.08563850748</v>
      </c>
    </row>
    <row r="264" spans="1:11" x14ac:dyDescent="0.3">
      <c r="A264" t="s">
        <v>340</v>
      </c>
      <c r="B264" s="2">
        <v>44682</v>
      </c>
      <c r="C264">
        <v>2022</v>
      </c>
      <c r="D264">
        <v>5</v>
      </c>
      <c r="E264" t="s">
        <v>62</v>
      </c>
      <c r="F264" t="s">
        <v>67</v>
      </c>
      <c r="G264" t="s">
        <v>37</v>
      </c>
      <c r="H264" s="3">
        <v>10311.005552338551</v>
      </c>
      <c r="I264">
        <v>14</v>
      </c>
      <c r="J264" s="3">
        <v>5808.9691627295351</v>
      </c>
      <c r="K264" s="3">
        <v>4502.0363896090184</v>
      </c>
    </row>
    <row r="265" spans="1:11" x14ac:dyDescent="0.3">
      <c r="A265" t="s">
        <v>341</v>
      </c>
      <c r="B265" s="2">
        <v>44682</v>
      </c>
      <c r="C265">
        <v>2022</v>
      </c>
      <c r="D265">
        <v>5</v>
      </c>
      <c r="E265" t="s">
        <v>62</v>
      </c>
      <c r="F265" t="s">
        <v>48</v>
      </c>
      <c r="G265" t="s">
        <v>37</v>
      </c>
      <c r="H265" s="3">
        <v>27653.312004183808</v>
      </c>
      <c r="I265">
        <v>38</v>
      </c>
      <c r="J265" s="3">
        <v>15451.932204490709</v>
      </c>
      <c r="K265" s="3">
        <v>12201.37979969311</v>
      </c>
    </row>
    <row r="266" spans="1:11" x14ac:dyDescent="0.3">
      <c r="A266" t="s">
        <v>342</v>
      </c>
      <c r="B266" s="2">
        <v>44682</v>
      </c>
      <c r="C266">
        <v>2022</v>
      </c>
      <c r="D266">
        <v>5</v>
      </c>
      <c r="E266" t="s">
        <v>50</v>
      </c>
      <c r="F266" t="s">
        <v>67</v>
      </c>
      <c r="G266" t="s">
        <v>40</v>
      </c>
      <c r="H266" s="3">
        <v>24064.63386655298</v>
      </c>
      <c r="I266">
        <v>4</v>
      </c>
      <c r="J266" s="3">
        <v>16585.87547862688</v>
      </c>
      <c r="K266" s="3">
        <v>7478.7583879261038</v>
      </c>
    </row>
    <row r="267" spans="1:11" x14ac:dyDescent="0.3">
      <c r="A267" t="s">
        <v>343</v>
      </c>
      <c r="B267" s="2">
        <v>44682</v>
      </c>
      <c r="C267">
        <v>2022</v>
      </c>
      <c r="D267">
        <v>5</v>
      </c>
      <c r="E267" t="s">
        <v>50</v>
      </c>
      <c r="F267" t="s">
        <v>48</v>
      </c>
      <c r="G267" t="s">
        <v>40</v>
      </c>
      <c r="H267" s="3">
        <v>61976.830143179737</v>
      </c>
      <c r="I267">
        <v>11</v>
      </c>
      <c r="J267" s="3">
        <v>42951.157623241597</v>
      </c>
      <c r="K267" s="3">
        <v>19025.672519938151</v>
      </c>
    </row>
    <row r="268" spans="1:11" x14ac:dyDescent="0.3">
      <c r="A268" t="s">
        <v>344</v>
      </c>
      <c r="B268" s="2">
        <v>44682</v>
      </c>
      <c r="C268">
        <v>2022</v>
      </c>
      <c r="D268">
        <v>5</v>
      </c>
      <c r="E268" t="s">
        <v>54</v>
      </c>
      <c r="F268" t="s">
        <v>67</v>
      </c>
      <c r="G268" t="s">
        <v>40</v>
      </c>
      <c r="H268" s="3">
        <v>20385.139593763099</v>
      </c>
      <c r="I268">
        <v>4</v>
      </c>
      <c r="J268" s="3">
        <v>13991.248991762959</v>
      </c>
      <c r="K268" s="3">
        <v>6393.8906020001377</v>
      </c>
    </row>
    <row r="269" spans="1:11" x14ac:dyDescent="0.3">
      <c r="A269" t="s">
        <v>345</v>
      </c>
      <c r="B269" s="2">
        <v>44682</v>
      </c>
      <c r="C269">
        <v>2022</v>
      </c>
      <c r="D269">
        <v>5</v>
      </c>
      <c r="E269" t="s">
        <v>54</v>
      </c>
      <c r="F269" t="s">
        <v>48</v>
      </c>
      <c r="G269" t="s">
        <v>40</v>
      </c>
      <c r="H269" s="3">
        <v>47754.98844187324</v>
      </c>
      <c r="I269">
        <v>9</v>
      </c>
      <c r="J269" s="3">
        <v>33755.554633862826</v>
      </c>
      <c r="K269" s="3">
        <v>13999.43380801041</v>
      </c>
    </row>
    <row r="270" spans="1:11" x14ac:dyDescent="0.3">
      <c r="A270" t="s">
        <v>346</v>
      </c>
      <c r="B270" s="2">
        <v>44682</v>
      </c>
      <c r="C270">
        <v>2022</v>
      </c>
      <c r="D270">
        <v>5</v>
      </c>
      <c r="E270" t="s">
        <v>58</v>
      </c>
      <c r="F270" t="s">
        <v>67</v>
      </c>
      <c r="G270" t="s">
        <v>40</v>
      </c>
      <c r="H270" s="3">
        <v>13209.07580288644</v>
      </c>
      <c r="I270">
        <v>2</v>
      </c>
      <c r="J270" s="3">
        <v>9081.3931169403004</v>
      </c>
      <c r="K270" s="3">
        <v>4127.6826859461426</v>
      </c>
    </row>
    <row r="271" spans="1:11" x14ac:dyDescent="0.3">
      <c r="A271" t="s">
        <v>347</v>
      </c>
      <c r="B271" s="2">
        <v>44682</v>
      </c>
      <c r="C271">
        <v>2022</v>
      </c>
      <c r="D271">
        <v>5</v>
      </c>
      <c r="E271" t="s">
        <v>58</v>
      </c>
      <c r="F271" t="s">
        <v>48</v>
      </c>
      <c r="G271" t="s">
        <v>40</v>
      </c>
      <c r="H271" s="3">
        <v>32622.91481245117</v>
      </c>
      <c r="I271">
        <v>6</v>
      </c>
      <c r="J271" s="3">
        <v>22603.748211676259</v>
      </c>
      <c r="K271" s="3">
        <v>10019.166600774901</v>
      </c>
    </row>
    <row r="272" spans="1:11" x14ac:dyDescent="0.3">
      <c r="A272" t="s">
        <v>348</v>
      </c>
      <c r="B272" s="2">
        <v>44682</v>
      </c>
      <c r="C272">
        <v>2022</v>
      </c>
      <c r="D272">
        <v>5</v>
      </c>
      <c r="E272" t="s">
        <v>62</v>
      </c>
      <c r="F272" t="s">
        <v>67</v>
      </c>
      <c r="G272" t="s">
        <v>40</v>
      </c>
      <c r="H272" s="3">
        <v>9644.8588656351003</v>
      </c>
      <c r="I272">
        <v>2</v>
      </c>
      <c r="J272" s="3">
        <v>6792.2345908187081</v>
      </c>
      <c r="K272" s="3">
        <v>2852.6242748163918</v>
      </c>
    </row>
    <row r="273" spans="1:11" x14ac:dyDescent="0.3">
      <c r="A273" t="s">
        <v>349</v>
      </c>
      <c r="B273" s="2">
        <v>44682</v>
      </c>
      <c r="C273">
        <v>2022</v>
      </c>
      <c r="D273">
        <v>5</v>
      </c>
      <c r="E273" t="s">
        <v>62</v>
      </c>
      <c r="F273" t="s">
        <v>48</v>
      </c>
      <c r="G273" t="s">
        <v>40</v>
      </c>
      <c r="H273" s="3">
        <v>25207.496149580311</v>
      </c>
      <c r="I273">
        <v>5</v>
      </c>
      <c r="J273" s="3">
        <v>17149.795131419211</v>
      </c>
      <c r="K273" s="3">
        <v>8057.7010181610967</v>
      </c>
    </row>
    <row r="274" spans="1:11" x14ac:dyDescent="0.3">
      <c r="A274" t="s">
        <v>350</v>
      </c>
      <c r="B274" s="2">
        <v>44682</v>
      </c>
      <c r="C274">
        <v>2022</v>
      </c>
      <c r="D274">
        <v>5</v>
      </c>
      <c r="E274" t="s">
        <v>50</v>
      </c>
      <c r="F274" t="s">
        <v>67</v>
      </c>
      <c r="G274" t="s">
        <v>43</v>
      </c>
      <c r="H274" s="3">
        <v>53928.931460263913</v>
      </c>
      <c r="I274">
        <v>15</v>
      </c>
      <c r="J274" s="3">
        <v>32710.82749022992</v>
      </c>
      <c r="K274" s="3">
        <v>21218.103970033979</v>
      </c>
    </row>
    <row r="275" spans="1:11" x14ac:dyDescent="0.3">
      <c r="A275" t="s">
        <v>351</v>
      </c>
      <c r="B275" s="2">
        <v>44682</v>
      </c>
      <c r="C275">
        <v>2022</v>
      </c>
      <c r="D275">
        <v>5</v>
      </c>
      <c r="E275" t="s">
        <v>50</v>
      </c>
      <c r="F275" t="s">
        <v>48</v>
      </c>
      <c r="G275" t="s">
        <v>43</v>
      </c>
      <c r="H275" s="3">
        <v>130631.1074988624</v>
      </c>
      <c r="I275">
        <v>37</v>
      </c>
      <c r="J275" s="3">
        <v>74949.140696196133</v>
      </c>
      <c r="K275" s="3">
        <v>55681.966802666248</v>
      </c>
    </row>
    <row r="276" spans="1:11" x14ac:dyDescent="0.3">
      <c r="A276" t="s">
        <v>352</v>
      </c>
      <c r="B276" s="2">
        <v>44682</v>
      </c>
      <c r="C276">
        <v>2022</v>
      </c>
      <c r="D276">
        <v>5</v>
      </c>
      <c r="E276" t="s">
        <v>54</v>
      </c>
      <c r="F276" t="s">
        <v>67</v>
      </c>
      <c r="G276" t="s">
        <v>43</v>
      </c>
      <c r="H276" s="3">
        <v>42355.958783688729</v>
      </c>
      <c r="I276">
        <v>12</v>
      </c>
      <c r="J276" s="3">
        <v>25723.061765813411</v>
      </c>
      <c r="K276" s="3">
        <v>16632.897017875319</v>
      </c>
    </row>
    <row r="277" spans="1:11" x14ac:dyDescent="0.3">
      <c r="A277" t="s">
        <v>353</v>
      </c>
      <c r="B277" s="2">
        <v>44682</v>
      </c>
      <c r="C277">
        <v>2022</v>
      </c>
      <c r="D277">
        <v>5</v>
      </c>
      <c r="E277" t="s">
        <v>54</v>
      </c>
      <c r="F277" t="s">
        <v>48</v>
      </c>
      <c r="G277" t="s">
        <v>43</v>
      </c>
      <c r="H277" s="3">
        <v>108745.3025706997</v>
      </c>
      <c r="I277">
        <v>31</v>
      </c>
      <c r="J277" s="3">
        <v>63729.334759471822</v>
      </c>
      <c r="K277" s="3">
        <v>45015.967811227849</v>
      </c>
    </row>
    <row r="278" spans="1:11" x14ac:dyDescent="0.3">
      <c r="A278" t="s">
        <v>354</v>
      </c>
      <c r="B278" s="2">
        <v>44682</v>
      </c>
      <c r="C278">
        <v>2022</v>
      </c>
      <c r="D278">
        <v>5</v>
      </c>
      <c r="E278" t="s">
        <v>58</v>
      </c>
      <c r="F278" t="s">
        <v>67</v>
      </c>
      <c r="G278" t="s">
        <v>43</v>
      </c>
      <c r="H278" s="3">
        <v>28094.369627968219</v>
      </c>
      <c r="I278">
        <v>8</v>
      </c>
      <c r="J278" s="3">
        <v>16503.26594684038</v>
      </c>
      <c r="K278" s="3">
        <v>11591.10368112783</v>
      </c>
    </row>
    <row r="279" spans="1:11" x14ac:dyDescent="0.3">
      <c r="A279" t="s">
        <v>355</v>
      </c>
      <c r="B279" s="2">
        <v>44682</v>
      </c>
      <c r="C279">
        <v>2022</v>
      </c>
      <c r="D279">
        <v>5</v>
      </c>
      <c r="E279" t="s">
        <v>58</v>
      </c>
      <c r="F279" t="s">
        <v>48</v>
      </c>
      <c r="G279" t="s">
        <v>43</v>
      </c>
      <c r="H279" s="3">
        <v>73938.598948298255</v>
      </c>
      <c r="I279">
        <v>21</v>
      </c>
      <c r="J279" s="3">
        <v>42139.684622428693</v>
      </c>
      <c r="K279" s="3">
        <v>31798.914325869559</v>
      </c>
    </row>
    <row r="280" spans="1:11" x14ac:dyDescent="0.3">
      <c r="A280" t="s">
        <v>356</v>
      </c>
      <c r="B280" s="2">
        <v>44682</v>
      </c>
      <c r="C280">
        <v>2022</v>
      </c>
      <c r="D280">
        <v>5</v>
      </c>
      <c r="E280" t="s">
        <v>62</v>
      </c>
      <c r="F280" t="s">
        <v>67</v>
      </c>
      <c r="G280" t="s">
        <v>43</v>
      </c>
      <c r="H280" s="3">
        <v>21017.298791898211</v>
      </c>
      <c r="I280">
        <v>6</v>
      </c>
      <c r="J280" s="3">
        <v>12298.694417571171</v>
      </c>
      <c r="K280" s="3">
        <v>8718.6043743270493</v>
      </c>
    </row>
    <row r="281" spans="1:11" x14ac:dyDescent="0.3">
      <c r="A281" t="s">
        <v>357</v>
      </c>
      <c r="B281" s="2">
        <v>44682</v>
      </c>
      <c r="C281">
        <v>2022</v>
      </c>
      <c r="D281">
        <v>5</v>
      </c>
      <c r="E281" t="s">
        <v>62</v>
      </c>
      <c r="F281" t="s">
        <v>48</v>
      </c>
      <c r="G281" t="s">
        <v>43</v>
      </c>
      <c r="H281" s="3">
        <v>54571.483770520827</v>
      </c>
      <c r="I281">
        <v>16</v>
      </c>
      <c r="J281" s="3">
        <v>31594.556425439048</v>
      </c>
      <c r="K281" s="3">
        <v>22976.927345081789</v>
      </c>
    </row>
    <row r="282" spans="1:11" x14ac:dyDescent="0.3">
      <c r="A282" t="s">
        <v>358</v>
      </c>
      <c r="B282" s="2">
        <v>44713</v>
      </c>
      <c r="C282">
        <v>2022</v>
      </c>
      <c r="D282">
        <v>6</v>
      </c>
      <c r="E282" t="s">
        <v>50</v>
      </c>
      <c r="F282" t="s">
        <v>67</v>
      </c>
      <c r="G282" t="s">
        <v>19</v>
      </c>
      <c r="H282" s="3">
        <v>50855.811058638872</v>
      </c>
      <c r="I282">
        <v>10</v>
      </c>
      <c r="J282" s="3">
        <v>31185.732655680531</v>
      </c>
      <c r="K282" s="3">
        <v>19670.078402958341</v>
      </c>
    </row>
    <row r="283" spans="1:11" x14ac:dyDescent="0.3">
      <c r="A283" t="s">
        <v>359</v>
      </c>
      <c r="B283" s="2">
        <v>44713</v>
      </c>
      <c r="C283">
        <v>2022</v>
      </c>
      <c r="D283">
        <v>6</v>
      </c>
      <c r="E283" t="s">
        <v>50</v>
      </c>
      <c r="F283" t="s">
        <v>48</v>
      </c>
      <c r="G283" t="s">
        <v>19</v>
      </c>
      <c r="H283" s="3">
        <v>112465.09042966409</v>
      </c>
      <c r="I283">
        <v>22</v>
      </c>
      <c r="J283" s="3">
        <v>69556.015643933468</v>
      </c>
      <c r="K283" s="3">
        <v>42909.074785730583</v>
      </c>
    </row>
    <row r="284" spans="1:11" x14ac:dyDescent="0.3">
      <c r="A284" t="s">
        <v>360</v>
      </c>
      <c r="B284" s="2">
        <v>44713</v>
      </c>
      <c r="C284">
        <v>2022</v>
      </c>
      <c r="D284">
        <v>6</v>
      </c>
      <c r="E284" t="s">
        <v>54</v>
      </c>
      <c r="F284" t="s">
        <v>67</v>
      </c>
      <c r="G284" t="s">
        <v>19</v>
      </c>
      <c r="H284" s="3">
        <v>34208.726871005478</v>
      </c>
      <c r="I284">
        <v>7</v>
      </c>
      <c r="J284" s="3">
        <v>21575.066182228889</v>
      </c>
      <c r="K284" s="3">
        <v>12633.66068877659</v>
      </c>
    </row>
    <row r="285" spans="1:11" x14ac:dyDescent="0.3">
      <c r="A285" t="s">
        <v>361</v>
      </c>
      <c r="B285" s="2">
        <v>44713</v>
      </c>
      <c r="C285">
        <v>2022</v>
      </c>
      <c r="D285">
        <v>6</v>
      </c>
      <c r="E285" t="s">
        <v>54</v>
      </c>
      <c r="F285" t="s">
        <v>48</v>
      </c>
      <c r="G285" t="s">
        <v>19</v>
      </c>
      <c r="H285" s="3">
        <v>96465.082565098623</v>
      </c>
      <c r="I285">
        <v>19</v>
      </c>
      <c r="J285" s="3">
        <v>60031.846645040707</v>
      </c>
      <c r="K285" s="3">
        <v>36433.235920057923</v>
      </c>
    </row>
    <row r="286" spans="1:11" x14ac:dyDescent="0.3">
      <c r="A286" t="s">
        <v>362</v>
      </c>
      <c r="B286" s="2">
        <v>44713</v>
      </c>
      <c r="C286">
        <v>2022</v>
      </c>
      <c r="D286">
        <v>6</v>
      </c>
      <c r="E286" t="s">
        <v>58</v>
      </c>
      <c r="F286" t="s">
        <v>67</v>
      </c>
      <c r="G286" t="s">
        <v>19</v>
      </c>
      <c r="H286" s="3">
        <v>28368.806507813089</v>
      </c>
      <c r="I286">
        <v>5</v>
      </c>
      <c r="J286" s="3">
        <v>17686.069195876069</v>
      </c>
      <c r="K286" s="3">
        <v>10682.73731193702</v>
      </c>
    </row>
    <row r="287" spans="1:11" x14ac:dyDescent="0.3">
      <c r="A287" t="s">
        <v>363</v>
      </c>
      <c r="B287" s="2">
        <v>44713</v>
      </c>
      <c r="C287">
        <v>2022</v>
      </c>
      <c r="D287">
        <v>6</v>
      </c>
      <c r="E287" t="s">
        <v>58</v>
      </c>
      <c r="F287" t="s">
        <v>48</v>
      </c>
      <c r="G287" t="s">
        <v>19</v>
      </c>
      <c r="H287" s="3">
        <v>68826.267752475047</v>
      </c>
      <c r="I287">
        <v>13</v>
      </c>
      <c r="J287" s="3">
        <v>41830.816306177141</v>
      </c>
      <c r="K287" s="3">
        <v>26995.45144629791</v>
      </c>
    </row>
    <row r="288" spans="1:11" x14ac:dyDescent="0.3">
      <c r="A288" t="s">
        <v>364</v>
      </c>
      <c r="B288" s="2">
        <v>44713</v>
      </c>
      <c r="C288">
        <v>2022</v>
      </c>
      <c r="D288">
        <v>6</v>
      </c>
      <c r="E288" t="s">
        <v>62</v>
      </c>
      <c r="F288" t="s">
        <v>67</v>
      </c>
      <c r="G288" t="s">
        <v>19</v>
      </c>
      <c r="H288" s="3">
        <v>20719.071593339111</v>
      </c>
      <c r="I288">
        <v>4</v>
      </c>
      <c r="J288" s="3">
        <v>12642.172165319411</v>
      </c>
      <c r="K288" s="3">
        <v>8076.8994280196966</v>
      </c>
    </row>
    <row r="289" spans="1:11" x14ac:dyDescent="0.3">
      <c r="A289" t="s">
        <v>365</v>
      </c>
      <c r="B289" s="2">
        <v>44713</v>
      </c>
      <c r="C289">
        <v>2022</v>
      </c>
      <c r="D289">
        <v>6</v>
      </c>
      <c r="E289" t="s">
        <v>62</v>
      </c>
      <c r="F289" t="s">
        <v>48</v>
      </c>
      <c r="G289" t="s">
        <v>19</v>
      </c>
      <c r="H289" s="3">
        <v>50867.897461750232</v>
      </c>
      <c r="I289">
        <v>10</v>
      </c>
      <c r="J289" s="3">
        <v>32559.20696160158</v>
      </c>
      <c r="K289" s="3">
        <v>18308.690500148659</v>
      </c>
    </row>
    <row r="290" spans="1:11" x14ac:dyDescent="0.3">
      <c r="A290" t="s">
        <v>366</v>
      </c>
      <c r="B290" s="2">
        <v>44713</v>
      </c>
      <c r="C290">
        <v>2022</v>
      </c>
      <c r="D290">
        <v>6</v>
      </c>
      <c r="E290" t="s">
        <v>50</v>
      </c>
      <c r="F290" t="s">
        <v>67</v>
      </c>
      <c r="G290" t="s">
        <v>24</v>
      </c>
      <c r="H290" s="3">
        <v>47605.292215913971</v>
      </c>
      <c r="I290">
        <v>8</v>
      </c>
      <c r="J290" s="3">
        <v>31003.69927654674</v>
      </c>
      <c r="K290" s="3">
        <v>16601.59293936723</v>
      </c>
    </row>
    <row r="291" spans="1:11" x14ac:dyDescent="0.3">
      <c r="A291" t="s">
        <v>367</v>
      </c>
      <c r="B291" s="2">
        <v>44713</v>
      </c>
      <c r="C291">
        <v>2022</v>
      </c>
      <c r="D291">
        <v>6</v>
      </c>
      <c r="E291" t="s">
        <v>50</v>
      </c>
      <c r="F291" t="s">
        <v>48</v>
      </c>
      <c r="G291" t="s">
        <v>24</v>
      </c>
      <c r="H291" s="3">
        <v>121725.96136594861</v>
      </c>
      <c r="I291">
        <v>20</v>
      </c>
      <c r="J291" s="3">
        <v>82734.184576968284</v>
      </c>
      <c r="K291" s="3">
        <v>38991.776788980307</v>
      </c>
    </row>
    <row r="292" spans="1:11" x14ac:dyDescent="0.3">
      <c r="A292" t="s">
        <v>368</v>
      </c>
      <c r="B292" s="2">
        <v>44713</v>
      </c>
      <c r="C292">
        <v>2022</v>
      </c>
      <c r="D292">
        <v>6</v>
      </c>
      <c r="E292" t="s">
        <v>54</v>
      </c>
      <c r="F292" t="s">
        <v>67</v>
      </c>
      <c r="G292" t="s">
        <v>24</v>
      </c>
      <c r="H292" s="3">
        <v>40508.405119301293</v>
      </c>
      <c r="I292">
        <v>7</v>
      </c>
      <c r="J292" s="3">
        <v>26618.576643163819</v>
      </c>
      <c r="K292" s="3">
        <v>13889.82847613746</v>
      </c>
    </row>
    <row r="293" spans="1:11" x14ac:dyDescent="0.3">
      <c r="A293" t="s">
        <v>369</v>
      </c>
      <c r="B293" s="2">
        <v>44713</v>
      </c>
      <c r="C293">
        <v>2022</v>
      </c>
      <c r="D293">
        <v>6</v>
      </c>
      <c r="E293" t="s">
        <v>54</v>
      </c>
      <c r="F293" t="s">
        <v>48</v>
      </c>
      <c r="G293" t="s">
        <v>24</v>
      </c>
      <c r="H293" s="3">
        <v>96982.161485941178</v>
      </c>
      <c r="I293">
        <v>16</v>
      </c>
      <c r="J293" s="3">
        <v>64010.862621952532</v>
      </c>
      <c r="K293" s="3">
        <v>32971.298863988653</v>
      </c>
    </row>
    <row r="294" spans="1:11" x14ac:dyDescent="0.3">
      <c r="A294" t="s">
        <v>370</v>
      </c>
      <c r="B294" s="2">
        <v>44713</v>
      </c>
      <c r="C294">
        <v>2022</v>
      </c>
      <c r="D294">
        <v>6</v>
      </c>
      <c r="E294" t="s">
        <v>58</v>
      </c>
      <c r="F294" t="s">
        <v>67</v>
      </c>
      <c r="G294" t="s">
        <v>24</v>
      </c>
      <c r="H294" s="3">
        <v>25858.027414515891</v>
      </c>
      <c r="I294">
        <v>4</v>
      </c>
      <c r="J294" s="3">
        <v>17395.10716966289</v>
      </c>
      <c r="K294" s="3">
        <v>8462.9202448529941</v>
      </c>
    </row>
    <row r="295" spans="1:11" x14ac:dyDescent="0.3">
      <c r="A295" t="s">
        <v>371</v>
      </c>
      <c r="B295" s="2">
        <v>44713</v>
      </c>
      <c r="C295">
        <v>2022</v>
      </c>
      <c r="D295">
        <v>6</v>
      </c>
      <c r="E295" t="s">
        <v>58</v>
      </c>
      <c r="F295" t="s">
        <v>48</v>
      </c>
      <c r="G295" t="s">
        <v>24</v>
      </c>
      <c r="H295" s="3">
        <v>70765.038534827312</v>
      </c>
      <c r="I295">
        <v>12</v>
      </c>
      <c r="J295" s="3">
        <v>47774.190966043658</v>
      </c>
      <c r="K295" s="3">
        <v>22990.847568783651</v>
      </c>
    </row>
    <row r="296" spans="1:11" x14ac:dyDescent="0.3">
      <c r="A296" t="s">
        <v>372</v>
      </c>
      <c r="B296" s="2">
        <v>44713</v>
      </c>
      <c r="C296">
        <v>2022</v>
      </c>
      <c r="D296">
        <v>6</v>
      </c>
      <c r="E296" t="s">
        <v>62</v>
      </c>
      <c r="F296" t="s">
        <v>67</v>
      </c>
      <c r="G296" t="s">
        <v>24</v>
      </c>
      <c r="H296" s="3">
        <v>20612.506346187951</v>
      </c>
      <c r="I296">
        <v>3</v>
      </c>
      <c r="J296" s="3">
        <v>13577.11878821241</v>
      </c>
      <c r="K296" s="3">
        <v>7035.3875579755477</v>
      </c>
    </row>
    <row r="297" spans="1:11" x14ac:dyDescent="0.3">
      <c r="A297" t="s">
        <v>373</v>
      </c>
      <c r="B297" s="2">
        <v>44713</v>
      </c>
      <c r="C297">
        <v>2022</v>
      </c>
      <c r="D297">
        <v>6</v>
      </c>
      <c r="E297" t="s">
        <v>62</v>
      </c>
      <c r="F297" t="s">
        <v>48</v>
      </c>
      <c r="G297" t="s">
        <v>24</v>
      </c>
      <c r="H297" s="3">
        <v>51410.346600465033</v>
      </c>
      <c r="I297">
        <v>8</v>
      </c>
      <c r="J297" s="3">
        <v>33693.707402139349</v>
      </c>
      <c r="K297" s="3">
        <v>17716.63919832568</v>
      </c>
    </row>
    <row r="298" spans="1:11" x14ac:dyDescent="0.3">
      <c r="A298" t="s">
        <v>374</v>
      </c>
      <c r="B298" s="2">
        <v>44713</v>
      </c>
      <c r="C298">
        <v>2022</v>
      </c>
      <c r="D298">
        <v>6</v>
      </c>
      <c r="E298" t="s">
        <v>50</v>
      </c>
      <c r="F298" t="s">
        <v>67</v>
      </c>
      <c r="G298" t="s">
        <v>29</v>
      </c>
      <c r="H298" s="3">
        <v>32498.44661193655</v>
      </c>
      <c r="I298">
        <v>8</v>
      </c>
      <c r="J298" s="3">
        <v>20778.070216410812</v>
      </c>
      <c r="K298" s="3">
        <v>11720.37639552574</v>
      </c>
    </row>
    <row r="299" spans="1:11" x14ac:dyDescent="0.3">
      <c r="A299" t="s">
        <v>375</v>
      </c>
      <c r="B299" s="2">
        <v>44713</v>
      </c>
      <c r="C299">
        <v>2022</v>
      </c>
      <c r="D299">
        <v>6</v>
      </c>
      <c r="E299" t="s">
        <v>50</v>
      </c>
      <c r="F299" t="s">
        <v>48</v>
      </c>
      <c r="G299" t="s">
        <v>29</v>
      </c>
      <c r="H299" s="3">
        <v>82071.757701628027</v>
      </c>
      <c r="I299">
        <v>19</v>
      </c>
      <c r="J299" s="3">
        <v>52845.452500670188</v>
      </c>
      <c r="K299" s="3">
        <v>29226.305200957839</v>
      </c>
    </row>
    <row r="300" spans="1:11" x14ac:dyDescent="0.3">
      <c r="A300" t="s">
        <v>376</v>
      </c>
      <c r="B300" s="2">
        <v>44713</v>
      </c>
      <c r="C300">
        <v>2022</v>
      </c>
      <c r="D300">
        <v>6</v>
      </c>
      <c r="E300" t="s">
        <v>54</v>
      </c>
      <c r="F300" t="s">
        <v>67</v>
      </c>
      <c r="G300" t="s">
        <v>29</v>
      </c>
      <c r="H300" s="3">
        <v>26106.985678538709</v>
      </c>
      <c r="I300">
        <v>6</v>
      </c>
      <c r="J300" s="3">
        <v>16976.532624082422</v>
      </c>
      <c r="K300" s="3">
        <v>9130.4530544562913</v>
      </c>
    </row>
    <row r="301" spans="1:11" x14ac:dyDescent="0.3">
      <c r="A301" t="s">
        <v>377</v>
      </c>
      <c r="B301" s="2">
        <v>44713</v>
      </c>
      <c r="C301">
        <v>2022</v>
      </c>
      <c r="D301">
        <v>6</v>
      </c>
      <c r="E301" t="s">
        <v>54</v>
      </c>
      <c r="F301" t="s">
        <v>48</v>
      </c>
      <c r="G301" t="s">
        <v>29</v>
      </c>
      <c r="H301" s="3">
        <v>69735.0965391137</v>
      </c>
      <c r="I301">
        <v>16</v>
      </c>
      <c r="J301" s="3">
        <v>44633.859835116273</v>
      </c>
      <c r="K301" s="3">
        <v>25101.236703997431</v>
      </c>
    </row>
    <row r="302" spans="1:11" x14ac:dyDescent="0.3">
      <c r="A302" t="s">
        <v>378</v>
      </c>
      <c r="B302" s="2">
        <v>44713</v>
      </c>
      <c r="C302">
        <v>2022</v>
      </c>
      <c r="D302">
        <v>6</v>
      </c>
      <c r="E302" t="s">
        <v>58</v>
      </c>
      <c r="F302" t="s">
        <v>67</v>
      </c>
      <c r="G302" t="s">
        <v>29</v>
      </c>
      <c r="H302" s="3">
        <v>18271.9336963512</v>
      </c>
      <c r="I302">
        <v>4</v>
      </c>
      <c r="J302" s="3">
        <v>11824.308598788009</v>
      </c>
      <c r="K302" s="3">
        <v>6447.6250975631901</v>
      </c>
    </row>
    <row r="303" spans="1:11" x14ac:dyDescent="0.3">
      <c r="A303" t="s">
        <v>379</v>
      </c>
      <c r="B303" s="2">
        <v>44713</v>
      </c>
      <c r="C303">
        <v>2022</v>
      </c>
      <c r="D303">
        <v>6</v>
      </c>
      <c r="E303" t="s">
        <v>58</v>
      </c>
      <c r="F303" t="s">
        <v>48</v>
      </c>
      <c r="G303" t="s">
        <v>29</v>
      </c>
      <c r="H303" s="3">
        <v>46183.70837781435</v>
      </c>
      <c r="I303">
        <v>11</v>
      </c>
      <c r="J303" s="3">
        <v>30429.240245434328</v>
      </c>
      <c r="K303" s="3">
        <v>15754.46813238002</v>
      </c>
    </row>
    <row r="304" spans="1:11" x14ac:dyDescent="0.3">
      <c r="A304" t="s">
        <v>380</v>
      </c>
      <c r="B304" s="2">
        <v>44713</v>
      </c>
      <c r="C304">
        <v>2022</v>
      </c>
      <c r="D304">
        <v>6</v>
      </c>
      <c r="E304" t="s">
        <v>62</v>
      </c>
      <c r="F304" t="s">
        <v>67</v>
      </c>
      <c r="G304" t="s">
        <v>29</v>
      </c>
      <c r="H304" s="3">
        <v>12079.9484171883</v>
      </c>
      <c r="I304">
        <v>3</v>
      </c>
      <c r="J304" s="3">
        <v>7784.2304161515294</v>
      </c>
      <c r="K304" s="3">
        <v>4295.7180010367729</v>
      </c>
    </row>
    <row r="305" spans="1:11" x14ac:dyDescent="0.3">
      <c r="A305" t="s">
        <v>381</v>
      </c>
      <c r="B305" s="2">
        <v>44713</v>
      </c>
      <c r="C305">
        <v>2022</v>
      </c>
      <c r="D305">
        <v>6</v>
      </c>
      <c r="E305" t="s">
        <v>62</v>
      </c>
      <c r="F305" t="s">
        <v>48</v>
      </c>
      <c r="G305" t="s">
        <v>29</v>
      </c>
      <c r="H305" s="3">
        <v>34580.948931609331</v>
      </c>
      <c r="I305">
        <v>8</v>
      </c>
      <c r="J305" s="3">
        <v>22255.961253485679</v>
      </c>
      <c r="K305" s="3">
        <v>12324.987678123651</v>
      </c>
    </row>
    <row r="306" spans="1:11" x14ac:dyDescent="0.3">
      <c r="A306" t="s">
        <v>382</v>
      </c>
      <c r="B306" s="2">
        <v>44713</v>
      </c>
      <c r="C306">
        <v>2022</v>
      </c>
      <c r="D306">
        <v>6</v>
      </c>
      <c r="E306" t="s">
        <v>50</v>
      </c>
      <c r="F306" t="s">
        <v>67</v>
      </c>
      <c r="G306" t="s">
        <v>34</v>
      </c>
      <c r="H306" s="3">
        <v>30644.959134783381</v>
      </c>
      <c r="I306">
        <v>36</v>
      </c>
      <c r="J306" s="3">
        <v>14307.414648876769</v>
      </c>
      <c r="K306" s="3">
        <v>16337.54448590661</v>
      </c>
    </row>
    <row r="307" spans="1:11" x14ac:dyDescent="0.3">
      <c r="A307" t="s">
        <v>383</v>
      </c>
      <c r="B307" s="2">
        <v>44713</v>
      </c>
      <c r="C307">
        <v>2022</v>
      </c>
      <c r="D307">
        <v>6</v>
      </c>
      <c r="E307" t="s">
        <v>50</v>
      </c>
      <c r="F307" t="s">
        <v>48</v>
      </c>
      <c r="G307" t="s">
        <v>34</v>
      </c>
      <c r="H307" s="3">
        <v>77008.276766084775</v>
      </c>
      <c r="I307">
        <v>91</v>
      </c>
      <c r="J307" s="3">
        <v>35213.612575466948</v>
      </c>
      <c r="K307" s="3">
        <v>41794.664190617827</v>
      </c>
    </row>
    <row r="308" spans="1:11" x14ac:dyDescent="0.3">
      <c r="A308" t="s">
        <v>384</v>
      </c>
      <c r="B308" s="2">
        <v>44713</v>
      </c>
      <c r="C308">
        <v>2022</v>
      </c>
      <c r="D308">
        <v>6</v>
      </c>
      <c r="E308" t="s">
        <v>54</v>
      </c>
      <c r="F308" t="s">
        <v>67</v>
      </c>
      <c r="G308" t="s">
        <v>34</v>
      </c>
      <c r="H308" s="3">
        <v>26909.93163822409</v>
      </c>
      <c r="I308">
        <v>32</v>
      </c>
      <c r="J308" s="3">
        <v>13007.065246102849</v>
      </c>
      <c r="K308" s="3">
        <v>13902.86639212123</v>
      </c>
    </row>
    <row r="309" spans="1:11" x14ac:dyDescent="0.3">
      <c r="A309" t="s">
        <v>385</v>
      </c>
      <c r="B309" s="2">
        <v>44713</v>
      </c>
      <c r="C309">
        <v>2022</v>
      </c>
      <c r="D309">
        <v>6</v>
      </c>
      <c r="E309" t="s">
        <v>54</v>
      </c>
      <c r="F309" t="s">
        <v>48</v>
      </c>
      <c r="G309" t="s">
        <v>34</v>
      </c>
      <c r="H309" s="3">
        <v>64975.207747055982</v>
      </c>
      <c r="I309">
        <v>76</v>
      </c>
      <c r="J309" s="3">
        <v>31134.866742130202</v>
      </c>
      <c r="K309" s="3">
        <v>33840.34100492578</v>
      </c>
    </row>
    <row r="310" spans="1:11" x14ac:dyDescent="0.3">
      <c r="A310" t="s">
        <v>386</v>
      </c>
      <c r="B310" s="2">
        <v>44713</v>
      </c>
      <c r="C310">
        <v>2022</v>
      </c>
      <c r="D310">
        <v>6</v>
      </c>
      <c r="E310" t="s">
        <v>58</v>
      </c>
      <c r="F310" t="s">
        <v>67</v>
      </c>
      <c r="G310" t="s">
        <v>34</v>
      </c>
      <c r="H310" s="3">
        <v>16760.565199199831</v>
      </c>
      <c r="I310">
        <v>20</v>
      </c>
      <c r="J310" s="3">
        <v>7970.524955830052</v>
      </c>
      <c r="K310" s="3">
        <v>8790.0402433697745</v>
      </c>
    </row>
    <row r="311" spans="1:11" x14ac:dyDescent="0.3">
      <c r="A311" t="s">
        <v>387</v>
      </c>
      <c r="B311" s="2">
        <v>44713</v>
      </c>
      <c r="C311">
        <v>2022</v>
      </c>
      <c r="D311">
        <v>6</v>
      </c>
      <c r="E311" t="s">
        <v>58</v>
      </c>
      <c r="F311" t="s">
        <v>48</v>
      </c>
      <c r="G311" t="s">
        <v>34</v>
      </c>
      <c r="H311" s="3">
        <v>43159.638461355651</v>
      </c>
      <c r="I311">
        <v>51</v>
      </c>
      <c r="J311" s="3">
        <v>20807.438698350481</v>
      </c>
      <c r="K311" s="3">
        <v>22352.19976300517</v>
      </c>
    </row>
    <row r="312" spans="1:11" x14ac:dyDescent="0.3">
      <c r="A312" t="s">
        <v>388</v>
      </c>
      <c r="B312" s="2">
        <v>44713</v>
      </c>
      <c r="C312">
        <v>2022</v>
      </c>
      <c r="D312">
        <v>6</v>
      </c>
      <c r="E312" t="s">
        <v>62</v>
      </c>
      <c r="F312" t="s">
        <v>67</v>
      </c>
      <c r="G312" t="s">
        <v>34</v>
      </c>
      <c r="H312" s="3">
        <v>12197.9557630252</v>
      </c>
      <c r="I312">
        <v>14</v>
      </c>
      <c r="J312" s="3">
        <v>5848.6527968281071</v>
      </c>
      <c r="K312" s="3">
        <v>6349.3029661970968</v>
      </c>
    </row>
    <row r="313" spans="1:11" x14ac:dyDescent="0.3">
      <c r="A313" t="s">
        <v>389</v>
      </c>
      <c r="B313" s="2">
        <v>44713</v>
      </c>
      <c r="C313">
        <v>2022</v>
      </c>
      <c r="D313">
        <v>6</v>
      </c>
      <c r="E313" t="s">
        <v>62</v>
      </c>
      <c r="F313" t="s">
        <v>48</v>
      </c>
      <c r="G313" t="s">
        <v>34</v>
      </c>
      <c r="H313" s="3">
        <v>31409.420674042529</v>
      </c>
      <c r="I313">
        <v>37</v>
      </c>
      <c r="J313" s="3">
        <v>15382.575989665531</v>
      </c>
      <c r="K313" s="3">
        <v>16026.844684377</v>
      </c>
    </row>
    <row r="314" spans="1:11" x14ac:dyDescent="0.3">
      <c r="A314" t="s">
        <v>390</v>
      </c>
      <c r="B314" s="2">
        <v>44713</v>
      </c>
      <c r="C314">
        <v>2022</v>
      </c>
      <c r="D314">
        <v>6</v>
      </c>
      <c r="E314" t="s">
        <v>50</v>
      </c>
      <c r="F314" t="s">
        <v>67</v>
      </c>
      <c r="G314" t="s">
        <v>37</v>
      </c>
      <c r="H314" s="3">
        <v>24727.4115942114</v>
      </c>
      <c r="I314">
        <v>34</v>
      </c>
      <c r="J314" s="3">
        <v>13621.156435749799</v>
      </c>
      <c r="K314" s="3">
        <v>11106.255158461599</v>
      </c>
    </row>
    <row r="315" spans="1:11" x14ac:dyDescent="0.3">
      <c r="A315" t="s">
        <v>391</v>
      </c>
      <c r="B315" s="2">
        <v>44713</v>
      </c>
      <c r="C315">
        <v>2022</v>
      </c>
      <c r="D315">
        <v>6</v>
      </c>
      <c r="E315" t="s">
        <v>50</v>
      </c>
      <c r="F315" t="s">
        <v>48</v>
      </c>
      <c r="G315" t="s">
        <v>37</v>
      </c>
      <c r="H315" s="3">
        <v>67679.889391482109</v>
      </c>
      <c r="I315">
        <v>94</v>
      </c>
      <c r="J315" s="3">
        <v>36723.477480672191</v>
      </c>
      <c r="K315" s="3">
        <v>30956.411910809918</v>
      </c>
    </row>
    <row r="316" spans="1:11" x14ac:dyDescent="0.3">
      <c r="A316" t="s">
        <v>392</v>
      </c>
      <c r="B316" s="2">
        <v>44713</v>
      </c>
      <c r="C316">
        <v>2022</v>
      </c>
      <c r="D316">
        <v>6</v>
      </c>
      <c r="E316" t="s">
        <v>54</v>
      </c>
      <c r="F316" t="s">
        <v>67</v>
      </c>
      <c r="G316" t="s">
        <v>37</v>
      </c>
      <c r="H316" s="3">
        <v>22707.903705308399</v>
      </c>
      <c r="I316">
        <v>32</v>
      </c>
      <c r="J316" s="3">
        <v>12711.944574024321</v>
      </c>
      <c r="K316" s="3">
        <v>9995.9591312840839</v>
      </c>
    </row>
    <row r="317" spans="1:11" x14ac:dyDescent="0.3">
      <c r="A317" t="s">
        <v>393</v>
      </c>
      <c r="B317" s="2">
        <v>44713</v>
      </c>
      <c r="C317">
        <v>2022</v>
      </c>
      <c r="D317">
        <v>6</v>
      </c>
      <c r="E317" t="s">
        <v>54</v>
      </c>
      <c r="F317" t="s">
        <v>48</v>
      </c>
      <c r="G317" t="s">
        <v>37</v>
      </c>
      <c r="H317" s="3">
        <v>52237.878290586777</v>
      </c>
      <c r="I317">
        <v>73</v>
      </c>
      <c r="J317" s="3">
        <v>28618.542639827901</v>
      </c>
      <c r="K317" s="3">
        <v>23619.33565075888</v>
      </c>
    </row>
    <row r="318" spans="1:11" x14ac:dyDescent="0.3">
      <c r="A318" t="s">
        <v>394</v>
      </c>
      <c r="B318" s="2">
        <v>44713</v>
      </c>
      <c r="C318">
        <v>2022</v>
      </c>
      <c r="D318">
        <v>6</v>
      </c>
      <c r="E318" t="s">
        <v>58</v>
      </c>
      <c r="F318" t="s">
        <v>67</v>
      </c>
      <c r="G318" t="s">
        <v>37</v>
      </c>
      <c r="H318" s="3">
        <v>14464.536927152811</v>
      </c>
      <c r="I318">
        <v>20</v>
      </c>
      <c r="J318" s="3">
        <v>8030.8947920483861</v>
      </c>
      <c r="K318" s="3">
        <v>6433.6421351044264</v>
      </c>
    </row>
    <row r="319" spans="1:11" x14ac:dyDescent="0.3">
      <c r="A319" t="s">
        <v>395</v>
      </c>
      <c r="B319" s="2">
        <v>44713</v>
      </c>
      <c r="C319">
        <v>2022</v>
      </c>
      <c r="D319">
        <v>6</v>
      </c>
      <c r="E319" t="s">
        <v>58</v>
      </c>
      <c r="F319" t="s">
        <v>48</v>
      </c>
      <c r="G319" t="s">
        <v>37</v>
      </c>
      <c r="H319" s="3">
        <v>36106.226991519958</v>
      </c>
      <c r="I319">
        <v>50</v>
      </c>
      <c r="J319" s="3">
        <v>19687.77360200879</v>
      </c>
      <c r="K319" s="3">
        <v>16418.453389511171</v>
      </c>
    </row>
    <row r="320" spans="1:11" x14ac:dyDescent="0.3">
      <c r="A320" t="s">
        <v>396</v>
      </c>
      <c r="B320" s="2">
        <v>44713</v>
      </c>
      <c r="C320">
        <v>2022</v>
      </c>
      <c r="D320">
        <v>6</v>
      </c>
      <c r="E320" t="s">
        <v>62</v>
      </c>
      <c r="F320" t="s">
        <v>67</v>
      </c>
      <c r="G320" t="s">
        <v>37</v>
      </c>
      <c r="H320" s="3">
        <v>10683.27409323656</v>
      </c>
      <c r="I320">
        <v>15</v>
      </c>
      <c r="J320" s="3">
        <v>5807.0721918439658</v>
      </c>
      <c r="K320" s="3">
        <v>4876.2019013925919</v>
      </c>
    </row>
    <row r="321" spans="1:11" x14ac:dyDescent="0.3">
      <c r="A321" t="s">
        <v>397</v>
      </c>
      <c r="B321" s="2">
        <v>44713</v>
      </c>
      <c r="C321">
        <v>2022</v>
      </c>
      <c r="D321">
        <v>6</v>
      </c>
      <c r="E321" t="s">
        <v>62</v>
      </c>
      <c r="F321" t="s">
        <v>48</v>
      </c>
      <c r="G321" t="s">
        <v>37</v>
      </c>
      <c r="H321" s="3">
        <v>28309.382603315778</v>
      </c>
      <c r="I321">
        <v>39</v>
      </c>
      <c r="J321" s="3">
        <v>15593.74966307425</v>
      </c>
      <c r="K321" s="3">
        <v>12715.63294024153</v>
      </c>
    </row>
    <row r="322" spans="1:11" x14ac:dyDescent="0.3">
      <c r="A322" t="s">
        <v>398</v>
      </c>
      <c r="B322" s="2">
        <v>44713</v>
      </c>
      <c r="C322">
        <v>2022</v>
      </c>
      <c r="D322">
        <v>6</v>
      </c>
      <c r="E322" t="s">
        <v>50</v>
      </c>
      <c r="F322" t="s">
        <v>67</v>
      </c>
      <c r="G322" t="s">
        <v>40</v>
      </c>
      <c r="H322" s="3">
        <v>23456.248354376119</v>
      </c>
      <c r="I322">
        <v>4</v>
      </c>
      <c r="J322" s="3">
        <v>16188.54868968423</v>
      </c>
      <c r="K322" s="3">
        <v>7267.6996646918869</v>
      </c>
    </row>
    <row r="323" spans="1:11" x14ac:dyDescent="0.3">
      <c r="A323" t="s">
        <v>399</v>
      </c>
      <c r="B323" s="2">
        <v>44713</v>
      </c>
      <c r="C323">
        <v>2022</v>
      </c>
      <c r="D323">
        <v>6</v>
      </c>
      <c r="E323" t="s">
        <v>50</v>
      </c>
      <c r="F323" t="s">
        <v>48</v>
      </c>
      <c r="G323" t="s">
        <v>40</v>
      </c>
      <c r="H323" s="3">
        <v>59879.997943072187</v>
      </c>
      <c r="I323">
        <v>11</v>
      </c>
      <c r="J323" s="3">
        <v>41674.050541003497</v>
      </c>
      <c r="K323" s="3">
        <v>18205.94740206869</v>
      </c>
    </row>
    <row r="324" spans="1:11" x14ac:dyDescent="0.3">
      <c r="A324" t="s">
        <v>400</v>
      </c>
      <c r="B324" s="2">
        <v>44713</v>
      </c>
      <c r="C324">
        <v>2022</v>
      </c>
      <c r="D324">
        <v>6</v>
      </c>
      <c r="E324" t="s">
        <v>54</v>
      </c>
      <c r="F324" t="s">
        <v>67</v>
      </c>
      <c r="G324" t="s">
        <v>40</v>
      </c>
      <c r="H324" s="3">
        <v>18304.34146322892</v>
      </c>
      <c r="I324">
        <v>3</v>
      </c>
      <c r="J324" s="3">
        <v>12568.9217053007</v>
      </c>
      <c r="K324" s="3">
        <v>5735.4197579282154</v>
      </c>
    </row>
    <row r="325" spans="1:11" x14ac:dyDescent="0.3">
      <c r="A325" t="s">
        <v>401</v>
      </c>
      <c r="B325" s="2">
        <v>44713</v>
      </c>
      <c r="C325">
        <v>2022</v>
      </c>
      <c r="D325">
        <v>6</v>
      </c>
      <c r="E325" t="s">
        <v>54</v>
      </c>
      <c r="F325" t="s">
        <v>48</v>
      </c>
      <c r="G325" t="s">
        <v>40</v>
      </c>
      <c r="H325" s="3">
        <v>46982.581948143466</v>
      </c>
      <c r="I325">
        <v>9</v>
      </c>
      <c r="J325" s="3">
        <v>31346.422147800331</v>
      </c>
      <c r="K325" s="3">
        <v>15636.15980034315</v>
      </c>
    </row>
    <row r="326" spans="1:11" x14ac:dyDescent="0.3">
      <c r="A326" t="s">
        <v>402</v>
      </c>
      <c r="B326" s="2">
        <v>44713</v>
      </c>
      <c r="C326">
        <v>2022</v>
      </c>
      <c r="D326">
        <v>6</v>
      </c>
      <c r="E326" t="s">
        <v>58</v>
      </c>
      <c r="F326" t="s">
        <v>67</v>
      </c>
      <c r="G326" t="s">
        <v>40</v>
      </c>
      <c r="H326" s="3">
        <v>14208.444793190371</v>
      </c>
      <c r="I326">
        <v>3</v>
      </c>
      <c r="J326" s="3">
        <v>9727.4557828967318</v>
      </c>
      <c r="K326" s="3">
        <v>4480.9890102936351</v>
      </c>
    </row>
    <row r="327" spans="1:11" x14ac:dyDescent="0.3">
      <c r="A327" t="s">
        <v>403</v>
      </c>
      <c r="B327" s="2">
        <v>44713</v>
      </c>
      <c r="C327">
        <v>2022</v>
      </c>
      <c r="D327">
        <v>6</v>
      </c>
      <c r="E327" t="s">
        <v>58</v>
      </c>
      <c r="F327" t="s">
        <v>48</v>
      </c>
      <c r="G327" t="s">
        <v>40</v>
      </c>
      <c r="H327" s="3">
        <v>32875.688119714468</v>
      </c>
      <c r="I327">
        <v>6</v>
      </c>
      <c r="J327" s="3">
        <v>23008.353620703649</v>
      </c>
      <c r="K327" s="3">
        <v>9867.3344990108199</v>
      </c>
    </row>
    <row r="328" spans="1:11" x14ac:dyDescent="0.3">
      <c r="A328" t="s">
        <v>404</v>
      </c>
      <c r="B328" s="2">
        <v>44713</v>
      </c>
      <c r="C328">
        <v>2022</v>
      </c>
      <c r="D328">
        <v>6</v>
      </c>
      <c r="E328" t="s">
        <v>62</v>
      </c>
      <c r="F328" t="s">
        <v>67</v>
      </c>
      <c r="G328" t="s">
        <v>40</v>
      </c>
      <c r="H328" s="3">
        <v>11203.196179466901</v>
      </c>
      <c r="I328">
        <v>2</v>
      </c>
      <c r="J328" s="3">
        <v>7688.8273569010289</v>
      </c>
      <c r="K328" s="3">
        <v>3514.3688225658661</v>
      </c>
    </row>
    <row r="329" spans="1:11" x14ac:dyDescent="0.3">
      <c r="A329" t="s">
        <v>405</v>
      </c>
      <c r="B329" s="2">
        <v>44713</v>
      </c>
      <c r="C329">
        <v>2022</v>
      </c>
      <c r="D329">
        <v>6</v>
      </c>
      <c r="E329" t="s">
        <v>62</v>
      </c>
      <c r="F329" t="s">
        <v>48</v>
      </c>
      <c r="G329" t="s">
        <v>40</v>
      </c>
      <c r="H329" s="3">
        <v>24670.250397551608</v>
      </c>
      <c r="I329">
        <v>5</v>
      </c>
      <c r="J329" s="3">
        <v>16946.979788606379</v>
      </c>
      <c r="K329" s="3">
        <v>7723.2706089452258</v>
      </c>
    </row>
    <row r="330" spans="1:11" x14ac:dyDescent="0.3">
      <c r="A330" t="s">
        <v>406</v>
      </c>
      <c r="B330" s="2">
        <v>44713</v>
      </c>
      <c r="C330">
        <v>2022</v>
      </c>
      <c r="D330">
        <v>6</v>
      </c>
      <c r="E330" t="s">
        <v>50</v>
      </c>
      <c r="F330" t="s">
        <v>67</v>
      </c>
      <c r="G330" t="s">
        <v>43</v>
      </c>
      <c r="H330" s="3">
        <v>49978.019713690694</v>
      </c>
      <c r="I330">
        <v>14</v>
      </c>
      <c r="J330" s="3">
        <v>30010.56730521391</v>
      </c>
      <c r="K330" s="3">
        <v>19967.45240847678</v>
      </c>
    </row>
    <row r="331" spans="1:11" x14ac:dyDescent="0.3">
      <c r="A331" t="s">
        <v>407</v>
      </c>
      <c r="B331" s="2">
        <v>44713</v>
      </c>
      <c r="C331">
        <v>2022</v>
      </c>
      <c r="D331">
        <v>6</v>
      </c>
      <c r="E331" t="s">
        <v>50</v>
      </c>
      <c r="F331" t="s">
        <v>48</v>
      </c>
      <c r="G331" t="s">
        <v>43</v>
      </c>
      <c r="H331" s="3">
        <v>126778.8210293226</v>
      </c>
      <c r="I331">
        <v>36</v>
      </c>
      <c r="J331" s="3">
        <v>73840.910005396116</v>
      </c>
      <c r="K331" s="3">
        <v>52937.911023926441</v>
      </c>
    </row>
    <row r="332" spans="1:11" x14ac:dyDescent="0.3">
      <c r="A332" t="s">
        <v>408</v>
      </c>
      <c r="B332" s="2">
        <v>44713</v>
      </c>
      <c r="C332">
        <v>2022</v>
      </c>
      <c r="D332">
        <v>6</v>
      </c>
      <c r="E332" t="s">
        <v>54</v>
      </c>
      <c r="F332" t="s">
        <v>67</v>
      </c>
      <c r="G332" t="s">
        <v>43</v>
      </c>
      <c r="H332" s="3">
        <v>39848.811443397703</v>
      </c>
      <c r="I332">
        <v>11</v>
      </c>
      <c r="J332" s="3">
        <v>22857.893104010778</v>
      </c>
      <c r="K332" s="3">
        <v>16990.91833938691</v>
      </c>
    </row>
    <row r="333" spans="1:11" x14ac:dyDescent="0.3">
      <c r="A333" t="s">
        <v>409</v>
      </c>
      <c r="B333" s="2">
        <v>44713</v>
      </c>
      <c r="C333">
        <v>2022</v>
      </c>
      <c r="D333">
        <v>6</v>
      </c>
      <c r="E333" t="s">
        <v>54</v>
      </c>
      <c r="F333" t="s">
        <v>48</v>
      </c>
      <c r="G333" t="s">
        <v>43</v>
      </c>
      <c r="H333" s="3">
        <v>108909.8753994563</v>
      </c>
      <c r="I333">
        <v>31</v>
      </c>
      <c r="J333" s="3">
        <v>64071.036858119347</v>
      </c>
      <c r="K333" s="3">
        <v>44838.838541336991</v>
      </c>
    </row>
    <row r="334" spans="1:11" x14ac:dyDescent="0.3">
      <c r="A334" t="s">
        <v>410</v>
      </c>
      <c r="B334" s="2">
        <v>44713</v>
      </c>
      <c r="C334">
        <v>2022</v>
      </c>
      <c r="D334">
        <v>6</v>
      </c>
      <c r="E334" t="s">
        <v>58</v>
      </c>
      <c r="F334" t="s">
        <v>67</v>
      </c>
      <c r="G334" t="s">
        <v>43</v>
      </c>
      <c r="H334" s="3">
        <v>25065.195993052439</v>
      </c>
      <c r="I334">
        <v>7</v>
      </c>
      <c r="J334" s="3">
        <v>14659.582218783809</v>
      </c>
      <c r="K334" s="3">
        <v>10405.613774268621</v>
      </c>
    </row>
    <row r="335" spans="1:11" x14ac:dyDescent="0.3">
      <c r="A335" t="s">
        <v>411</v>
      </c>
      <c r="B335" s="2">
        <v>44713</v>
      </c>
      <c r="C335">
        <v>2022</v>
      </c>
      <c r="D335">
        <v>6</v>
      </c>
      <c r="E335" t="s">
        <v>58</v>
      </c>
      <c r="F335" t="s">
        <v>48</v>
      </c>
      <c r="G335" t="s">
        <v>43</v>
      </c>
      <c r="H335" s="3">
        <v>67423.192916123779</v>
      </c>
      <c r="I335">
        <v>19</v>
      </c>
      <c r="J335" s="3">
        <v>39087.818304847693</v>
      </c>
      <c r="K335" s="3">
        <v>28335.374611276089</v>
      </c>
    </row>
    <row r="336" spans="1:11" x14ac:dyDescent="0.3">
      <c r="A336" t="s">
        <v>412</v>
      </c>
      <c r="B336" s="2">
        <v>44713</v>
      </c>
      <c r="C336">
        <v>2022</v>
      </c>
      <c r="D336">
        <v>6</v>
      </c>
      <c r="E336" t="s">
        <v>62</v>
      </c>
      <c r="F336" t="s">
        <v>67</v>
      </c>
      <c r="G336" t="s">
        <v>43</v>
      </c>
      <c r="H336" s="3">
        <v>18001.446800866699</v>
      </c>
      <c r="I336">
        <v>5</v>
      </c>
      <c r="J336" s="3">
        <v>10587.32557218737</v>
      </c>
      <c r="K336" s="3">
        <v>7414.1212286793343</v>
      </c>
    </row>
    <row r="337" spans="1:11" x14ac:dyDescent="0.3">
      <c r="A337" t="s">
        <v>413</v>
      </c>
      <c r="B337" s="2">
        <v>44713</v>
      </c>
      <c r="C337">
        <v>2022</v>
      </c>
      <c r="D337">
        <v>6</v>
      </c>
      <c r="E337" t="s">
        <v>62</v>
      </c>
      <c r="F337" t="s">
        <v>48</v>
      </c>
      <c r="G337" t="s">
        <v>43</v>
      </c>
      <c r="H337" s="3">
        <v>48152.695663236897</v>
      </c>
      <c r="I337">
        <v>14</v>
      </c>
      <c r="J337" s="3">
        <v>28661.4373993423</v>
      </c>
      <c r="K337" s="3">
        <v>19491.258263894601</v>
      </c>
    </row>
    <row r="338" spans="1:11" x14ac:dyDescent="0.3">
      <c r="A338" t="s">
        <v>414</v>
      </c>
      <c r="B338" s="2">
        <v>44743</v>
      </c>
      <c r="C338">
        <v>2022</v>
      </c>
      <c r="D338">
        <v>7</v>
      </c>
      <c r="E338" t="s">
        <v>50</v>
      </c>
      <c r="F338" t="s">
        <v>67</v>
      </c>
      <c r="G338" t="s">
        <v>19</v>
      </c>
      <c r="H338" s="3">
        <v>51333.24513426968</v>
      </c>
      <c r="I338">
        <v>10</v>
      </c>
      <c r="J338" s="3">
        <v>31821.290761238979</v>
      </c>
      <c r="K338" s="3">
        <v>19511.954373030701</v>
      </c>
    </row>
    <row r="339" spans="1:11" x14ac:dyDescent="0.3">
      <c r="A339" t="s">
        <v>415</v>
      </c>
      <c r="B339" s="2">
        <v>44743</v>
      </c>
      <c r="C339">
        <v>2022</v>
      </c>
      <c r="D339">
        <v>7</v>
      </c>
      <c r="E339" t="s">
        <v>50</v>
      </c>
      <c r="F339" t="s">
        <v>48</v>
      </c>
      <c r="G339" t="s">
        <v>19</v>
      </c>
      <c r="H339" s="3">
        <v>115256.02673748</v>
      </c>
      <c r="I339">
        <v>22</v>
      </c>
      <c r="J339" s="3">
        <v>71853.593210168736</v>
      </c>
      <c r="K339" s="3">
        <v>43402.433527311303</v>
      </c>
    </row>
    <row r="340" spans="1:11" x14ac:dyDescent="0.3">
      <c r="A340" t="s">
        <v>416</v>
      </c>
      <c r="B340" s="2">
        <v>44743</v>
      </c>
      <c r="C340">
        <v>2022</v>
      </c>
      <c r="D340">
        <v>7</v>
      </c>
      <c r="E340" t="s">
        <v>54</v>
      </c>
      <c r="F340" t="s">
        <v>67</v>
      </c>
      <c r="G340" t="s">
        <v>19</v>
      </c>
      <c r="H340" s="3">
        <v>37180.424160545153</v>
      </c>
      <c r="I340">
        <v>7</v>
      </c>
      <c r="J340" s="3">
        <v>23804.3066437979</v>
      </c>
      <c r="K340" s="3">
        <v>13376.11751674725</v>
      </c>
    </row>
    <row r="341" spans="1:11" x14ac:dyDescent="0.3">
      <c r="A341" t="s">
        <v>417</v>
      </c>
      <c r="B341" s="2">
        <v>44743</v>
      </c>
      <c r="C341">
        <v>2022</v>
      </c>
      <c r="D341">
        <v>7</v>
      </c>
      <c r="E341" t="s">
        <v>54</v>
      </c>
      <c r="F341" t="s">
        <v>48</v>
      </c>
      <c r="G341" t="s">
        <v>19</v>
      </c>
      <c r="H341" s="3">
        <v>99841.544702646555</v>
      </c>
      <c r="I341">
        <v>19</v>
      </c>
      <c r="J341" s="3">
        <v>61519.711239789751</v>
      </c>
      <c r="K341" s="3">
        <v>38321.833462856797</v>
      </c>
    </row>
    <row r="342" spans="1:11" x14ac:dyDescent="0.3">
      <c r="A342" t="s">
        <v>418</v>
      </c>
      <c r="B342" s="2">
        <v>44743</v>
      </c>
      <c r="C342">
        <v>2022</v>
      </c>
      <c r="D342">
        <v>7</v>
      </c>
      <c r="E342" t="s">
        <v>58</v>
      </c>
      <c r="F342" t="s">
        <v>67</v>
      </c>
      <c r="G342" t="s">
        <v>19</v>
      </c>
      <c r="H342" s="3">
        <v>25455.976775102939</v>
      </c>
      <c r="I342">
        <v>5</v>
      </c>
      <c r="J342" s="3">
        <v>15861.78130255231</v>
      </c>
      <c r="K342" s="3">
        <v>9594.195472550633</v>
      </c>
    </row>
    <row r="343" spans="1:11" x14ac:dyDescent="0.3">
      <c r="A343" t="s">
        <v>419</v>
      </c>
      <c r="B343" s="2">
        <v>44743</v>
      </c>
      <c r="C343">
        <v>2022</v>
      </c>
      <c r="D343">
        <v>7</v>
      </c>
      <c r="E343" t="s">
        <v>58</v>
      </c>
      <c r="F343" t="s">
        <v>48</v>
      </c>
      <c r="G343" t="s">
        <v>19</v>
      </c>
      <c r="H343" s="3">
        <v>63123.897161042238</v>
      </c>
      <c r="I343">
        <v>12</v>
      </c>
      <c r="J343" s="3">
        <v>38778.094423465693</v>
      </c>
      <c r="K343" s="3">
        <v>24345.802737576549</v>
      </c>
    </row>
    <row r="344" spans="1:11" x14ac:dyDescent="0.3">
      <c r="A344" t="s">
        <v>420</v>
      </c>
      <c r="B344" s="2">
        <v>44743</v>
      </c>
      <c r="C344">
        <v>2022</v>
      </c>
      <c r="D344">
        <v>7</v>
      </c>
      <c r="E344" t="s">
        <v>62</v>
      </c>
      <c r="F344" t="s">
        <v>67</v>
      </c>
      <c r="G344" t="s">
        <v>19</v>
      </c>
      <c r="H344" s="3">
        <v>20115.49956390744</v>
      </c>
      <c r="I344">
        <v>4</v>
      </c>
      <c r="J344" s="3">
        <v>12281.611303511159</v>
      </c>
      <c r="K344" s="3">
        <v>7833.8882603962847</v>
      </c>
    </row>
    <row r="345" spans="1:11" x14ac:dyDescent="0.3">
      <c r="A345" t="s">
        <v>421</v>
      </c>
      <c r="B345" s="2">
        <v>44743</v>
      </c>
      <c r="C345">
        <v>2022</v>
      </c>
      <c r="D345">
        <v>7</v>
      </c>
      <c r="E345" t="s">
        <v>62</v>
      </c>
      <c r="F345" t="s">
        <v>48</v>
      </c>
      <c r="G345" t="s">
        <v>19</v>
      </c>
      <c r="H345" s="3">
        <v>45306.741541754738</v>
      </c>
      <c r="I345">
        <v>9</v>
      </c>
      <c r="J345" s="3">
        <v>27794.436855636141</v>
      </c>
      <c r="K345" s="3">
        <v>17512.304686118601</v>
      </c>
    </row>
    <row r="346" spans="1:11" x14ac:dyDescent="0.3">
      <c r="A346" t="s">
        <v>422</v>
      </c>
      <c r="B346" s="2">
        <v>44743</v>
      </c>
      <c r="C346">
        <v>2022</v>
      </c>
      <c r="D346">
        <v>7</v>
      </c>
      <c r="E346" t="s">
        <v>50</v>
      </c>
      <c r="F346" t="s">
        <v>67</v>
      </c>
      <c r="G346" t="s">
        <v>24</v>
      </c>
      <c r="H346" s="3">
        <v>44577.470074607889</v>
      </c>
      <c r="I346">
        <v>7</v>
      </c>
      <c r="J346" s="3">
        <v>29167.589120008961</v>
      </c>
      <c r="K346" s="3">
        <v>15409.88095459893</v>
      </c>
    </row>
    <row r="347" spans="1:11" x14ac:dyDescent="0.3">
      <c r="A347" t="s">
        <v>423</v>
      </c>
      <c r="B347" s="2">
        <v>44743</v>
      </c>
      <c r="C347">
        <v>2022</v>
      </c>
      <c r="D347">
        <v>7</v>
      </c>
      <c r="E347" t="s">
        <v>50</v>
      </c>
      <c r="F347" t="s">
        <v>48</v>
      </c>
      <c r="G347" t="s">
        <v>24</v>
      </c>
      <c r="H347" s="3">
        <v>130715.2839185514</v>
      </c>
      <c r="I347">
        <v>21</v>
      </c>
      <c r="J347" s="3">
        <v>86830.316479789952</v>
      </c>
      <c r="K347" s="3">
        <v>43884.967438761407</v>
      </c>
    </row>
    <row r="348" spans="1:11" x14ac:dyDescent="0.3">
      <c r="A348" t="s">
        <v>424</v>
      </c>
      <c r="B348" s="2">
        <v>44743</v>
      </c>
      <c r="C348">
        <v>2022</v>
      </c>
      <c r="D348">
        <v>7</v>
      </c>
      <c r="E348" t="s">
        <v>54</v>
      </c>
      <c r="F348" t="s">
        <v>67</v>
      </c>
      <c r="G348" t="s">
        <v>24</v>
      </c>
      <c r="H348" s="3">
        <v>41844.830533776803</v>
      </c>
      <c r="I348">
        <v>7</v>
      </c>
      <c r="J348" s="3">
        <v>28785.352689373929</v>
      </c>
      <c r="K348" s="3">
        <v>13059.477844402871</v>
      </c>
    </row>
    <row r="349" spans="1:11" x14ac:dyDescent="0.3">
      <c r="A349" t="s">
        <v>425</v>
      </c>
      <c r="B349" s="2">
        <v>44743</v>
      </c>
      <c r="C349">
        <v>2022</v>
      </c>
      <c r="D349">
        <v>7</v>
      </c>
      <c r="E349" t="s">
        <v>54</v>
      </c>
      <c r="F349" t="s">
        <v>48</v>
      </c>
      <c r="G349" t="s">
        <v>24</v>
      </c>
      <c r="H349" s="3">
        <v>108523.6633738034</v>
      </c>
      <c r="I349">
        <v>18</v>
      </c>
      <c r="J349" s="3">
        <v>70702.450863457896</v>
      </c>
      <c r="K349" s="3">
        <v>37821.212510345489</v>
      </c>
    </row>
    <row r="350" spans="1:11" x14ac:dyDescent="0.3">
      <c r="A350" t="s">
        <v>426</v>
      </c>
      <c r="B350" s="2">
        <v>44743</v>
      </c>
      <c r="C350">
        <v>2022</v>
      </c>
      <c r="D350">
        <v>7</v>
      </c>
      <c r="E350" t="s">
        <v>58</v>
      </c>
      <c r="F350" t="s">
        <v>67</v>
      </c>
      <c r="G350" t="s">
        <v>24</v>
      </c>
      <c r="H350" s="3">
        <v>26453.493687001839</v>
      </c>
      <c r="I350">
        <v>4</v>
      </c>
      <c r="J350" s="3">
        <v>17328.374038104921</v>
      </c>
      <c r="K350" s="3">
        <v>9125.1196488969217</v>
      </c>
    </row>
    <row r="351" spans="1:11" x14ac:dyDescent="0.3">
      <c r="A351" t="s">
        <v>427</v>
      </c>
      <c r="B351" s="2">
        <v>44743</v>
      </c>
      <c r="C351">
        <v>2022</v>
      </c>
      <c r="D351">
        <v>7</v>
      </c>
      <c r="E351" t="s">
        <v>58</v>
      </c>
      <c r="F351" t="s">
        <v>48</v>
      </c>
      <c r="G351" t="s">
        <v>24</v>
      </c>
      <c r="H351" s="3">
        <v>76846.73805102105</v>
      </c>
      <c r="I351">
        <v>13</v>
      </c>
      <c r="J351" s="3">
        <v>50661.219637549693</v>
      </c>
      <c r="K351" s="3">
        <v>26185.51841347136</v>
      </c>
    </row>
    <row r="352" spans="1:11" x14ac:dyDescent="0.3">
      <c r="A352" t="s">
        <v>428</v>
      </c>
      <c r="B352" s="2">
        <v>44743</v>
      </c>
      <c r="C352">
        <v>2022</v>
      </c>
      <c r="D352">
        <v>7</v>
      </c>
      <c r="E352" t="s">
        <v>62</v>
      </c>
      <c r="F352" t="s">
        <v>67</v>
      </c>
      <c r="G352" t="s">
        <v>24</v>
      </c>
      <c r="H352" s="3">
        <v>20361.789730303171</v>
      </c>
      <c r="I352">
        <v>3</v>
      </c>
      <c r="J352" s="3">
        <v>13534.52419644323</v>
      </c>
      <c r="K352" s="3">
        <v>6827.2655338599434</v>
      </c>
    </row>
    <row r="353" spans="1:11" x14ac:dyDescent="0.3">
      <c r="A353" t="s">
        <v>429</v>
      </c>
      <c r="B353" s="2">
        <v>44743</v>
      </c>
      <c r="C353">
        <v>2022</v>
      </c>
      <c r="D353">
        <v>7</v>
      </c>
      <c r="E353" t="s">
        <v>62</v>
      </c>
      <c r="F353" t="s">
        <v>48</v>
      </c>
      <c r="G353" t="s">
        <v>24</v>
      </c>
      <c r="H353" s="3">
        <v>52338.465468581453</v>
      </c>
      <c r="I353">
        <v>9</v>
      </c>
      <c r="J353" s="3">
        <v>34707.258088703813</v>
      </c>
      <c r="K353" s="3">
        <v>17631.20737987764</v>
      </c>
    </row>
    <row r="354" spans="1:11" x14ac:dyDescent="0.3">
      <c r="A354" t="s">
        <v>430</v>
      </c>
      <c r="B354" s="2">
        <v>44743</v>
      </c>
      <c r="C354">
        <v>2022</v>
      </c>
      <c r="D354">
        <v>7</v>
      </c>
      <c r="E354" t="s">
        <v>50</v>
      </c>
      <c r="F354" t="s">
        <v>67</v>
      </c>
      <c r="G354" t="s">
        <v>29</v>
      </c>
      <c r="H354" s="3">
        <v>33771.541813136188</v>
      </c>
      <c r="I354">
        <v>8</v>
      </c>
      <c r="J354" s="3">
        <v>22113.361868473108</v>
      </c>
      <c r="K354" s="3">
        <v>11658.179944663079</v>
      </c>
    </row>
    <row r="355" spans="1:11" x14ac:dyDescent="0.3">
      <c r="A355" t="s">
        <v>431</v>
      </c>
      <c r="B355" s="2">
        <v>44743</v>
      </c>
      <c r="C355">
        <v>2022</v>
      </c>
      <c r="D355">
        <v>7</v>
      </c>
      <c r="E355" t="s">
        <v>50</v>
      </c>
      <c r="F355" t="s">
        <v>48</v>
      </c>
      <c r="G355" t="s">
        <v>29</v>
      </c>
      <c r="H355" s="3">
        <v>82946.578587600568</v>
      </c>
      <c r="I355">
        <v>19</v>
      </c>
      <c r="J355" s="3">
        <v>50767.284491178842</v>
      </c>
      <c r="K355" s="3">
        <v>32179.294096421731</v>
      </c>
    </row>
    <row r="356" spans="1:11" x14ac:dyDescent="0.3">
      <c r="A356" t="s">
        <v>432</v>
      </c>
      <c r="B356" s="2">
        <v>44743</v>
      </c>
      <c r="C356">
        <v>2022</v>
      </c>
      <c r="D356">
        <v>7</v>
      </c>
      <c r="E356" t="s">
        <v>54</v>
      </c>
      <c r="F356" t="s">
        <v>67</v>
      </c>
      <c r="G356" t="s">
        <v>29</v>
      </c>
      <c r="H356" s="3">
        <v>25551.888780263929</v>
      </c>
      <c r="I356">
        <v>6</v>
      </c>
      <c r="J356" s="3">
        <v>15650.59749248793</v>
      </c>
      <c r="K356" s="3">
        <v>9901.2912877759973</v>
      </c>
    </row>
    <row r="357" spans="1:11" x14ac:dyDescent="0.3">
      <c r="A357" t="s">
        <v>433</v>
      </c>
      <c r="B357" s="2">
        <v>44743</v>
      </c>
      <c r="C357">
        <v>2022</v>
      </c>
      <c r="D357">
        <v>7</v>
      </c>
      <c r="E357" t="s">
        <v>54</v>
      </c>
      <c r="F357" t="s">
        <v>48</v>
      </c>
      <c r="G357" t="s">
        <v>29</v>
      </c>
      <c r="H357" s="3">
        <v>66406.265145650847</v>
      </c>
      <c r="I357">
        <v>15</v>
      </c>
      <c r="J357" s="3">
        <v>42120.662805108987</v>
      </c>
      <c r="K357" s="3">
        <v>24285.602340541849</v>
      </c>
    </row>
    <row r="358" spans="1:11" x14ac:dyDescent="0.3">
      <c r="A358" t="s">
        <v>434</v>
      </c>
      <c r="B358" s="2">
        <v>44743</v>
      </c>
      <c r="C358">
        <v>2022</v>
      </c>
      <c r="D358">
        <v>7</v>
      </c>
      <c r="E358" t="s">
        <v>58</v>
      </c>
      <c r="F358" t="s">
        <v>67</v>
      </c>
      <c r="G358" t="s">
        <v>29</v>
      </c>
      <c r="H358" s="3">
        <v>19034.915479203471</v>
      </c>
      <c r="I358">
        <v>4</v>
      </c>
      <c r="J358" s="3">
        <v>12422.964334756631</v>
      </c>
      <c r="K358" s="3">
        <v>6611.9511444468462</v>
      </c>
    </row>
    <row r="359" spans="1:11" x14ac:dyDescent="0.3">
      <c r="A359" t="s">
        <v>435</v>
      </c>
      <c r="B359" s="2">
        <v>44743</v>
      </c>
      <c r="C359">
        <v>2022</v>
      </c>
      <c r="D359">
        <v>7</v>
      </c>
      <c r="E359" t="s">
        <v>58</v>
      </c>
      <c r="F359" t="s">
        <v>48</v>
      </c>
      <c r="G359" t="s">
        <v>29</v>
      </c>
      <c r="H359" s="3">
        <v>47123.646926505557</v>
      </c>
      <c r="I359">
        <v>11</v>
      </c>
      <c r="J359" s="3">
        <v>29309.19943395806</v>
      </c>
      <c r="K359" s="3">
        <v>17814.447492547501</v>
      </c>
    </row>
    <row r="360" spans="1:11" x14ac:dyDescent="0.3">
      <c r="A360" t="s">
        <v>436</v>
      </c>
      <c r="B360" s="2">
        <v>44743</v>
      </c>
      <c r="C360">
        <v>2022</v>
      </c>
      <c r="D360">
        <v>7</v>
      </c>
      <c r="E360" t="s">
        <v>62</v>
      </c>
      <c r="F360" t="s">
        <v>67</v>
      </c>
      <c r="G360" t="s">
        <v>29</v>
      </c>
      <c r="H360" s="3">
        <v>13325.32657616663</v>
      </c>
      <c r="I360">
        <v>3</v>
      </c>
      <c r="J360" s="3">
        <v>8066.5140988879111</v>
      </c>
      <c r="K360" s="3">
        <v>5258.8124772787214</v>
      </c>
    </row>
    <row r="361" spans="1:11" x14ac:dyDescent="0.3">
      <c r="A361" t="s">
        <v>437</v>
      </c>
      <c r="B361" s="2">
        <v>44743</v>
      </c>
      <c r="C361">
        <v>2022</v>
      </c>
      <c r="D361">
        <v>7</v>
      </c>
      <c r="E361" t="s">
        <v>62</v>
      </c>
      <c r="F361" t="s">
        <v>48</v>
      </c>
      <c r="G361" t="s">
        <v>29</v>
      </c>
      <c r="H361" s="3">
        <v>37316.211479394173</v>
      </c>
      <c r="I361">
        <v>9</v>
      </c>
      <c r="J361" s="3">
        <v>24127.915524266809</v>
      </c>
      <c r="K361" s="3">
        <v>13188.29595512736</v>
      </c>
    </row>
    <row r="362" spans="1:11" x14ac:dyDescent="0.3">
      <c r="A362" t="s">
        <v>438</v>
      </c>
      <c r="B362" s="2">
        <v>44743</v>
      </c>
      <c r="C362">
        <v>2022</v>
      </c>
      <c r="D362">
        <v>7</v>
      </c>
      <c r="E362" t="s">
        <v>50</v>
      </c>
      <c r="F362" t="s">
        <v>67</v>
      </c>
      <c r="G362" t="s">
        <v>34</v>
      </c>
      <c r="H362" s="3">
        <v>31303.914693690851</v>
      </c>
      <c r="I362">
        <v>37</v>
      </c>
      <c r="J362" s="3">
        <v>15091.780004498931</v>
      </c>
      <c r="K362" s="3">
        <v>16212.134689191929</v>
      </c>
    </row>
    <row r="363" spans="1:11" x14ac:dyDescent="0.3">
      <c r="A363" t="s">
        <v>439</v>
      </c>
      <c r="B363" s="2">
        <v>44743</v>
      </c>
      <c r="C363">
        <v>2022</v>
      </c>
      <c r="D363">
        <v>7</v>
      </c>
      <c r="E363" t="s">
        <v>50</v>
      </c>
      <c r="F363" t="s">
        <v>48</v>
      </c>
      <c r="G363" t="s">
        <v>34</v>
      </c>
      <c r="H363" s="3">
        <v>78540.275452343718</v>
      </c>
      <c r="I363">
        <v>92</v>
      </c>
      <c r="J363" s="3">
        <v>36959.529896675973</v>
      </c>
      <c r="K363" s="3">
        <v>41580.745555667752</v>
      </c>
    </row>
    <row r="364" spans="1:11" x14ac:dyDescent="0.3">
      <c r="A364" t="s">
        <v>440</v>
      </c>
      <c r="B364" s="2">
        <v>44743</v>
      </c>
      <c r="C364">
        <v>2022</v>
      </c>
      <c r="D364">
        <v>7</v>
      </c>
      <c r="E364" t="s">
        <v>54</v>
      </c>
      <c r="F364" t="s">
        <v>67</v>
      </c>
      <c r="G364" t="s">
        <v>34</v>
      </c>
      <c r="H364" s="3">
        <v>25013.235700257799</v>
      </c>
      <c r="I364">
        <v>29</v>
      </c>
      <c r="J364" s="3">
        <v>11793.363879557721</v>
      </c>
      <c r="K364" s="3">
        <v>13219.871820700069</v>
      </c>
    </row>
    <row r="365" spans="1:11" x14ac:dyDescent="0.3">
      <c r="A365" t="s">
        <v>441</v>
      </c>
      <c r="B365" s="2">
        <v>44743</v>
      </c>
      <c r="C365">
        <v>2022</v>
      </c>
      <c r="D365">
        <v>7</v>
      </c>
      <c r="E365" t="s">
        <v>54</v>
      </c>
      <c r="F365" t="s">
        <v>48</v>
      </c>
      <c r="G365" t="s">
        <v>34</v>
      </c>
      <c r="H365" s="3">
        <v>57465.941514445432</v>
      </c>
      <c r="I365">
        <v>68</v>
      </c>
      <c r="J365" s="3">
        <v>27102.168608960608</v>
      </c>
      <c r="K365" s="3">
        <v>30363.772905484821</v>
      </c>
    </row>
    <row r="366" spans="1:11" x14ac:dyDescent="0.3">
      <c r="A366" t="s">
        <v>442</v>
      </c>
      <c r="B366" s="2">
        <v>44743</v>
      </c>
      <c r="C366">
        <v>2022</v>
      </c>
      <c r="D366">
        <v>7</v>
      </c>
      <c r="E366" t="s">
        <v>58</v>
      </c>
      <c r="F366" t="s">
        <v>67</v>
      </c>
      <c r="G366" t="s">
        <v>34</v>
      </c>
      <c r="H366" s="3">
        <v>17459.162918942289</v>
      </c>
      <c r="I366">
        <v>21</v>
      </c>
      <c r="J366" s="3">
        <v>8397.0721406551838</v>
      </c>
      <c r="K366" s="3">
        <v>9062.0907782871091</v>
      </c>
    </row>
    <row r="367" spans="1:11" x14ac:dyDescent="0.3">
      <c r="A367" t="s">
        <v>443</v>
      </c>
      <c r="B367" s="2">
        <v>44743</v>
      </c>
      <c r="C367">
        <v>2022</v>
      </c>
      <c r="D367">
        <v>7</v>
      </c>
      <c r="E367" t="s">
        <v>58</v>
      </c>
      <c r="F367" t="s">
        <v>48</v>
      </c>
      <c r="G367" t="s">
        <v>34</v>
      </c>
      <c r="H367" s="3">
        <v>41189.749441810098</v>
      </c>
      <c r="I367">
        <v>48</v>
      </c>
      <c r="J367" s="3">
        <v>19548.187005337961</v>
      </c>
      <c r="K367" s="3">
        <v>21641.562436472141</v>
      </c>
    </row>
    <row r="368" spans="1:11" x14ac:dyDescent="0.3">
      <c r="A368" t="s">
        <v>444</v>
      </c>
      <c r="B368" s="2">
        <v>44743</v>
      </c>
      <c r="C368">
        <v>2022</v>
      </c>
      <c r="D368">
        <v>7</v>
      </c>
      <c r="E368" t="s">
        <v>62</v>
      </c>
      <c r="F368" t="s">
        <v>67</v>
      </c>
      <c r="G368" t="s">
        <v>34</v>
      </c>
      <c r="H368" s="3">
        <v>13652.996220396</v>
      </c>
      <c r="I368">
        <v>16</v>
      </c>
      <c r="J368" s="3">
        <v>6611.7188981411127</v>
      </c>
      <c r="K368" s="3">
        <v>7041.2773222548858</v>
      </c>
    </row>
    <row r="369" spans="1:11" x14ac:dyDescent="0.3">
      <c r="A369" t="s">
        <v>445</v>
      </c>
      <c r="B369" s="2">
        <v>44743</v>
      </c>
      <c r="C369">
        <v>2022</v>
      </c>
      <c r="D369">
        <v>7</v>
      </c>
      <c r="E369" t="s">
        <v>62</v>
      </c>
      <c r="F369" t="s">
        <v>48</v>
      </c>
      <c r="G369" t="s">
        <v>34</v>
      </c>
      <c r="H369" s="3">
        <v>30259.84896375555</v>
      </c>
      <c r="I369">
        <v>36</v>
      </c>
      <c r="J369" s="3">
        <v>13778.39936339636</v>
      </c>
      <c r="K369" s="3">
        <v>16481.449600359188</v>
      </c>
    </row>
    <row r="370" spans="1:11" x14ac:dyDescent="0.3">
      <c r="A370" t="s">
        <v>446</v>
      </c>
      <c r="B370" s="2">
        <v>44743</v>
      </c>
      <c r="C370">
        <v>2022</v>
      </c>
      <c r="D370">
        <v>7</v>
      </c>
      <c r="E370" t="s">
        <v>50</v>
      </c>
      <c r="F370" t="s">
        <v>67</v>
      </c>
      <c r="G370" t="s">
        <v>37</v>
      </c>
      <c r="H370" s="3">
        <v>27773.181365820448</v>
      </c>
      <c r="I370">
        <v>39</v>
      </c>
      <c r="J370" s="3">
        <v>15039.654478888269</v>
      </c>
      <c r="K370" s="3">
        <v>12733.526886932181</v>
      </c>
    </row>
    <row r="371" spans="1:11" x14ac:dyDescent="0.3">
      <c r="A371" t="s">
        <v>447</v>
      </c>
      <c r="B371" s="2">
        <v>44743</v>
      </c>
      <c r="C371">
        <v>2022</v>
      </c>
      <c r="D371">
        <v>7</v>
      </c>
      <c r="E371" t="s">
        <v>50</v>
      </c>
      <c r="F371" t="s">
        <v>48</v>
      </c>
      <c r="G371" t="s">
        <v>37</v>
      </c>
      <c r="H371" s="3">
        <v>66509.48597122576</v>
      </c>
      <c r="I371">
        <v>92</v>
      </c>
      <c r="J371" s="3">
        <v>35838.773910025207</v>
      </c>
      <c r="K371" s="3">
        <v>30670.712061200549</v>
      </c>
    </row>
    <row r="372" spans="1:11" x14ac:dyDescent="0.3">
      <c r="A372" t="s">
        <v>448</v>
      </c>
      <c r="B372" s="2">
        <v>44743</v>
      </c>
      <c r="C372">
        <v>2022</v>
      </c>
      <c r="D372">
        <v>7</v>
      </c>
      <c r="E372" t="s">
        <v>54</v>
      </c>
      <c r="F372" t="s">
        <v>67</v>
      </c>
      <c r="G372" t="s">
        <v>37</v>
      </c>
      <c r="H372" s="3">
        <v>23545.943792557231</v>
      </c>
      <c r="I372">
        <v>33</v>
      </c>
      <c r="J372" s="3">
        <v>12890.514832179901</v>
      </c>
      <c r="K372" s="3">
        <v>10655.42896037733</v>
      </c>
    </row>
    <row r="373" spans="1:11" x14ac:dyDescent="0.3">
      <c r="A373" t="s">
        <v>449</v>
      </c>
      <c r="B373" s="2">
        <v>44743</v>
      </c>
      <c r="C373">
        <v>2022</v>
      </c>
      <c r="D373">
        <v>7</v>
      </c>
      <c r="E373" t="s">
        <v>54</v>
      </c>
      <c r="F373" t="s">
        <v>48</v>
      </c>
      <c r="G373" t="s">
        <v>37</v>
      </c>
      <c r="H373" s="3">
        <v>54802.257896526316</v>
      </c>
      <c r="I373">
        <v>76</v>
      </c>
      <c r="J373" s="3">
        <v>29849.328146077369</v>
      </c>
      <c r="K373" s="3">
        <v>24952.92975044894</v>
      </c>
    </row>
    <row r="374" spans="1:11" x14ac:dyDescent="0.3">
      <c r="A374" t="s">
        <v>450</v>
      </c>
      <c r="B374" s="2">
        <v>44743</v>
      </c>
      <c r="C374">
        <v>2022</v>
      </c>
      <c r="D374">
        <v>7</v>
      </c>
      <c r="E374" t="s">
        <v>58</v>
      </c>
      <c r="F374" t="s">
        <v>67</v>
      </c>
      <c r="G374" t="s">
        <v>37</v>
      </c>
      <c r="H374" s="3">
        <v>14820.845352371791</v>
      </c>
      <c r="I374">
        <v>21</v>
      </c>
      <c r="J374" s="3">
        <v>8268.5296646486331</v>
      </c>
      <c r="K374" s="3">
        <v>6552.315687723154</v>
      </c>
    </row>
    <row r="375" spans="1:11" x14ac:dyDescent="0.3">
      <c r="A375" t="s">
        <v>451</v>
      </c>
      <c r="B375" s="2">
        <v>44743</v>
      </c>
      <c r="C375">
        <v>2022</v>
      </c>
      <c r="D375">
        <v>7</v>
      </c>
      <c r="E375" t="s">
        <v>58</v>
      </c>
      <c r="F375" t="s">
        <v>48</v>
      </c>
      <c r="G375" t="s">
        <v>37</v>
      </c>
      <c r="H375" s="3">
        <v>36234.326864671682</v>
      </c>
      <c r="I375">
        <v>50</v>
      </c>
      <c r="J375" s="3">
        <v>19261.89879384467</v>
      </c>
      <c r="K375" s="3">
        <v>16972.428070827009</v>
      </c>
    </row>
    <row r="376" spans="1:11" x14ac:dyDescent="0.3">
      <c r="A376" t="s">
        <v>452</v>
      </c>
      <c r="B376" s="2">
        <v>44743</v>
      </c>
      <c r="C376">
        <v>2022</v>
      </c>
      <c r="D376">
        <v>7</v>
      </c>
      <c r="E376" t="s">
        <v>62</v>
      </c>
      <c r="F376" t="s">
        <v>67</v>
      </c>
      <c r="G376" t="s">
        <v>37</v>
      </c>
      <c r="H376" s="3">
        <v>10423.191200542709</v>
      </c>
      <c r="I376">
        <v>14</v>
      </c>
      <c r="J376" s="3">
        <v>5737.4494072208163</v>
      </c>
      <c r="K376" s="3">
        <v>4685.7417933218949</v>
      </c>
    </row>
    <row r="377" spans="1:11" x14ac:dyDescent="0.3">
      <c r="A377" t="s">
        <v>453</v>
      </c>
      <c r="B377" s="2">
        <v>44743</v>
      </c>
      <c r="C377">
        <v>2022</v>
      </c>
      <c r="D377">
        <v>7</v>
      </c>
      <c r="E377" t="s">
        <v>62</v>
      </c>
      <c r="F377" t="s">
        <v>48</v>
      </c>
      <c r="G377" t="s">
        <v>37</v>
      </c>
      <c r="H377" s="3">
        <v>30674.656333450781</v>
      </c>
      <c r="I377">
        <v>43</v>
      </c>
      <c r="J377" s="3">
        <v>17040.61608461256</v>
      </c>
      <c r="K377" s="3">
        <v>13634.04024883823</v>
      </c>
    </row>
    <row r="378" spans="1:11" x14ac:dyDescent="0.3">
      <c r="A378" t="s">
        <v>454</v>
      </c>
      <c r="B378" s="2">
        <v>44743</v>
      </c>
      <c r="C378">
        <v>2022</v>
      </c>
      <c r="D378">
        <v>7</v>
      </c>
      <c r="E378" t="s">
        <v>50</v>
      </c>
      <c r="F378" t="s">
        <v>67</v>
      </c>
      <c r="G378" t="s">
        <v>40</v>
      </c>
      <c r="H378" s="3">
        <v>20392.382882618749</v>
      </c>
      <c r="I378">
        <v>4</v>
      </c>
      <c r="J378" s="3">
        <v>14540.983589329629</v>
      </c>
      <c r="K378" s="3">
        <v>5851.399293289116</v>
      </c>
    </row>
    <row r="379" spans="1:11" x14ac:dyDescent="0.3">
      <c r="A379" t="s">
        <v>455</v>
      </c>
      <c r="B379" s="2">
        <v>44743</v>
      </c>
      <c r="C379">
        <v>2022</v>
      </c>
      <c r="D379">
        <v>7</v>
      </c>
      <c r="E379" t="s">
        <v>50</v>
      </c>
      <c r="F379" t="s">
        <v>48</v>
      </c>
      <c r="G379" t="s">
        <v>40</v>
      </c>
      <c r="H379" s="3">
        <v>53504.06716335407</v>
      </c>
      <c r="I379">
        <v>10</v>
      </c>
      <c r="J379" s="3">
        <v>36597.662971894213</v>
      </c>
      <c r="K379" s="3">
        <v>16906.40419145986</v>
      </c>
    </row>
    <row r="380" spans="1:11" x14ac:dyDescent="0.3">
      <c r="A380" t="s">
        <v>456</v>
      </c>
      <c r="B380" s="2">
        <v>44743</v>
      </c>
      <c r="C380">
        <v>2022</v>
      </c>
      <c r="D380">
        <v>7</v>
      </c>
      <c r="E380" t="s">
        <v>54</v>
      </c>
      <c r="F380" t="s">
        <v>67</v>
      </c>
      <c r="G380" t="s">
        <v>40</v>
      </c>
      <c r="H380" s="3">
        <v>19880.44569890439</v>
      </c>
      <c r="I380">
        <v>4</v>
      </c>
      <c r="J380" s="3">
        <v>13797.621272527949</v>
      </c>
      <c r="K380" s="3">
        <v>6082.8244263764318</v>
      </c>
    </row>
    <row r="381" spans="1:11" x14ac:dyDescent="0.3">
      <c r="A381" t="s">
        <v>457</v>
      </c>
      <c r="B381" s="2">
        <v>44743</v>
      </c>
      <c r="C381">
        <v>2022</v>
      </c>
      <c r="D381">
        <v>7</v>
      </c>
      <c r="E381" t="s">
        <v>54</v>
      </c>
      <c r="F381" t="s">
        <v>48</v>
      </c>
      <c r="G381" t="s">
        <v>40</v>
      </c>
      <c r="H381" s="3">
        <v>45832.355529083477</v>
      </c>
      <c r="I381">
        <v>8</v>
      </c>
      <c r="J381" s="3">
        <v>30597.498327104309</v>
      </c>
      <c r="K381" s="3">
        <v>15234.857201979181</v>
      </c>
    </row>
    <row r="382" spans="1:11" x14ac:dyDescent="0.3">
      <c r="A382" t="s">
        <v>458</v>
      </c>
      <c r="B382" s="2">
        <v>44743</v>
      </c>
      <c r="C382">
        <v>2022</v>
      </c>
      <c r="D382">
        <v>7</v>
      </c>
      <c r="E382" t="s">
        <v>58</v>
      </c>
      <c r="F382" t="s">
        <v>67</v>
      </c>
      <c r="G382" t="s">
        <v>40</v>
      </c>
      <c r="H382" s="3">
        <v>13493.38717620173</v>
      </c>
      <c r="I382">
        <v>2</v>
      </c>
      <c r="J382" s="3">
        <v>8909.5743092066405</v>
      </c>
      <c r="K382" s="3">
        <v>4583.8128669950911</v>
      </c>
    </row>
    <row r="383" spans="1:11" x14ac:dyDescent="0.3">
      <c r="A383" t="s">
        <v>459</v>
      </c>
      <c r="B383" s="2">
        <v>44743</v>
      </c>
      <c r="C383">
        <v>2022</v>
      </c>
      <c r="D383">
        <v>7</v>
      </c>
      <c r="E383" t="s">
        <v>58</v>
      </c>
      <c r="F383" t="s">
        <v>48</v>
      </c>
      <c r="G383" t="s">
        <v>40</v>
      </c>
      <c r="H383" s="3">
        <v>30830.172145268829</v>
      </c>
      <c r="I383">
        <v>6</v>
      </c>
      <c r="J383" s="3">
        <v>21596.291959946921</v>
      </c>
      <c r="K383" s="3">
        <v>9233.8801853219047</v>
      </c>
    </row>
    <row r="384" spans="1:11" x14ac:dyDescent="0.3">
      <c r="A384" t="s">
        <v>460</v>
      </c>
      <c r="B384" s="2">
        <v>44743</v>
      </c>
      <c r="C384">
        <v>2022</v>
      </c>
      <c r="D384">
        <v>7</v>
      </c>
      <c r="E384" t="s">
        <v>62</v>
      </c>
      <c r="F384" t="s">
        <v>67</v>
      </c>
      <c r="G384" t="s">
        <v>40</v>
      </c>
      <c r="H384" s="3">
        <v>8029.1714750768342</v>
      </c>
      <c r="I384">
        <v>1</v>
      </c>
      <c r="J384" s="3">
        <v>5539.5738324777058</v>
      </c>
      <c r="K384" s="3">
        <v>2489.597642599128</v>
      </c>
    </row>
    <row r="385" spans="1:11" x14ac:dyDescent="0.3">
      <c r="A385" t="s">
        <v>461</v>
      </c>
      <c r="B385" s="2">
        <v>44743</v>
      </c>
      <c r="C385">
        <v>2022</v>
      </c>
      <c r="D385">
        <v>7</v>
      </c>
      <c r="E385" t="s">
        <v>62</v>
      </c>
      <c r="F385" t="s">
        <v>48</v>
      </c>
      <c r="G385" t="s">
        <v>40</v>
      </c>
      <c r="H385" s="3">
        <v>23525.926651301201</v>
      </c>
      <c r="I385">
        <v>4</v>
      </c>
      <c r="J385" s="3">
        <v>16577.241379872819</v>
      </c>
      <c r="K385" s="3">
        <v>6948.685271428385</v>
      </c>
    </row>
    <row r="386" spans="1:11" x14ac:dyDescent="0.3">
      <c r="A386" t="s">
        <v>462</v>
      </c>
      <c r="B386" s="2">
        <v>44743</v>
      </c>
      <c r="C386">
        <v>2022</v>
      </c>
      <c r="D386">
        <v>7</v>
      </c>
      <c r="E386" t="s">
        <v>50</v>
      </c>
      <c r="F386" t="s">
        <v>67</v>
      </c>
      <c r="G386" t="s">
        <v>43</v>
      </c>
      <c r="H386" s="3">
        <v>48969.597444969397</v>
      </c>
      <c r="I386">
        <v>14</v>
      </c>
      <c r="J386" s="3">
        <v>28177.81453481226</v>
      </c>
      <c r="K386" s="3">
        <v>20791.78291015713</v>
      </c>
    </row>
    <row r="387" spans="1:11" x14ac:dyDescent="0.3">
      <c r="A387" t="s">
        <v>463</v>
      </c>
      <c r="B387" s="2">
        <v>44743</v>
      </c>
      <c r="C387">
        <v>2022</v>
      </c>
      <c r="D387">
        <v>7</v>
      </c>
      <c r="E387" t="s">
        <v>50</v>
      </c>
      <c r="F387" t="s">
        <v>48</v>
      </c>
      <c r="G387" t="s">
        <v>43</v>
      </c>
      <c r="H387" s="3">
        <v>126228.68255301339</v>
      </c>
      <c r="I387">
        <v>36</v>
      </c>
      <c r="J387" s="3">
        <v>75171.876796090102</v>
      </c>
      <c r="K387" s="3">
        <v>51056.805756923291</v>
      </c>
    </row>
    <row r="388" spans="1:11" x14ac:dyDescent="0.3">
      <c r="A388" t="s">
        <v>464</v>
      </c>
      <c r="B388" s="2">
        <v>44743</v>
      </c>
      <c r="C388">
        <v>2022</v>
      </c>
      <c r="D388">
        <v>7</v>
      </c>
      <c r="E388" t="s">
        <v>54</v>
      </c>
      <c r="F388" t="s">
        <v>67</v>
      </c>
      <c r="G388" t="s">
        <v>43</v>
      </c>
      <c r="H388" s="3">
        <v>35998.563973255747</v>
      </c>
      <c r="I388">
        <v>10</v>
      </c>
      <c r="J388" s="3">
        <v>21953.610680416739</v>
      </c>
      <c r="K388" s="3">
        <v>14044.953292839011</v>
      </c>
    </row>
    <row r="389" spans="1:11" x14ac:dyDescent="0.3">
      <c r="A389" t="s">
        <v>465</v>
      </c>
      <c r="B389" s="2">
        <v>44743</v>
      </c>
      <c r="C389">
        <v>2022</v>
      </c>
      <c r="D389">
        <v>7</v>
      </c>
      <c r="E389" t="s">
        <v>54</v>
      </c>
      <c r="F389" t="s">
        <v>48</v>
      </c>
      <c r="G389" t="s">
        <v>43</v>
      </c>
      <c r="H389" s="3">
        <v>93184.49302824818</v>
      </c>
      <c r="I389">
        <v>27</v>
      </c>
      <c r="J389" s="3">
        <v>55394.199663713531</v>
      </c>
      <c r="K389" s="3">
        <v>37790.293364534649</v>
      </c>
    </row>
    <row r="390" spans="1:11" x14ac:dyDescent="0.3">
      <c r="A390" t="s">
        <v>466</v>
      </c>
      <c r="B390" s="2">
        <v>44743</v>
      </c>
      <c r="C390">
        <v>2022</v>
      </c>
      <c r="D390">
        <v>7</v>
      </c>
      <c r="E390" t="s">
        <v>58</v>
      </c>
      <c r="F390" t="s">
        <v>67</v>
      </c>
      <c r="G390" t="s">
        <v>43</v>
      </c>
      <c r="H390" s="3">
        <v>26584.50484230783</v>
      </c>
      <c r="I390">
        <v>8</v>
      </c>
      <c r="J390" s="3">
        <v>15762.9444057807</v>
      </c>
      <c r="K390" s="3">
        <v>10821.560436527119</v>
      </c>
    </row>
    <row r="391" spans="1:11" x14ac:dyDescent="0.3">
      <c r="A391" t="s">
        <v>467</v>
      </c>
      <c r="B391" s="2">
        <v>44743</v>
      </c>
      <c r="C391">
        <v>2022</v>
      </c>
      <c r="D391">
        <v>7</v>
      </c>
      <c r="E391" t="s">
        <v>58</v>
      </c>
      <c r="F391" t="s">
        <v>48</v>
      </c>
      <c r="G391" t="s">
        <v>43</v>
      </c>
      <c r="H391" s="3">
        <v>65071.95107051298</v>
      </c>
      <c r="I391">
        <v>19</v>
      </c>
      <c r="J391" s="3">
        <v>38398.363932071341</v>
      </c>
      <c r="K391" s="3">
        <v>26673.587138441639</v>
      </c>
    </row>
    <row r="392" spans="1:11" x14ac:dyDescent="0.3">
      <c r="A392" t="s">
        <v>468</v>
      </c>
      <c r="B392" s="2">
        <v>44743</v>
      </c>
      <c r="C392">
        <v>2022</v>
      </c>
      <c r="D392">
        <v>7</v>
      </c>
      <c r="E392" t="s">
        <v>62</v>
      </c>
      <c r="F392" t="s">
        <v>67</v>
      </c>
      <c r="G392" t="s">
        <v>43</v>
      </c>
      <c r="H392" s="3">
        <v>19398.931734914979</v>
      </c>
      <c r="I392">
        <v>6</v>
      </c>
      <c r="J392" s="3">
        <v>11121.74198036228</v>
      </c>
      <c r="K392" s="3">
        <v>8277.1897545526972</v>
      </c>
    </row>
    <row r="393" spans="1:11" x14ac:dyDescent="0.3">
      <c r="A393" t="s">
        <v>469</v>
      </c>
      <c r="B393" s="2">
        <v>44743</v>
      </c>
      <c r="C393">
        <v>2022</v>
      </c>
      <c r="D393">
        <v>7</v>
      </c>
      <c r="E393" t="s">
        <v>62</v>
      </c>
      <c r="F393" t="s">
        <v>48</v>
      </c>
      <c r="G393" t="s">
        <v>43</v>
      </c>
      <c r="H393" s="3">
        <v>53556.315281415351</v>
      </c>
      <c r="I393">
        <v>15</v>
      </c>
      <c r="J393" s="3">
        <v>32369.232616103389</v>
      </c>
      <c r="K393" s="3">
        <v>21187.082665311969</v>
      </c>
    </row>
    <row r="394" spans="1:11" x14ac:dyDescent="0.3">
      <c r="A394" t="s">
        <v>470</v>
      </c>
      <c r="B394" s="2">
        <v>44774</v>
      </c>
      <c r="C394">
        <v>2022</v>
      </c>
      <c r="D394">
        <v>8</v>
      </c>
      <c r="E394" t="s">
        <v>50</v>
      </c>
      <c r="F394" t="s">
        <v>67</v>
      </c>
      <c r="G394" t="s">
        <v>19</v>
      </c>
      <c r="H394" s="3">
        <v>45410.763000690349</v>
      </c>
      <c r="I394">
        <v>9</v>
      </c>
      <c r="J394" s="3">
        <v>27845.100111994841</v>
      </c>
      <c r="K394" s="3">
        <v>17565.662888695511</v>
      </c>
    </row>
    <row r="395" spans="1:11" x14ac:dyDescent="0.3">
      <c r="A395" t="s">
        <v>471</v>
      </c>
      <c r="B395" s="2">
        <v>44774</v>
      </c>
      <c r="C395">
        <v>2022</v>
      </c>
      <c r="D395">
        <v>8</v>
      </c>
      <c r="E395" t="s">
        <v>50</v>
      </c>
      <c r="F395" t="s">
        <v>48</v>
      </c>
      <c r="G395" t="s">
        <v>19</v>
      </c>
      <c r="H395" s="3">
        <v>108875.9392103976</v>
      </c>
      <c r="I395">
        <v>21</v>
      </c>
      <c r="J395" s="3">
        <v>68116.057456484064</v>
      </c>
      <c r="K395" s="3">
        <v>40759.881753913513</v>
      </c>
    </row>
    <row r="396" spans="1:11" x14ac:dyDescent="0.3">
      <c r="A396" t="s">
        <v>472</v>
      </c>
      <c r="B396" s="2">
        <v>44774</v>
      </c>
      <c r="C396">
        <v>2022</v>
      </c>
      <c r="D396">
        <v>8</v>
      </c>
      <c r="E396" t="s">
        <v>54</v>
      </c>
      <c r="F396" t="s">
        <v>67</v>
      </c>
      <c r="G396" t="s">
        <v>19</v>
      </c>
      <c r="H396" s="3">
        <v>34582.74029189023</v>
      </c>
      <c r="I396">
        <v>7</v>
      </c>
      <c r="J396" s="3">
        <v>20838.056235047159</v>
      </c>
      <c r="K396" s="3">
        <v>13744.684056843071</v>
      </c>
    </row>
    <row r="397" spans="1:11" x14ac:dyDescent="0.3">
      <c r="A397" t="s">
        <v>473</v>
      </c>
      <c r="B397" s="2">
        <v>44774</v>
      </c>
      <c r="C397">
        <v>2022</v>
      </c>
      <c r="D397">
        <v>8</v>
      </c>
      <c r="E397" t="s">
        <v>54</v>
      </c>
      <c r="F397" t="s">
        <v>48</v>
      </c>
      <c r="G397" t="s">
        <v>19</v>
      </c>
      <c r="H397" s="3">
        <v>85679.661922852712</v>
      </c>
      <c r="I397">
        <v>16</v>
      </c>
      <c r="J397" s="3">
        <v>51993.608720946257</v>
      </c>
      <c r="K397" s="3">
        <v>33686.053201906449</v>
      </c>
    </row>
    <row r="398" spans="1:11" x14ac:dyDescent="0.3">
      <c r="A398" t="s">
        <v>474</v>
      </c>
      <c r="B398" s="2">
        <v>44774</v>
      </c>
      <c r="C398">
        <v>2022</v>
      </c>
      <c r="D398">
        <v>8</v>
      </c>
      <c r="E398" t="s">
        <v>58</v>
      </c>
      <c r="F398" t="s">
        <v>67</v>
      </c>
      <c r="G398" t="s">
        <v>19</v>
      </c>
      <c r="H398" s="3">
        <v>22603.826862083519</v>
      </c>
      <c r="I398">
        <v>4</v>
      </c>
      <c r="J398" s="3">
        <v>14376.38594737216</v>
      </c>
      <c r="K398" s="3">
        <v>8227.4409147113529</v>
      </c>
    </row>
    <row r="399" spans="1:11" x14ac:dyDescent="0.3">
      <c r="A399" t="s">
        <v>475</v>
      </c>
      <c r="B399" s="2">
        <v>44774</v>
      </c>
      <c r="C399">
        <v>2022</v>
      </c>
      <c r="D399">
        <v>8</v>
      </c>
      <c r="E399" t="s">
        <v>58</v>
      </c>
      <c r="F399" t="s">
        <v>48</v>
      </c>
      <c r="G399" t="s">
        <v>19</v>
      </c>
      <c r="H399" s="3">
        <v>61705.179091927952</v>
      </c>
      <c r="I399">
        <v>12</v>
      </c>
      <c r="J399" s="3">
        <v>38018.048331674079</v>
      </c>
      <c r="K399" s="3">
        <v>23687.130760253869</v>
      </c>
    </row>
    <row r="400" spans="1:11" x14ac:dyDescent="0.3">
      <c r="A400" t="s">
        <v>476</v>
      </c>
      <c r="B400" s="2">
        <v>44774</v>
      </c>
      <c r="C400">
        <v>2022</v>
      </c>
      <c r="D400">
        <v>8</v>
      </c>
      <c r="E400" t="s">
        <v>62</v>
      </c>
      <c r="F400" t="s">
        <v>67</v>
      </c>
      <c r="G400" t="s">
        <v>19</v>
      </c>
      <c r="H400" s="3">
        <v>16975.38960185922</v>
      </c>
      <c r="I400">
        <v>3</v>
      </c>
      <c r="J400" s="3">
        <v>10800.057831388611</v>
      </c>
      <c r="K400" s="3">
        <v>6175.3317704706114</v>
      </c>
    </row>
    <row r="401" spans="1:11" x14ac:dyDescent="0.3">
      <c r="A401" t="s">
        <v>477</v>
      </c>
      <c r="B401" s="2">
        <v>44774</v>
      </c>
      <c r="C401">
        <v>2022</v>
      </c>
      <c r="D401">
        <v>8</v>
      </c>
      <c r="E401" t="s">
        <v>62</v>
      </c>
      <c r="F401" t="s">
        <v>48</v>
      </c>
      <c r="G401" t="s">
        <v>19</v>
      </c>
      <c r="H401" s="3">
        <v>47210.725939803851</v>
      </c>
      <c r="I401">
        <v>9</v>
      </c>
      <c r="J401" s="3">
        <v>29229.432562231679</v>
      </c>
      <c r="K401" s="3">
        <v>17981.293377572169</v>
      </c>
    </row>
    <row r="402" spans="1:11" x14ac:dyDescent="0.3">
      <c r="A402" t="s">
        <v>478</v>
      </c>
      <c r="B402" s="2">
        <v>44774</v>
      </c>
      <c r="C402">
        <v>2022</v>
      </c>
      <c r="D402">
        <v>8</v>
      </c>
      <c r="E402" t="s">
        <v>50</v>
      </c>
      <c r="F402" t="s">
        <v>67</v>
      </c>
      <c r="G402" t="s">
        <v>24</v>
      </c>
      <c r="H402" s="3">
        <v>49021.258602882343</v>
      </c>
      <c r="I402">
        <v>8</v>
      </c>
      <c r="J402" s="3">
        <v>31281.35997096925</v>
      </c>
      <c r="K402" s="3">
        <v>17739.8986319131</v>
      </c>
    </row>
    <row r="403" spans="1:11" x14ac:dyDescent="0.3">
      <c r="A403" t="s">
        <v>479</v>
      </c>
      <c r="B403" s="2">
        <v>44774</v>
      </c>
      <c r="C403">
        <v>2022</v>
      </c>
      <c r="D403">
        <v>8</v>
      </c>
      <c r="E403" t="s">
        <v>50</v>
      </c>
      <c r="F403" t="s">
        <v>48</v>
      </c>
      <c r="G403" t="s">
        <v>24</v>
      </c>
      <c r="H403" s="3">
        <v>109382.2043629495</v>
      </c>
      <c r="I403">
        <v>18</v>
      </c>
      <c r="J403" s="3">
        <v>73351.461567079808</v>
      </c>
      <c r="K403" s="3">
        <v>36030.742795869737</v>
      </c>
    </row>
    <row r="404" spans="1:11" x14ac:dyDescent="0.3">
      <c r="A404" t="s">
        <v>480</v>
      </c>
      <c r="B404" s="2">
        <v>44774</v>
      </c>
      <c r="C404">
        <v>2022</v>
      </c>
      <c r="D404">
        <v>8</v>
      </c>
      <c r="E404" t="s">
        <v>54</v>
      </c>
      <c r="F404" t="s">
        <v>67</v>
      </c>
      <c r="G404" t="s">
        <v>24</v>
      </c>
      <c r="H404" s="3">
        <v>35938.676636633398</v>
      </c>
      <c r="I404">
        <v>6</v>
      </c>
      <c r="J404" s="3">
        <v>23467.671182990001</v>
      </c>
      <c r="K404" s="3">
        <v>12471.0054536434</v>
      </c>
    </row>
    <row r="405" spans="1:11" x14ac:dyDescent="0.3">
      <c r="A405" t="s">
        <v>481</v>
      </c>
      <c r="B405" s="2">
        <v>44774</v>
      </c>
      <c r="C405">
        <v>2022</v>
      </c>
      <c r="D405">
        <v>8</v>
      </c>
      <c r="E405" t="s">
        <v>54</v>
      </c>
      <c r="F405" t="s">
        <v>48</v>
      </c>
      <c r="G405" t="s">
        <v>24</v>
      </c>
      <c r="H405" s="3">
        <v>97412.446106864954</v>
      </c>
      <c r="I405">
        <v>16</v>
      </c>
      <c r="J405" s="3">
        <v>65100.778948870167</v>
      </c>
      <c r="K405" s="3">
        <v>32311.66715799478</v>
      </c>
    </row>
    <row r="406" spans="1:11" x14ac:dyDescent="0.3">
      <c r="A406" t="s">
        <v>482</v>
      </c>
      <c r="B406" s="2">
        <v>44774</v>
      </c>
      <c r="C406">
        <v>2022</v>
      </c>
      <c r="D406">
        <v>8</v>
      </c>
      <c r="E406" t="s">
        <v>58</v>
      </c>
      <c r="F406" t="s">
        <v>67</v>
      </c>
      <c r="G406" t="s">
        <v>24</v>
      </c>
      <c r="H406" s="3">
        <v>25755.510732985909</v>
      </c>
      <c r="I406">
        <v>4</v>
      </c>
      <c r="J406" s="3">
        <v>17006.350990752559</v>
      </c>
      <c r="K406" s="3">
        <v>8749.1597422333543</v>
      </c>
    </row>
    <row r="407" spans="1:11" x14ac:dyDescent="0.3">
      <c r="A407" t="s">
        <v>483</v>
      </c>
      <c r="B407" s="2">
        <v>44774</v>
      </c>
      <c r="C407">
        <v>2022</v>
      </c>
      <c r="D407">
        <v>8</v>
      </c>
      <c r="E407" t="s">
        <v>58</v>
      </c>
      <c r="F407" t="s">
        <v>48</v>
      </c>
      <c r="G407" t="s">
        <v>24</v>
      </c>
      <c r="H407" s="3">
        <v>66785.32752113376</v>
      </c>
      <c r="I407">
        <v>11</v>
      </c>
      <c r="J407" s="3">
        <v>42853.991207615167</v>
      </c>
      <c r="K407" s="3">
        <v>23931.33631351859</v>
      </c>
    </row>
    <row r="408" spans="1:11" x14ac:dyDescent="0.3">
      <c r="A408" t="s">
        <v>484</v>
      </c>
      <c r="B408" s="2">
        <v>44774</v>
      </c>
      <c r="C408">
        <v>2022</v>
      </c>
      <c r="D408">
        <v>8</v>
      </c>
      <c r="E408" t="s">
        <v>62</v>
      </c>
      <c r="F408" t="s">
        <v>67</v>
      </c>
      <c r="G408" t="s">
        <v>24</v>
      </c>
      <c r="H408" s="3">
        <v>19769.67137742601</v>
      </c>
      <c r="I408">
        <v>3</v>
      </c>
      <c r="J408" s="3">
        <v>13086.56998492361</v>
      </c>
      <c r="K408" s="3">
        <v>6683.1013925024054</v>
      </c>
    </row>
    <row r="409" spans="1:11" x14ac:dyDescent="0.3">
      <c r="A409" t="s">
        <v>485</v>
      </c>
      <c r="B409" s="2">
        <v>44774</v>
      </c>
      <c r="C409">
        <v>2022</v>
      </c>
      <c r="D409">
        <v>8</v>
      </c>
      <c r="E409" t="s">
        <v>62</v>
      </c>
      <c r="F409" t="s">
        <v>48</v>
      </c>
      <c r="G409" t="s">
        <v>24</v>
      </c>
      <c r="H409" s="3">
        <v>48587.233470058207</v>
      </c>
      <c r="I409">
        <v>8</v>
      </c>
      <c r="J409" s="3">
        <v>33335.269960172671</v>
      </c>
      <c r="K409" s="3">
        <v>15251.96350988554</v>
      </c>
    </row>
    <row r="410" spans="1:11" x14ac:dyDescent="0.3">
      <c r="A410" t="s">
        <v>486</v>
      </c>
      <c r="B410" s="2">
        <v>44774</v>
      </c>
      <c r="C410">
        <v>2022</v>
      </c>
      <c r="D410">
        <v>8</v>
      </c>
      <c r="E410" t="s">
        <v>50</v>
      </c>
      <c r="F410" t="s">
        <v>67</v>
      </c>
      <c r="G410" t="s">
        <v>29</v>
      </c>
      <c r="H410" s="3">
        <v>31129.1056964214</v>
      </c>
      <c r="I410">
        <v>7</v>
      </c>
      <c r="J410" s="3">
        <v>20099.416187362189</v>
      </c>
      <c r="K410" s="3">
        <v>11029.68950905921</v>
      </c>
    </row>
    <row r="411" spans="1:11" x14ac:dyDescent="0.3">
      <c r="A411" t="s">
        <v>487</v>
      </c>
      <c r="B411" s="2">
        <v>44774</v>
      </c>
      <c r="C411">
        <v>2022</v>
      </c>
      <c r="D411">
        <v>8</v>
      </c>
      <c r="E411" t="s">
        <v>50</v>
      </c>
      <c r="F411" t="s">
        <v>48</v>
      </c>
      <c r="G411" t="s">
        <v>29</v>
      </c>
      <c r="H411" s="3">
        <v>83584.901309998153</v>
      </c>
      <c r="I411">
        <v>19</v>
      </c>
      <c r="J411" s="3">
        <v>53438.953105436507</v>
      </c>
      <c r="K411" s="3">
        <v>30145.94820456165</v>
      </c>
    </row>
    <row r="412" spans="1:11" x14ac:dyDescent="0.3">
      <c r="A412" t="s">
        <v>488</v>
      </c>
      <c r="B412" s="2">
        <v>44774</v>
      </c>
      <c r="C412">
        <v>2022</v>
      </c>
      <c r="D412">
        <v>8</v>
      </c>
      <c r="E412" t="s">
        <v>54</v>
      </c>
      <c r="F412" t="s">
        <v>67</v>
      </c>
      <c r="G412" t="s">
        <v>29</v>
      </c>
      <c r="H412" s="3">
        <v>22890.270232251889</v>
      </c>
      <c r="I412">
        <v>5</v>
      </c>
      <c r="J412" s="3">
        <v>14933.336608889989</v>
      </c>
      <c r="K412" s="3">
        <v>7956.933623361896</v>
      </c>
    </row>
    <row r="413" spans="1:11" x14ac:dyDescent="0.3">
      <c r="A413" t="s">
        <v>489</v>
      </c>
      <c r="B413" s="2">
        <v>44774</v>
      </c>
      <c r="C413">
        <v>2022</v>
      </c>
      <c r="D413">
        <v>8</v>
      </c>
      <c r="E413" t="s">
        <v>54</v>
      </c>
      <c r="F413" t="s">
        <v>48</v>
      </c>
      <c r="G413" t="s">
        <v>29</v>
      </c>
      <c r="H413" s="3">
        <v>70360.065698935359</v>
      </c>
      <c r="I413">
        <v>16</v>
      </c>
      <c r="J413" s="3">
        <v>45201.198941362098</v>
      </c>
      <c r="K413" s="3">
        <v>25158.866757573251</v>
      </c>
    </row>
    <row r="414" spans="1:11" x14ac:dyDescent="0.3">
      <c r="A414" t="s">
        <v>490</v>
      </c>
      <c r="B414" s="2">
        <v>44774</v>
      </c>
      <c r="C414">
        <v>2022</v>
      </c>
      <c r="D414">
        <v>8</v>
      </c>
      <c r="E414" t="s">
        <v>58</v>
      </c>
      <c r="F414" t="s">
        <v>67</v>
      </c>
      <c r="G414" t="s">
        <v>29</v>
      </c>
      <c r="H414" s="3">
        <v>18478.552625413799</v>
      </c>
      <c r="I414">
        <v>4</v>
      </c>
      <c r="J414" s="3">
        <v>11870.87784500932</v>
      </c>
      <c r="K414" s="3">
        <v>6607.6747804044826</v>
      </c>
    </row>
    <row r="415" spans="1:11" x14ac:dyDescent="0.3">
      <c r="A415" t="s">
        <v>491</v>
      </c>
      <c r="B415" s="2">
        <v>44774</v>
      </c>
      <c r="C415">
        <v>2022</v>
      </c>
      <c r="D415">
        <v>8</v>
      </c>
      <c r="E415" t="s">
        <v>58</v>
      </c>
      <c r="F415" t="s">
        <v>48</v>
      </c>
      <c r="G415" t="s">
        <v>29</v>
      </c>
      <c r="H415" s="3">
        <v>43013.497752128431</v>
      </c>
      <c r="I415">
        <v>10</v>
      </c>
      <c r="J415" s="3">
        <v>26987.721374802852</v>
      </c>
      <c r="K415" s="3">
        <v>16025.776377325579</v>
      </c>
    </row>
    <row r="416" spans="1:11" x14ac:dyDescent="0.3">
      <c r="A416" t="s">
        <v>492</v>
      </c>
      <c r="B416" s="2">
        <v>44774</v>
      </c>
      <c r="C416">
        <v>2022</v>
      </c>
      <c r="D416">
        <v>8</v>
      </c>
      <c r="E416" t="s">
        <v>62</v>
      </c>
      <c r="F416" t="s">
        <v>67</v>
      </c>
      <c r="G416" t="s">
        <v>29</v>
      </c>
      <c r="H416" s="3">
        <v>14229.20120455462</v>
      </c>
      <c r="I416">
        <v>3</v>
      </c>
      <c r="J416" s="3">
        <v>9145.0212323450141</v>
      </c>
      <c r="K416" s="3">
        <v>5084.1799722096039</v>
      </c>
    </row>
    <row r="417" spans="1:11" x14ac:dyDescent="0.3">
      <c r="A417" t="s">
        <v>493</v>
      </c>
      <c r="B417" s="2">
        <v>44774</v>
      </c>
      <c r="C417">
        <v>2022</v>
      </c>
      <c r="D417">
        <v>8</v>
      </c>
      <c r="E417" t="s">
        <v>62</v>
      </c>
      <c r="F417" t="s">
        <v>48</v>
      </c>
      <c r="G417" t="s">
        <v>29</v>
      </c>
      <c r="H417" s="3">
        <v>37276.523545980846</v>
      </c>
      <c r="I417">
        <v>9</v>
      </c>
      <c r="J417" s="3">
        <v>24301.620929310469</v>
      </c>
      <c r="K417" s="3">
        <v>12974.90261667039</v>
      </c>
    </row>
    <row r="418" spans="1:11" x14ac:dyDescent="0.3">
      <c r="A418" t="s">
        <v>494</v>
      </c>
      <c r="B418" s="2">
        <v>44774</v>
      </c>
      <c r="C418">
        <v>2022</v>
      </c>
      <c r="D418">
        <v>8</v>
      </c>
      <c r="E418" t="s">
        <v>50</v>
      </c>
      <c r="F418" t="s">
        <v>67</v>
      </c>
      <c r="G418" t="s">
        <v>34</v>
      </c>
      <c r="H418" s="3">
        <v>35418.373942957391</v>
      </c>
      <c r="I418">
        <v>42</v>
      </c>
      <c r="J418" s="3">
        <v>16744.972141435199</v>
      </c>
      <c r="K418" s="3">
        <v>18673.401801522192</v>
      </c>
    </row>
    <row r="419" spans="1:11" x14ac:dyDescent="0.3">
      <c r="A419" t="s">
        <v>495</v>
      </c>
      <c r="B419" s="2">
        <v>44774</v>
      </c>
      <c r="C419">
        <v>2022</v>
      </c>
      <c r="D419">
        <v>8</v>
      </c>
      <c r="E419" t="s">
        <v>50</v>
      </c>
      <c r="F419" t="s">
        <v>48</v>
      </c>
      <c r="G419" t="s">
        <v>34</v>
      </c>
      <c r="H419" s="3">
        <v>73165.920484757648</v>
      </c>
      <c r="I419">
        <v>86</v>
      </c>
      <c r="J419" s="3">
        <v>36020.14192730192</v>
      </c>
      <c r="K419" s="3">
        <v>37145.778557455727</v>
      </c>
    </row>
    <row r="420" spans="1:11" x14ac:dyDescent="0.3">
      <c r="A420" t="s">
        <v>496</v>
      </c>
      <c r="B420" s="2">
        <v>44774</v>
      </c>
      <c r="C420">
        <v>2022</v>
      </c>
      <c r="D420">
        <v>8</v>
      </c>
      <c r="E420" t="s">
        <v>54</v>
      </c>
      <c r="F420" t="s">
        <v>67</v>
      </c>
      <c r="G420" t="s">
        <v>34</v>
      </c>
      <c r="H420" s="3">
        <v>25004.6973656673</v>
      </c>
      <c r="I420">
        <v>29</v>
      </c>
      <c r="J420" s="3">
        <v>11982.442512394009</v>
      </c>
      <c r="K420" s="3">
        <v>13022.25485327328</v>
      </c>
    </row>
    <row r="421" spans="1:11" x14ac:dyDescent="0.3">
      <c r="A421" t="s">
        <v>497</v>
      </c>
      <c r="B421" s="2">
        <v>44774</v>
      </c>
      <c r="C421">
        <v>2022</v>
      </c>
      <c r="D421">
        <v>8</v>
      </c>
      <c r="E421" t="s">
        <v>54</v>
      </c>
      <c r="F421" t="s">
        <v>48</v>
      </c>
      <c r="G421" t="s">
        <v>34</v>
      </c>
      <c r="H421" s="3">
        <v>64913.981484626383</v>
      </c>
      <c r="I421">
        <v>76</v>
      </c>
      <c r="J421" s="3">
        <v>30660.799545217469</v>
      </c>
      <c r="K421" s="3">
        <v>34253.181939408911</v>
      </c>
    </row>
    <row r="422" spans="1:11" x14ac:dyDescent="0.3">
      <c r="A422" t="s">
        <v>498</v>
      </c>
      <c r="B422" s="2">
        <v>44774</v>
      </c>
      <c r="C422">
        <v>2022</v>
      </c>
      <c r="D422">
        <v>8</v>
      </c>
      <c r="E422" t="s">
        <v>58</v>
      </c>
      <c r="F422" t="s">
        <v>67</v>
      </c>
      <c r="G422" t="s">
        <v>34</v>
      </c>
      <c r="H422" s="3">
        <v>14760.19003804358</v>
      </c>
      <c r="I422">
        <v>17</v>
      </c>
      <c r="J422" s="3">
        <v>7212.1172835958178</v>
      </c>
      <c r="K422" s="3">
        <v>7548.0727544477641</v>
      </c>
    </row>
    <row r="423" spans="1:11" x14ac:dyDescent="0.3">
      <c r="A423" t="s">
        <v>499</v>
      </c>
      <c r="B423" s="2">
        <v>44774</v>
      </c>
      <c r="C423">
        <v>2022</v>
      </c>
      <c r="D423">
        <v>8</v>
      </c>
      <c r="E423" t="s">
        <v>58</v>
      </c>
      <c r="F423" t="s">
        <v>48</v>
      </c>
      <c r="G423" t="s">
        <v>34</v>
      </c>
      <c r="H423" s="3">
        <v>42918.588384652707</v>
      </c>
      <c r="I423">
        <v>50</v>
      </c>
      <c r="J423" s="3">
        <v>20494.574360192331</v>
      </c>
      <c r="K423" s="3">
        <v>22424.014024460379</v>
      </c>
    </row>
    <row r="424" spans="1:11" x14ac:dyDescent="0.3">
      <c r="A424" t="s">
        <v>500</v>
      </c>
      <c r="B424" s="2">
        <v>44774</v>
      </c>
      <c r="C424">
        <v>2022</v>
      </c>
      <c r="D424">
        <v>8</v>
      </c>
      <c r="E424" t="s">
        <v>62</v>
      </c>
      <c r="F424" t="s">
        <v>67</v>
      </c>
      <c r="G424" t="s">
        <v>34</v>
      </c>
      <c r="H424" s="3">
        <v>12109.50841869087</v>
      </c>
      <c r="I424">
        <v>14</v>
      </c>
      <c r="J424" s="3">
        <v>5892.0291615961332</v>
      </c>
      <c r="K424" s="3">
        <v>6217.4792570947329</v>
      </c>
    </row>
    <row r="425" spans="1:11" x14ac:dyDescent="0.3">
      <c r="A425" t="s">
        <v>501</v>
      </c>
      <c r="B425" s="2">
        <v>44774</v>
      </c>
      <c r="C425">
        <v>2022</v>
      </c>
      <c r="D425">
        <v>8</v>
      </c>
      <c r="E425" t="s">
        <v>62</v>
      </c>
      <c r="F425" t="s">
        <v>48</v>
      </c>
      <c r="G425" t="s">
        <v>34</v>
      </c>
      <c r="H425" s="3">
        <v>32965.104714305628</v>
      </c>
      <c r="I425">
        <v>39</v>
      </c>
      <c r="J425" s="3">
        <v>15740.152005484289</v>
      </c>
      <c r="K425" s="3">
        <v>17224.95270882134</v>
      </c>
    </row>
    <row r="426" spans="1:11" x14ac:dyDescent="0.3">
      <c r="A426" t="s">
        <v>502</v>
      </c>
      <c r="B426" s="2">
        <v>44774</v>
      </c>
      <c r="C426">
        <v>2022</v>
      </c>
      <c r="D426">
        <v>8</v>
      </c>
      <c r="E426" t="s">
        <v>50</v>
      </c>
      <c r="F426" t="s">
        <v>67</v>
      </c>
      <c r="G426" t="s">
        <v>37</v>
      </c>
      <c r="H426" s="3">
        <v>21940.042139105451</v>
      </c>
      <c r="I426">
        <v>30</v>
      </c>
      <c r="J426" s="3">
        <v>12054.028554218339</v>
      </c>
      <c r="K426" s="3">
        <v>9886.0135848871087</v>
      </c>
    </row>
    <row r="427" spans="1:11" x14ac:dyDescent="0.3">
      <c r="A427" t="s">
        <v>503</v>
      </c>
      <c r="B427" s="2">
        <v>44774</v>
      </c>
      <c r="C427">
        <v>2022</v>
      </c>
      <c r="D427">
        <v>8</v>
      </c>
      <c r="E427" t="s">
        <v>50</v>
      </c>
      <c r="F427" t="s">
        <v>48</v>
      </c>
      <c r="G427" t="s">
        <v>37</v>
      </c>
      <c r="H427" s="3">
        <v>61236.506394146592</v>
      </c>
      <c r="I427">
        <v>85</v>
      </c>
      <c r="J427" s="3">
        <v>33979.295152605897</v>
      </c>
      <c r="K427" s="3">
        <v>27257.211241540688</v>
      </c>
    </row>
    <row r="428" spans="1:11" x14ac:dyDescent="0.3">
      <c r="A428" t="s">
        <v>504</v>
      </c>
      <c r="B428" s="2">
        <v>44774</v>
      </c>
      <c r="C428">
        <v>2022</v>
      </c>
      <c r="D428">
        <v>8</v>
      </c>
      <c r="E428" t="s">
        <v>54</v>
      </c>
      <c r="F428" t="s">
        <v>67</v>
      </c>
      <c r="G428" t="s">
        <v>37</v>
      </c>
      <c r="H428" s="3">
        <v>21288.950617762559</v>
      </c>
      <c r="I428">
        <v>30</v>
      </c>
      <c r="J428" s="3">
        <v>11770.23248139888</v>
      </c>
      <c r="K428" s="3">
        <v>9518.718136363681</v>
      </c>
    </row>
    <row r="429" spans="1:11" x14ac:dyDescent="0.3">
      <c r="A429" t="s">
        <v>505</v>
      </c>
      <c r="B429" s="2">
        <v>44774</v>
      </c>
      <c r="C429">
        <v>2022</v>
      </c>
      <c r="D429">
        <v>8</v>
      </c>
      <c r="E429" t="s">
        <v>54</v>
      </c>
      <c r="F429" t="s">
        <v>48</v>
      </c>
      <c r="G429" t="s">
        <v>37</v>
      </c>
      <c r="H429" s="3">
        <v>51313.930867812349</v>
      </c>
      <c r="I429">
        <v>71</v>
      </c>
      <c r="J429" s="3">
        <v>27208.916037013219</v>
      </c>
      <c r="K429" s="3">
        <v>24105.014830799129</v>
      </c>
    </row>
    <row r="430" spans="1:11" x14ac:dyDescent="0.3">
      <c r="A430" t="s">
        <v>506</v>
      </c>
      <c r="B430" s="2">
        <v>44774</v>
      </c>
      <c r="C430">
        <v>2022</v>
      </c>
      <c r="D430">
        <v>8</v>
      </c>
      <c r="E430" t="s">
        <v>58</v>
      </c>
      <c r="F430" t="s">
        <v>67</v>
      </c>
      <c r="G430" t="s">
        <v>37</v>
      </c>
      <c r="H430" s="3">
        <v>14283.724350554619</v>
      </c>
      <c r="I430">
        <v>20</v>
      </c>
      <c r="J430" s="3">
        <v>7697.4945813234408</v>
      </c>
      <c r="K430" s="3">
        <v>6586.2297692311822</v>
      </c>
    </row>
    <row r="431" spans="1:11" x14ac:dyDescent="0.3">
      <c r="A431" t="s">
        <v>507</v>
      </c>
      <c r="B431" s="2">
        <v>44774</v>
      </c>
      <c r="C431">
        <v>2022</v>
      </c>
      <c r="D431">
        <v>8</v>
      </c>
      <c r="E431" t="s">
        <v>58</v>
      </c>
      <c r="F431" t="s">
        <v>48</v>
      </c>
      <c r="G431" t="s">
        <v>37</v>
      </c>
      <c r="H431" s="3">
        <v>32982.205349855962</v>
      </c>
      <c r="I431">
        <v>46</v>
      </c>
      <c r="J431" s="3">
        <v>18443.687453049301</v>
      </c>
      <c r="K431" s="3">
        <v>14538.517896806659</v>
      </c>
    </row>
    <row r="432" spans="1:11" x14ac:dyDescent="0.3">
      <c r="A432" t="s">
        <v>508</v>
      </c>
      <c r="B432" s="2">
        <v>44774</v>
      </c>
      <c r="C432">
        <v>2022</v>
      </c>
      <c r="D432">
        <v>8</v>
      </c>
      <c r="E432" t="s">
        <v>62</v>
      </c>
      <c r="F432" t="s">
        <v>67</v>
      </c>
      <c r="G432" t="s">
        <v>37</v>
      </c>
      <c r="H432" s="3">
        <v>9496.1522762645509</v>
      </c>
      <c r="I432">
        <v>13</v>
      </c>
      <c r="J432" s="3">
        <v>5210.4613391676976</v>
      </c>
      <c r="K432" s="3">
        <v>4285.6909370968524</v>
      </c>
    </row>
    <row r="433" spans="1:11" x14ac:dyDescent="0.3">
      <c r="A433" t="s">
        <v>509</v>
      </c>
      <c r="B433" s="2">
        <v>44774</v>
      </c>
      <c r="C433">
        <v>2022</v>
      </c>
      <c r="D433">
        <v>8</v>
      </c>
      <c r="E433" t="s">
        <v>62</v>
      </c>
      <c r="F433" t="s">
        <v>48</v>
      </c>
      <c r="G433" t="s">
        <v>37</v>
      </c>
      <c r="H433" s="3">
        <v>26059.20968521211</v>
      </c>
      <c r="I433">
        <v>36</v>
      </c>
      <c r="J433" s="3">
        <v>14197.44989087413</v>
      </c>
      <c r="K433" s="3">
        <v>11861.759794337981</v>
      </c>
    </row>
    <row r="434" spans="1:11" x14ac:dyDescent="0.3">
      <c r="A434" t="s">
        <v>510</v>
      </c>
      <c r="B434" s="2">
        <v>44774</v>
      </c>
      <c r="C434">
        <v>2022</v>
      </c>
      <c r="D434">
        <v>8</v>
      </c>
      <c r="E434" t="s">
        <v>50</v>
      </c>
      <c r="F434" t="s">
        <v>67</v>
      </c>
      <c r="G434" t="s">
        <v>40</v>
      </c>
      <c r="H434" s="3">
        <v>22211.719939992719</v>
      </c>
      <c r="I434">
        <v>4</v>
      </c>
      <c r="J434" s="3">
        <v>14951.297540530421</v>
      </c>
      <c r="K434" s="3">
        <v>7260.4223994623007</v>
      </c>
    </row>
    <row r="435" spans="1:11" x14ac:dyDescent="0.3">
      <c r="A435" t="s">
        <v>511</v>
      </c>
      <c r="B435" s="2">
        <v>44774</v>
      </c>
      <c r="C435">
        <v>2022</v>
      </c>
      <c r="D435">
        <v>8</v>
      </c>
      <c r="E435" t="s">
        <v>50</v>
      </c>
      <c r="F435" t="s">
        <v>48</v>
      </c>
      <c r="G435" t="s">
        <v>40</v>
      </c>
      <c r="H435" s="3">
        <v>61783.175314580913</v>
      </c>
      <c r="I435">
        <v>11</v>
      </c>
      <c r="J435" s="3">
        <v>41801.858499748967</v>
      </c>
      <c r="K435" s="3">
        <v>19981.316814831949</v>
      </c>
    </row>
    <row r="436" spans="1:11" x14ac:dyDescent="0.3">
      <c r="A436" t="s">
        <v>512</v>
      </c>
      <c r="B436" s="2">
        <v>44774</v>
      </c>
      <c r="C436">
        <v>2022</v>
      </c>
      <c r="D436">
        <v>8</v>
      </c>
      <c r="E436" t="s">
        <v>54</v>
      </c>
      <c r="F436" t="s">
        <v>67</v>
      </c>
      <c r="G436" t="s">
        <v>40</v>
      </c>
      <c r="H436" s="3">
        <v>17604.47193798974</v>
      </c>
      <c r="I436">
        <v>3</v>
      </c>
      <c r="J436" s="3">
        <v>11705.024335238189</v>
      </c>
      <c r="K436" s="3">
        <v>5899.447602751552</v>
      </c>
    </row>
    <row r="437" spans="1:11" x14ac:dyDescent="0.3">
      <c r="A437" t="s">
        <v>513</v>
      </c>
      <c r="B437" s="2">
        <v>44774</v>
      </c>
      <c r="C437">
        <v>2022</v>
      </c>
      <c r="D437">
        <v>8</v>
      </c>
      <c r="E437" t="s">
        <v>54</v>
      </c>
      <c r="F437" t="s">
        <v>48</v>
      </c>
      <c r="G437" t="s">
        <v>40</v>
      </c>
      <c r="H437" s="3">
        <v>48363.054835557501</v>
      </c>
      <c r="I437">
        <v>9</v>
      </c>
      <c r="J437" s="3">
        <v>33309.671634226521</v>
      </c>
      <c r="K437" s="3">
        <v>15053.38320133098</v>
      </c>
    </row>
    <row r="438" spans="1:11" x14ac:dyDescent="0.3">
      <c r="A438" t="s">
        <v>514</v>
      </c>
      <c r="B438" s="2">
        <v>44774</v>
      </c>
      <c r="C438">
        <v>2022</v>
      </c>
      <c r="D438">
        <v>8</v>
      </c>
      <c r="E438" t="s">
        <v>58</v>
      </c>
      <c r="F438" t="s">
        <v>67</v>
      </c>
      <c r="G438" t="s">
        <v>40</v>
      </c>
      <c r="H438" s="3">
        <v>12808.821721146031</v>
      </c>
      <c r="I438">
        <v>2</v>
      </c>
      <c r="J438" s="3">
        <v>8742.8842065020235</v>
      </c>
      <c r="K438" s="3">
        <v>4065.9375146440052</v>
      </c>
    </row>
    <row r="439" spans="1:11" x14ac:dyDescent="0.3">
      <c r="A439" t="s">
        <v>515</v>
      </c>
      <c r="B439" s="2">
        <v>44774</v>
      </c>
      <c r="C439">
        <v>2022</v>
      </c>
      <c r="D439">
        <v>8</v>
      </c>
      <c r="E439" t="s">
        <v>58</v>
      </c>
      <c r="F439" t="s">
        <v>48</v>
      </c>
      <c r="G439" t="s">
        <v>40</v>
      </c>
      <c r="H439" s="3">
        <v>30774.51098649589</v>
      </c>
      <c r="I439">
        <v>6</v>
      </c>
      <c r="J439" s="3">
        <v>20864.963911374041</v>
      </c>
      <c r="K439" s="3">
        <v>9909.5470751218563</v>
      </c>
    </row>
    <row r="440" spans="1:11" x14ac:dyDescent="0.3">
      <c r="A440" t="s">
        <v>516</v>
      </c>
      <c r="B440" s="2">
        <v>44774</v>
      </c>
      <c r="C440">
        <v>2022</v>
      </c>
      <c r="D440">
        <v>8</v>
      </c>
      <c r="E440" t="s">
        <v>62</v>
      </c>
      <c r="F440" t="s">
        <v>67</v>
      </c>
      <c r="G440" t="s">
        <v>40</v>
      </c>
      <c r="H440" s="3">
        <v>9491.9882218071525</v>
      </c>
      <c r="I440">
        <v>2</v>
      </c>
      <c r="J440" s="3">
        <v>6541.4407688203391</v>
      </c>
      <c r="K440" s="3">
        <v>2950.5474529868129</v>
      </c>
    </row>
    <row r="441" spans="1:11" x14ac:dyDescent="0.3">
      <c r="A441" t="s">
        <v>517</v>
      </c>
      <c r="B441" s="2">
        <v>44774</v>
      </c>
      <c r="C441">
        <v>2022</v>
      </c>
      <c r="D441">
        <v>8</v>
      </c>
      <c r="E441" t="s">
        <v>62</v>
      </c>
      <c r="F441" t="s">
        <v>48</v>
      </c>
      <c r="G441" t="s">
        <v>40</v>
      </c>
      <c r="H441" s="3">
        <v>27153.574870267639</v>
      </c>
      <c r="I441">
        <v>5</v>
      </c>
      <c r="J441" s="3">
        <v>18858.714809375619</v>
      </c>
      <c r="K441" s="3">
        <v>8294.8600608920242</v>
      </c>
    </row>
    <row r="442" spans="1:11" x14ac:dyDescent="0.3">
      <c r="A442" t="s">
        <v>518</v>
      </c>
      <c r="B442" s="2">
        <v>44774</v>
      </c>
      <c r="C442">
        <v>2022</v>
      </c>
      <c r="D442">
        <v>8</v>
      </c>
      <c r="E442" t="s">
        <v>50</v>
      </c>
      <c r="F442" t="s">
        <v>67</v>
      </c>
      <c r="G442" t="s">
        <v>43</v>
      </c>
      <c r="H442" s="3">
        <v>45306.265311756863</v>
      </c>
      <c r="I442">
        <v>13</v>
      </c>
      <c r="J442" s="3">
        <v>27737.844030741169</v>
      </c>
      <c r="K442" s="3">
        <v>17568.421281015701</v>
      </c>
    </row>
    <row r="443" spans="1:11" x14ac:dyDescent="0.3">
      <c r="A443" t="s">
        <v>519</v>
      </c>
      <c r="B443" s="2">
        <v>44774</v>
      </c>
      <c r="C443">
        <v>2022</v>
      </c>
      <c r="D443">
        <v>8</v>
      </c>
      <c r="E443" t="s">
        <v>50</v>
      </c>
      <c r="F443" t="s">
        <v>48</v>
      </c>
      <c r="G443" t="s">
        <v>43</v>
      </c>
      <c r="H443" s="3">
        <v>120837.5135904748</v>
      </c>
      <c r="I443">
        <v>35</v>
      </c>
      <c r="J443" s="3">
        <v>69353.941501172914</v>
      </c>
      <c r="K443" s="3">
        <v>51483.572089301859</v>
      </c>
    </row>
    <row r="444" spans="1:11" x14ac:dyDescent="0.3">
      <c r="A444" t="s">
        <v>520</v>
      </c>
      <c r="B444" s="2">
        <v>44774</v>
      </c>
      <c r="C444">
        <v>2022</v>
      </c>
      <c r="D444">
        <v>8</v>
      </c>
      <c r="E444" t="s">
        <v>54</v>
      </c>
      <c r="F444" t="s">
        <v>67</v>
      </c>
      <c r="G444" t="s">
        <v>43</v>
      </c>
      <c r="H444" s="3">
        <v>35814.691275483106</v>
      </c>
      <c r="I444">
        <v>10</v>
      </c>
      <c r="J444" s="3">
        <v>21571.640775864202</v>
      </c>
      <c r="K444" s="3">
        <v>14243.05049961891</v>
      </c>
    </row>
    <row r="445" spans="1:11" x14ac:dyDescent="0.3">
      <c r="A445" t="s">
        <v>521</v>
      </c>
      <c r="B445" s="2">
        <v>44774</v>
      </c>
      <c r="C445">
        <v>2022</v>
      </c>
      <c r="D445">
        <v>8</v>
      </c>
      <c r="E445" t="s">
        <v>54</v>
      </c>
      <c r="F445" t="s">
        <v>48</v>
      </c>
      <c r="G445" t="s">
        <v>43</v>
      </c>
      <c r="H445" s="3">
        <v>98302.567211277419</v>
      </c>
      <c r="I445">
        <v>28</v>
      </c>
      <c r="J445" s="3">
        <v>59014.406667299663</v>
      </c>
      <c r="K445" s="3">
        <v>39288.160543977763</v>
      </c>
    </row>
    <row r="446" spans="1:11" x14ac:dyDescent="0.3">
      <c r="A446" t="s">
        <v>522</v>
      </c>
      <c r="B446" s="2">
        <v>44774</v>
      </c>
      <c r="C446">
        <v>2022</v>
      </c>
      <c r="D446">
        <v>8</v>
      </c>
      <c r="E446" t="s">
        <v>58</v>
      </c>
      <c r="F446" t="s">
        <v>67</v>
      </c>
      <c r="G446" t="s">
        <v>43</v>
      </c>
      <c r="H446" s="3">
        <v>25312.47628344045</v>
      </c>
      <c r="I446">
        <v>7</v>
      </c>
      <c r="J446" s="3">
        <v>14724.92646712653</v>
      </c>
      <c r="K446" s="3">
        <v>10587.54981631392</v>
      </c>
    </row>
    <row r="447" spans="1:11" x14ac:dyDescent="0.3">
      <c r="A447" t="s">
        <v>523</v>
      </c>
      <c r="B447" s="2">
        <v>44774</v>
      </c>
      <c r="C447">
        <v>2022</v>
      </c>
      <c r="D447">
        <v>8</v>
      </c>
      <c r="E447" t="s">
        <v>58</v>
      </c>
      <c r="F447" t="s">
        <v>48</v>
      </c>
      <c r="G447" t="s">
        <v>43</v>
      </c>
      <c r="H447" s="3">
        <v>69300.959299098235</v>
      </c>
      <c r="I447">
        <v>20</v>
      </c>
      <c r="J447" s="3">
        <v>41037.142809539233</v>
      </c>
      <c r="K447" s="3">
        <v>28263.816489559009</v>
      </c>
    </row>
    <row r="448" spans="1:11" x14ac:dyDescent="0.3">
      <c r="A448" t="s">
        <v>524</v>
      </c>
      <c r="B448" s="2">
        <v>44774</v>
      </c>
      <c r="C448">
        <v>2022</v>
      </c>
      <c r="D448">
        <v>8</v>
      </c>
      <c r="E448" t="s">
        <v>62</v>
      </c>
      <c r="F448" t="s">
        <v>67</v>
      </c>
      <c r="G448" t="s">
        <v>43</v>
      </c>
      <c r="H448" s="3">
        <v>19969.00732879229</v>
      </c>
      <c r="I448">
        <v>6</v>
      </c>
      <c r="J448" s="3">
        <v>11684.663648228079</v>
      </c>
      <c r="K448" s="3">
        <v>8284.3436805642068</v>
      </c>
    </row>
    <row r="449" spans="1:11" x14ac:dyDescent="0.3">
      <c r="A449" t="s">
        <v>525</v>
      </c>
      <c r="B449" s="2">
        <v>44774</v>
      </c>
      <c r="C449">
        <v>2022</v>
      </c>
      <c r="D449">
        <v>8</v>
      </c>
      <c r="E449" t="s">
        <v>62</v>
      </c>
      <c r="F449" t="s">
        <v>48</v>
      </c>
      <c r="G449" t="s">
        <v>43</v>
      </c>
      <c r="H449" s="3">
        <v>51541.333720844268</v>
      </c>
      <c r="I449">
        <v>15</v>
      </c>
      <c r="J449" s="3">
        <v>30511.027061209981</v>
      </c>
      <c r="K449" s="3">
        <v>21030.306659634291</v>
      </c>
    </row>
    <row r="450" spans="1:11" x14ac:dyDescent="0.3">
      <c r="A450" t="s">
        <v>526</v>
      </c>
      <c r="B450" s="2">
        <v>44805</v>
      </c>
      <c r="C450">
        <v>2022</v>
      </c>
      <c r="D450">
        <v>9</v>
      </c>
      <c r="E450" t="s">
        <v>50</v>
      </c>
      <c r="F450" t="s">
        <v>67</v>
      </c>
      <c r="G450" t="s">
        <v>19</v>
      </c>
      <c r="H450" s="3">
        <v>47540.486019188</v>
      </c>
      <c r="I450">
        <v>9</v>
      </c>
      <c r="J450" s="3">
        <v>30275.773543674281</v>
      </c>
      <c r="K450" s="3">
        <v>17264.712475513719</v>
      </c>
    </row>
    <row r="451" spans="1:11" x14ac:dyDescent="0.3">
      <c r="A451" t="s">
        <v>527</v>
      </c>
      <c r="B451" s="2">
        <v>44805</v>
      </c>
      <c r="C451">
        <v>2022</v>
      </c>
      <c r="D451">
        <v>9</v>
      </c>
      <c r="E451" t="s">
        <v>50</v>
      </c>
      <c r="F451" t="s">
        <v>48</v>
      </c>
      <c r="G451" t="s">
        <v>19</v>
      </c>
      <c r="H451" s="3">
        <v>115643.3409550714</v>
      </c>
      <c r="I451">
        <v>22</v>
      </c>
      <c r="J451" s="3">
        <v>72480.454493123121</v>
      </c>
      <c r="K451" s="3">
        <v>43162.886461948307</v>
      </c>
    </row>
    <row r="452" spans="1:11" x14ac:dyDescent="0.3">
      <c r="A452" t="s">
        <v>528</v>
      </c>
      <c r="B452" s="2">
        <v>44805</v>
      </c>
      <c r="C452">
        <v>2022</v>
      </c>
      <c r="D452">
        <v>9</v>
      </c>
      <c r="E452" t="s">
        <v>54</v>
      </c>
      <c r="F452" t="s">
        <v>67</v>
      </c>
      <c r="G452" t="s">
        <v>19</v>
      </c>
      <c r="H452" s="3">
        <v>36222.198671743237</v>
      </c>
      <c r="I452">
        <v>7</v>
      </c>
      <c r="J452" s="3">
        <v>22663.362891602541</v>
      </c>
      <c r="K452" s="3">
        <v>13558.8357801407</v>
      </c>
    </row>
    <row r="453" spans="1:11" x14ac:dyDescent="0.3">
      <c r="A453" t="s">
        <v>529</v>
      </c>
      <c r="B453" s="2">
        <v>44805</v>
      </c>
      <c r="C453">
        <v>2022</v>
      </c>
      <c r="D453">
        <v>9</v>
      </c>
      <c r="E453" t="s">
        <v>54</v>
      </c>
      <c r="F453" t="s">
        <v>48</v>
      </c>
      <c r="G453" t="s">
        <v>19</v>
      </c>
      <c r="H453" s="3">
        <v>100291.9080683826</v>
      </c>
      <c r="I453">
        <v>19</v>
      </c>
      <c r="J453" s="3">
        <v>61699.355985219481</v>
      </c>
      <c r="K453" s="3">
        <v>38592.552083163078</v>
      </c>
    </row>
    <row r="454" spans="1:11" x14ac:dyDescent="0.3">
      <c r="A454" t="s">
        <v>530</v>
      </c>
      <c r="B454" s="2">
        <v>44805</v>
      </c>
      <c r="C454">
        <v>2022</v>
      </c>
      <c r="D454">
        <v>9</v>
      </c>
      <c r="E454" t="s">
        <v>58</v>
      </c>
      <c r="F454" t="s">
        <v>67</v>
      </c>
      <c r="G454" t="s">
        <v>19</v>
      </c>
      <c r="H454" s="3">
        <v>27043.670248411221</v>
      </c>
      <c r="I454">
        <v>5</v>
      </c>
      <c r="J454" s="3">
        <v>16319.176329924891</v>
      </c>
      <c r="K454" s="3">
        <v>10724.493918486331</v>
      </c>
    </row>
    <row r="455" spans="1:11" x14ac:dyDescent="0.3">
      <c r="A455" t="s">
        <v>531</v>
      </c>
      <c r="B455" s="2">
        <v>44805</v>
      </c>
      <c r="C455">
        <v>2022</v>
      </c>
      <c r="D455">
        <v>9</v>
      </c>
      <c r="E455" t="s">
        <v>58</v>
      </c>
      <c r="F455" t="s">
        <v>48</v>
      </c>
      <c r="G455" t="s">
        <v>19</v>
      </c>
      <c r="H455" s="3">
        <v>65803.500193509288</v>
      </c>
      <c r="I455">
        <v>13</v>
      </c>
      <c r="J455" s="3">
        <v>40645.077932647539</v>
      </c>
      <c r="K455" s="3">
        <v>25158.422260861749</v>
      </c>
    </row>
    <row r="456" spans="1:11" x14ac:dyDescent="0.3">
      <c r="A456" t="s">
        <v>532</v>
      </c>
      <c r="B456" s="2">
        <v>44805</v>
      </c>
      <c r="C456">
        <v>2022</v>
      </c>
      <c r="D456">
        <v>9</v>
      </c>
      <c r="E456" t="s">
        <v>62</v>
      </c>
      <c r="F456" t="s">
        <v>67</v>
      </c>
      <c r="G456" t="s">
        <v>19</v>
      </c>
      <c r="H456" s="3">
        <v>18827.596977318532</v>
      </c>
      <c r="I456">
        <v>4</v>
      </c>
      <c r="J456" s="3">
        <v>11926.637783607939</v>
      </c>
      <c r="K456" s="3">
        <v>6900.9591937105888</v>
      </c>
    </row>
    <row r="457" spans="1:11" x14ac:dyDescent="0.3">
      <c r="A457" t="s">
        <v>533</v>
      </c>
      <c r="B457" s="2">
        <v>44805</v>
      </c>
      <c r="C457">
        <v>2022</v>
      </c>
      <c r="D457">
        <v>9</v>
      </c>
      <c r="E457" t="s">
        <v>62</v>
      </c>
      <c r="F457" t="s">
        <v>48</v>
      </c>
      <c r="G457" t="s">
        <v>19</v>
      </c>
      <c r="H457" s="3">
        <v>46511.881256161141</v>
      </c>
      <c r="I457">
        <v>9</v>
      </c>
      <c r="J457" s="3">
        <v>28044.655396776121</v>
      </c>
      <c r="K457" s="3">
        <v>18467.22585938502</v>
      </c>
    </row>
    <row r="458" spans="1:11" x14ac:dyDescent="0.3">
      <c r="A458" t="s">
        <v>534</v>
      </c>
      <c r="B458" s="2">
        <v>44805</v>
      </c>
      <c r="C458">
        <v>2022</v>
      </c>
      <c r="D458">
        <v>9</v>
      </c>
      <c r="E458" t="s">
        <v>50</v>
      </c>
      <c r="F458" t="s">
        <v>67</v>
      </c>
      <c r="G458" t="s">
        <v>24</v>
      </c>
      <c r="H458" s="3">
        <v>48455.426797234169</v>
      </c>
      <c r="I458">
        <v>8</v>
      </c>
      <c r="J458" s="3">
        <v>31373.21899512114</v>
      </c>
      <c r="K458" s="3">
        <v>17082.207802113029</v>
      </c>
    </row>
    <row r="459" spans="1:11" x14ac:dyDescent="0.3">
      <c r="A459" t="s">
        <v>535</v>
      </c>
      <c r="B459" s="2">
        <v>44805</v>
      </c>
      <c r="C459">
        <v>2022</v>
      </c>
      <c r="D459">
        <v>9</v>
      </c>
      <c r="E459" t="s">
        <v>50</v>
      </c>
      <c r="F459" t="s">
        <v>48</v>
      </c>
      <c r="G459" t="s">
        <v>24</v>
      </c>
      <c r="H459" s="3">
        <v>131977.36425975029</v>
      </c>
      <c r="I459">
        <v>22</v>
      </c>
      <c r="J459" s="3">
        <v>87303.034469703503</v>
      </c>
      <c r="K459" s="3">
        <v>44674.329790046817</v>
      </c>
    </row>
    <row r="460" spans="1:11" x14ac:dyDescent="0.3">
      <c r="A460" t="s">
        <v>536</v>
      </c>
      <c r="B460" s="2">
        <v>44805</v>
      </c>
      <c r="C460">
        <v>2022</v>
      </c>
      <c r="D460">
        <v>9</v>
      </c>
      <c r="E460" t="s">
        <v>54</v>
      </c>
      <c r="F460" t="s">
        <v>67</v>
      </c>
      <c r="G460" t="s">
        <v>24</v>
      </c>
      <c r="H460" s="3">
        <v>34121.025329741831</v>
      </c>
      <c r="I460">
        <v>6</v>
      </c>
      <c r="J460" s="3">
        <v>22120.73923907429</v>
      </c>
      <c r="K460" s="3">
        <v>12000.286090667551</v>
      </c>
    </row>
    <row r="461" spans="1:11" x14ac:dyDescent="0.3">
      <c r="A461" t="s">
        <v>537</v>
      </c>
      <c r="B461" s="2">
        <v>44805</v>
      </c>
      <c r="C461">
        <v>2022</v>
      </c>
      <c r="D461">
        <v>9</v>
      </c>
      <c r="E461" t="s">
        <v>54</v>
      </c>
      <c r="F461" t="s">
        <v>48</v>
      </c>
      <c r="G461" t="s">
        <v>24</v>
      </c>
      <c r="H461" s="3">
        <v>99379.675260266798</v>
      </c>
      <c r="I461">
        <v>16</v>
      </c>
      <c r="J461" s="3">
        <v>64654.908284787853</v>
      </c>
      <c r="K461" s="3">
        <v>34724.766975478953</v>
      </c>
    </row>
    <row r="462" spans="1:11" x14ac:dyDescent="0.3">
      <c r="A462" t="s">
        <v>538</v>
      </c>
      <c r="B462" s="2">
        <v>44805</v>
      </c>
      <c r="C462">
        <v>2022</v>
      </c>
      <c r="D462">
        <v>9</v>
      </c>
      <c r="E462" t="s">
        <v>58</v>
      </c>
      <c r="F462" t="s">
        <v>67</v>
      </c>
      <c r="G462" t="s">
        <v>24</v>
      </c>
      <c r="H462" s="3">
        <v>27947.597144851421</v>
      </c>
      <c r="I462">
        <v>5</v>
      </c>
      <c r="J462" s="3">
        <v>18304.77199294429</v>
      </c>
      <c r="K462" s="3">
        <v>9642.8251519071273</v>
      </c>
    </row>
    <row r="463" spans="1:11" x14ac:dyDescent="0.3">
      <c r="A463" t="s">
        <v>539</v>
      </c>
      <c r="B463" s="2">
        <v>44805</v>
      </c>
      <c r="C463">
        <v>2022</v>
      </c>
      <c r="D463">
        <v>9</v>
      </c>
      <c r="E463" t="s">
        <v>58</v>
      </c>
      <c r="F463" t="s">
        <v>48</v>
      </c>
      <c r="G463" t="s">
        <v>24</v>
      </c>
      <c r="H463" s="3">
        <v>70495.540973753057</v>
      </c>
      <c r="I463">
        <v>12</v>
      </c>
      <c r="J463" s="3">
        <v>45383.370183138919</v>
      </c>
      <c r="K463" s="3">
        <v>25112.170790614138</v>
      </c>
    </row>
    <row r="464" spans="1:11" x14ac:dyDescent="0.3">
      <c r="A464" t="s">
        <v>540</v>
      </c>
      <c r="B464" s="2">
        <v>44805</v>
      </c>
      <c r="C464">
        <v>2022</v>
      </c>
      <c r="D464">
        <v>9</v>
      </c>
      <c r="E464" t="s">
        <v>62</v>
      </c>
      <c r="F464" t="s">
        <v>67</v>
      </c>
      <c r="G464" t="s">
        <v>24</v>
      </c>
      <c r="H464" s="3">
        <v>20668.79640540557</v>
      </c>
      <c r="I464">
        <v>3</v>
      </c>
      <c r="J464" s="3">
        <v>13402.21458533925</v>
      </c>
      <c r="K464" s="3">
        <v>7266.5818200663234</v>
      </c>
    </row>
    <row r="465" spans="1:11" x14ac:dyDescent="0.3">
      <c r="A465" t="s">
        <v>541</v>
      </c>
      <c r="B465" s="2">
        <v>44805</v>
      </c>
      <c r="C465">
        <v>2022</v>
      </c>
      <c r="D465">
        <v>9</v>
      </c>
      <c r="E465" t="s">
        <v>62</v>
      </c>
      <c r="F465" t="s">
        <v>48</v>
      </c>
      <c r="G465" t="s">
        <v>24</v>
      </c>
      <c r="H465" s="3">
        <v>50706.560506758004</v>
      </c>
      <c r="I465">
        <v>8</v>
      </c>
      <c r="J465" s="3">
        <v>33890.070647929933</v>
      </c>
      <c r="K465" s="3">
        <v>16816.48985882807</v>
      </c>
    </row>
    <row r="466" spans="1:11" x14ac:dyDescent="0.3">
      <c r="A466" t="s">
        <v>542</v>
      </c>
      <c r="B466" s="2">
        <v>44805</v>
      </c>
      <c r="C466">
        <v>2022</v>
      </c>
      <c r="D466">
        <v>9</v>
      </c>
      <c r="E466" t="s">
        <v>50</v>
      </c>
      <c r="F466" t="s">
        <v>67</v>
      </c>
      <c r="G466" t="s">
        <v>29</v>
      </c>
      <c r="H466" s="3">
        <v>30815.45708681412</v>
      </c>
      <c r="I466">
        <v>7</v>
      </c>
      <c r="J466" s="3">
        <v>19257.784021271858</v>
      </c>
      <c r="K466" s="3">
        <v>11557.67306554226</v>
      </c>
    </row>
    <row r="467" spans="1:11" x14ac:dyDescent="0.3">
      <c r="A467" t="s">
        <v>543</v>
      </c>
      <c r="B467" s="2">
        <v>44805</v>
      </c>
      <c r="C467">
        <v>2022</v>
      </c>
      <c r="D467">
        <v>9</v>
      </c>
      <c r="E467" t="s">
        <v>50</v>
      </c>
      <c r="F467" t="s">
        <v>48</v>
      </c>
      <c r="G467" t="s">
        <v>29</v>
      </c>
      <c r="H467" s="3">
        <v>86875.018537836324</v>
      </c>
      <c r="I467">
        <v>20</v>
      </c>
      <c r="J467" s="3">
        <v>54000.861090777842</v>
      </c>
      <c r="K467" s="3">
        <v>32874.157447058482</v>
      </c>
    </row>
    <row r="468" spans="1:11" x14ac:dyDescent="0.3">
      <c r="A468" t="s">
        <v>544</v>
      </c>
      <c r="B468" s="2">
        <v>44805</v>
      </c>
      <c r="C468">
        <v>2022</v>
      </c>
      <c r="D468">
        <v>9</v>
      </c>
      <c r="E468" t="s">
        <v>54</v>
      </c>
      <c r="F468" t="s">
        <v>67</v>
      </c>
      <c r="G468" t="s">
        <v>29</v>
      </c>
      <c r="H468" s="3">
        <v>26066.272503478958</v>
      </c>
      <c r="I468">
        <v>6</v>
      </c>
      <c r="J468" s="3">
        <v>16493.228321964431</v>
      </c>
      <c r="K468" s="3">
        <v>9573.0441815145241</v>
      </c>
    </row>
    <row r="469" spans="1:11" x14ac:dyDescent="0.3">
      <c r="A469" t="s">
        <v>545</v>
      </c>
      <c r="B469" s="2">
        <v>44805</v>
      </c>
      <c r="C469">
        <v>2022</v>
      </c>
      <c r="D469">
        <v>9</v>
      </c>
      <c r="E469" t="s">
        <v>54</v>
      </c>
      <c r="F469" t="s">
        <v>48</v>
      </c>
      <c r="G469" t="s">
        <v>29</v>
      </c>
      <c r="H469" s="3">
        <v>66791.771371407784</v>
      </c>
      <c r="I469">
        <v>16</v>
      </c>
      <c r="J469" s="3">
        <v>43309.930402435872</v>
      </c>
      <c r="K469" s="3">
        <v>23481.840968971908</v>
      </c>
    </row>
    <row r="470" spans="1:11" x14ac:dyDescent="0.3">
      <c r="A470" t="s">
        <v>546</v>
      </c>
      <c r="B470" s="2">
        <v>44805</v>
      </c>
      <c r="C470">
        <v>2022</v>
      </c>
      <c r="D470">
        <v>9</v>
      </c>
      <c r="E470" t="s">
        <v>58</v>
      </c>
      <c r="F470" t="s">
        <v>67</v>
      </c>
      <c r="G470" t="s">
        <v>29</v>
      </c>
      <c r="H470" s="3">
        <v>17430.606303912489</v>
      </c>
      <c r="I470">
        <v>4</v>
      </c>
      <c r="J470" s="3">
        <v>11116.046020333581</v>
      </c>
      <c r="K470" s="3">
        <v>6314.5602835789086</v>
      </c>
    </row>
    <row r="471" spans="1:11" x14ac:dyDescent="0.3">
      <c r="A471" t="s">
        <v>547</v>
      </c>
      <c r="B471" s="2">
        <v>44805</v>
      </c>
      <c r="C471">
        <v>2022</v>
      </c>
      <c r="D471">
        <v>9</v>
      </c>
      <c r="E471" t="s">
        <v>58</v>
      </c>
      <c r="F471" t="s">
        <v>48</v>
      </c>
      <c r="G471" t="s">
        <v>29</v>
      </c>
      <c r="H471" s="3">
        <v>46131.003866737359</v>
      </c>
      <c r="I471">
        <v>11</v>
      </c>
      <c r="J471" s="3">
        <v>29276.950540505601</v>
      </c>
      <c r="K471" s="3">
        <v>16854.053326231759</v>
      </c>
    </row>
    <row r="472" spans="1:11" x14ac:dyDescent="0.3">
      <c r="A472" t="s">
        <v>548</v>
      </c>
      <c r="B472" s="2">
        <v>44805</v>
      </c>
      <c r="C472">
        <v>2022</v>
      </c>
      <c r="D472">
        <v>9</v>
      </c>
      <c r="E472" t="s">
        <v>62</v>
      </c>
      <c r="F472" t="s">
        <v>67</v>
      </c>
      <c r="G472" t="s">
        <v>29</v>
      </c>
      <c r="H472" s="3">
        <v>13806.79415756026</v>
      </c>
      <c r="I472">
        <v>3</v>
      </c>
      <c r="J472" s="3">
        <v>8843.4037169376079</v>
      </c>
      <c r="K472" s="3">
        <v>4963.3904406226557</v>
      </c>
    </row>
    <row r="473" spans="1:11" x14ac:dyDescent="0.3">
      <c r="A473" t="s">
        <v>549</v>
      </c>
      <c r="B473" s="2">
        <v>44805</v>
      </c>
      <c r="C473">
        <v>2022</v>
      </c>
      <c r="D473">
        <v>9</v>
      </c>
      <c r="E473" t="s">
        <v>62</v>
      </c>
      <c r="F473" t="s">
        <v>48</v>
      </c>
      <c r="G473" t="s">
        <v>29</v>
      </c>
      <c r="H473" s="3">
        <v>37075.704610898472</v>
      </c>
      <c r="I473">
        <v>9</v>
      </c>
      <c r="J473" s="3">
        <v>22982.838153458491</v>
      </c>
      <c r="K473" s="3">
        <v>14092.866457439981</v>
      </c>
    </row>
    <row r="474" spans="1:11" x14ac:dyDescent="0.3">
      <c r="A474" t="s">
        <v>550</v>
      </c>
      <c r="B474" s="2">
        <v>44805</v>
      </c>
      <c r="C474">
        <v>2022</v>
      </c>
      <c r="D474">
        <v>9</v>
      </c>
      <c r="E474" t="s">
        <v>50</v>
      </c>
      <c r="F474" t="s">
        <v>67</v>
      </c>
      <c r="G474" t="s">
        <v>34</v>
      </c>
      <c r="H474" s="3">
        <v>32076.124621079871</v>
      </c>
      <c r="I474">
        <v>38</v>
      </c>
      <c r="J474" s="3">
        <v>15533.64141345706</v>
      </c>
      <c r="K474" s="3">
        <v>16542.483207622809</v>
      </c>
    </row>
    <row r="475" spans="1:11" x14ac:dyDescent="0.3">
      <c r="A475" t="s">
        <v>551</v>
      </c>
      <c r="B475" s="2">
        <v>44805</v>
      </c>
      <c r="C475">
        <v>2022</v>
      </c>
      <c r="D475">
        <v>9</v>
      </c>
      <c r="E475" t="s">
        <v>50</v>
      </c>
      <c r="F475" t="s">
        <v>48</v>
      </c>
      <c r="G475" t="s">
        <v>34</v>
      </c>
      <c r="H475" s="3">
        <v>79319.783792759627</v>
      </c>
      <c r="I475">
        <v>93</v>
      </c>
      <c r="J475" s="3">
        <v>38336.27304046596</v>
      </c>
      <c r="K475" s="3">
        <v>40983.510752293667</v>
      </c>
    </row>
    <row r="476" spans="1:11" x14ac:dyDescent="0.3">
      <c r="A476" t="s">
        <v>552</v>
      </c>
      <c r="B476" s="2">
        <v>44805</v>
      </c>
      <c r="C476">
        <v>2022</v>
      </c>
      <c r="D476">
        <v>9</v>
      </c>
      <c r="E476" t="s">
        <v>54</v>
      </c>
      <c r="F476" t="s">
        <v>67</v>
      </c>
      <c r="G476" t="s">
        <v>34</v>
      </c>
      <c r="H476" s="3">
        <v>23841.608604593999</v>
      </c>
      <c r="I476">
        <v>28</v>
      </c>
      <c r="J476" s="3">
        <v>11359.658064341371</v>
      </c>
      <c r="K476" s="3">
        <v>12481.95054025263</v>
      </c>
    </row>
    <row r="477" spans="1:11" x14ac:dyDescent="0.3">
      <c r="A477" t="s">
        <v>553</v>
      </c>
      <c r="B477" s="2">
        <v>44805</v>
      </c>
      <c r="C477">
        <v>2022</v>
      </c>
      <c r="D477">
        <v>9</v>
      </c>
      <c r="E477" t="s">
        <v>54</v>
      </c>
      <c r="F477" t="s">
        <v>48</v>
      </c>
      <c r="G477" t="s">
        <v>34</v>
      </c>
      <c r="H477" s="3">
        <v>74302.164049422601</v>
      </c>
      <c r="I477">
        <v>87</v>
      </c>
      <c r="J477" s="3">
        <v>36310.812804079484</v>
      </c>
      <c r="K477" s="3">
        <v>37991.351245343118</v>
      </c>
    </row>
    <row r="478" spans="1:11" x14ac:dyDescent="0.3">
      <c r="A478" t="s">
        <v>554</v>
      </c>
      <c r="B478" s="2">
        <v>44805</v>
      </c>
      <c r="C478">
        <v>2022</v>
      </c>
      <c r="D478">
        <v>9</v>
      </c>
      <c r="E478" t="s">
        <v>58</v>
      </c>
      <c r="F478" t="s">
        <v>67</v>
      </c>
      <c r="G478" t="s">
        <v>34</v>
      </c>
      <c r="H478" s="3">
        <v>18080.60095419885</v>
      </c>
      <c r="I478">
        <v>21</v>
      </c>
      <c r="J478" s="3">
        <v>8502.5550851675052</v>
      </c>
      <c r="K478" s="3">
        <v>9578.0458690313408</v>
      </c>
    </row>
    <row r="479" spans="1:11" x14ac:dyDescent="0.3">
      <c r="A479" t="s">
        <v>555</v>
      </c>
      <c r="B479" s="2">
        <v>44805</v>
      </c>
      <c r="C479">
        <v>2022</v>
      </c>
      <c r="D479">
        <v>9</v>
      </c>
      <c r="E479" t="s">
        <v>58</v>
      </c>
      <c r="F479" t="s">
        <v>48</v>
      </c>
      <c r="G479" t="s">
        <v>34</v>
      </c>
      <c r="H479" s="3">
        <v>44556.572095145551</v>
      </c>
      <c r="I479">
        <v>52</v>
      </c>
      <c r="J479" s="3">
        <v>21821.364358026982</v>
      </c>
      <c r="K479" s="3">
        <v>22735.20773711857</v>
      </c>
    </row>
    <row r="480" spans="1:11" x14ac:dyDescent="0.3">
      <c r="A480" t="s">
        <v>556</v>
      </c>
      <c r="B480" s="2">
        <v>44805</v>
      </c>
      <c r="C480">
        <v>2022</v>
      </c>
      <c r="D480">
        <v>9</v>
      </c>
      <c r="E480" t="s">
        <v>62</v>
      </c>
      <c r="F480" t="s">
        <v>67</v>
      </c>
      <c r="G480" t="s">
        <v>34</v>
      </c>
      <c r="H480" s="3">
        <v>13702.175682931809</v>
      </c>
      <c r="I480">
        <v>16</v>
      </c>
      <c r="J480" s="3">
        <v>6595.3343381730083</v>
      </c>
      <c r="K480" s="3">
        <v>7106.8413447588064</v>
      </c>
    </row>
    <row r="481" spans="1:11" x14ac:dyDescent="0.3">
      <c r="A481" t="s">
        <v>557</v>
      </c>
      <c r="B481" s="2">
        <v>44805</v>
      </c>
      <c r="C481">
        <v>2022</v>
      </c>
      <c r="D481">
        <v>9</v>
      </c>
      <c r="E481" t="s">
        <v>62</v>
      </c>
      <c r="F481" t="s">
        <v>48</v>
      </c>
      <c r="G481" t="s">
        <v>34</v>
      </c>
      <c r="H481" s="3">
        <v>34280.142503099589</v>
      </c>
      <c r="I481">
        <v>40</v>
      </c>
      <c r="J481" s="3">
        <v>16354.788110287191</v>
      </c>
      <c r="K481" s="3">
        <v>17925.354392812402</v>
      </c>
    </row>
    <row r="482" spans="1:11" x14ac:dyDescent="0.3">
      <c r="A482" t="s">
        <v>558</v>
      </c>
      <c r="B482" s="2">
        <v>44805</v>
      </c>
      <c r="C482">
        <v>2022</v>
      </c>
      <c r="D482">
        <v>9</v>
      </c>
      <c r="E482" t="s">
        <v>50</v>
      </c>
      <c r="F482" t="s">
        <v>67</v>
      </c>
      <c r="G482" t="s">
        <v>37</v>
      </c>
      <c r="H482" s="3">
        <v>25969.049687522122</v>
      </c>
      <c r="I482">
        <v>36</v>
      </c>
      <c r="J482" s="3">
        <v>14277.86794383609</v>
      </c>
      <c r="K482" s="3">
        <v>11691.181743686029</v>
      </c>
    </row>
    <row r="483" spans="1:11" x14ac:dyDescent="0.3">
      <c r="A483" t="s">
        <v>559</v>
      </c>
      <c r="B483" s="2">
        <v>44805</v>
      </c>
      <c r="C483">
        <v>2022</v>
      </c>
      <c r="D483">
        <v>9</v>
      </c>
      <c r="E483" t="s">
        <v>50</v>
      </c>
      <c r="F483" t="s">
        <v>48</v>
      </c>
      <c r="G483" t="s">
        <v>37</v>
      </c>
      <c r="H483" s="3">
        <v>67557.554365480857</v>
      </c>
      <c r="I483">
        <v>94</v>
      </c>
      <c r="J483" s="3">
        <v>37084.914103061521</v>
      </c>
      <c r="K483" s="3">
        <v>30472.64026241934</v>
      </c>
    </row>
    <row r="484" spans="1:11" x14ac:dyDescent="0.3">
      <c r="A484" t="s">
        <v>560</v>
      </c>
      <c r="B484" s="2">
        <v>44805</v>
      </c>
      <c r="C484">
        <v>2022</v>
      </c>
      <c r="D484">
        <v>9</v>
      </c>
      <c r="E484" t="s">
        <v>54</v>
      </c>
      <c r="F484" t="s">
        <v>67</v>
      </c>
      <c r="G484" t="s">
        <v>37</v>
      </c>
      <c r="H484" s="3">
        <v>22189.693130245709</v>
      </c>
      <c r="I484">
        <v>31</v>
      </c>
      <c r="J484" s="3">
        <v>12472.400481370751</v>
      </c>
      <c r="K484" s="3">
        <v>9717.2926488749636</v>
      </c>
    </row>
    <row r="485" spans="1:11" x14ac:dyDescent="0.3">
      <c r="A485" t="s">
        <v>561</v>
      </c>
      <c r="B485" s="2">
        <v>44805</v>
      </c>
      <c r="C485">
        <v>2022</v>
      </c>
      <c r="D485">
        <v>9</v>
      </c>
      <c r="E485" t="s">
        <v>54</v>
      </c>
      <c r="F485" t="s">
        <v>48</v>
      </c>
      <c r="G485" t="s">
        <v>37</v>
      </c>
      <c r="H485" s="3">
        <v>55993.597051695062</v>
      </c>
      <c r="I485">
        <v>78</v>
      </c>
      <c r="J485" s="3">
        <v>30199.635719978221</v>
      </c>
      <c r="K485" s="3">
        <v>25793.961331716841</v>
      </c>
    </row>
    <row r="486" spans="1:11" x14ac:dyDescent="0.3">
      <c r="A486" t="s">
        <v>562</v>
      </c>
      <c r="B486" s="2">
        <v>44805</v>
      </c>
      <c r="C486">
        <v>2022</v>
      </c>
      <c r="D486">
        <v>9</v>
      </c>
      <c r="E486" t="s">
        <v>58</v>
      </c>
      <c r="F486" t="s">
        <v>67</v>
      </c>
      <c r="G486" t="s">
        <v>37</v>
      </c>
      <c r="H486" s="3">
        <v>14352.18868417997</v>
      </c>
      <c r="I486">
        <v>20</v>
      </c>
      <c r="J486" s="3">
        <v>7785.359958343045</v>
      </c>
      <c r="K486" s="3">
        <v>6566.8287258369228</v>
      </c>
    </row>
    <row r="487" spans="1:11" x14ac:dyDescent="0.3">
      <c r="A487" t="s">
        <v>563</v>
      </c>
      <c r="B487" s="2">
        <v>44805</v>
      </c>
      <c r="C487">
        <v>2022</v>
      </c>
      <c r="D487">
        <v>9</v>
      </c>
      <c r="E487" t="s">
        <v>58</v>
      </c>
      <c r="F487" t="s">
        <v>48</v>
      </c>
      <c r="G487" t="s">
        <v>37</v>
      </c>
      <c r="H487" s="3">
        <v>38062.141726693357</v>
      </c>
      <c r="I487">
        <v>53</v>
      </c>
      <c r="J487" s="3">
        <v>21324.67263442482</v>
      </c>
      <c r="K487" s="3">
        <v>16737.469092268551</v>
      </c>
    </row>
    <row r="488" spans="1:11" x14ac:dyDescent="0.3">
      <c r="A488" t="s">
        <v>564</v>
      </c>
      <c r="B488" s="2">
        <v>44805</v>
      </c>
      <c r="C488">
        <v>2022</v>
      </c>
      <c r="D488">
        <v>9</v>
      </c>
      <c r="E488" t="s">
        <v>62</v>
      </c>
      <c r="F488" t="s">
        <v>67</v>
      </c>
      <c r="G488" t="s">
        <v>37</v>
      </c>
      <c r="H488" s="3">
        <v>10445.032063834</v>
      </c>
      <c r="I488">
        <v>15</v>
      </c>
      <c r="J488" s="3">
        <v>5683.1858583267249</v>
      </c>
      <c r="K488" s="3">
        <v>4761.8462055072732</v>
      </c>
    </row>
    <row r="489" spans="1:11" x14ac:dyDescent="0.3">
      <c r="A489" t="s">
        <v>565</v>
      </c>
      <c r="B489" s="2">
        <v>44805</v>
      </c>
      <c r="C489">
        <v>2022</v>
      </c>
      <c r="D489">
        <v>9</v>
      </c>
      <c r="E489" t="s">
        <v>62</v>
      </c>
      <c r="F489" t="s">
        <v>48</v>
      </c>
      <c r="G489" t="s">
        <v>37</v>
      </c>
      <c r="H489" s="3">
        <v>27743.589646411321</v>
      </c>
      <c r="I489">
        <v>39</v>
      </c>
      <c r="J489" s="3">
        <v>15506.316105115249</v>
      </c>
      <c r="K489" s="3">
        <v>12237.273541296059</v>
      </c>
    </row>
    <row r="490" spans="1:11" x14ac:dyDescent="0.3">
      <c r="A490" t="s">
        <v>566</v>
      </c>
      <c r="B490" s="2">
        <v>44805</v>
      </c>
      <c r="C490">
        <v>2022</v>
      </c>
      <c r="D490">
        <v>9</v>
      </c>
      <c r="E490" t="s">
        <v>50</v>
      </c>
      <c r="F490" t="s">
        <v>67</v>
      </c>
      <c r="G490" t="s">
        <v>40</v>
      </c>
      <c r="H490" s="3">
        <v>24106.50629697783</v>
      </c>
      <c r="I490">
        <v>4</v>
      </c>
      <c r="J490" s="3">
        <v>17142.30525059803</v>
      </c>
      <c r="K490" s="3">
        <v>6964.2010463798069</v>
      </c>
    </row>
    <row r="491" spans="1:11" x14ac:dyDescent="0.3">
      <c r="A491" t="s">
        <v>567</v>
      </c>
      <c r="B491" s="2">
        <v>44805</v>
      </c>
      <c r="C491">
        <v>2022</v>
      </c>
      <c r="D491">
        <v>9</v>
      </c>
      <c r="E491" t="s">
        <v>50</v>
      </c>
      <c r="F491" t="s">
        <v>48</v>
      </c>
      <c r="G491" t="s">
        <v>40</v>
      </c>
      <c r="H491" s="3">
        <v>60672.085602819272</v>
      </c>
      <c r="I491">
        <v>11</v>
      </c>
      <c r="J491" s="3">
        <v>41560.967506959467</v>
      </c>
      <c r="K491" s="3">
        <v>19111.118095859802</v>
      </c>
    </row>
    <row r="492" spans="1:11" x14ac:dyDescent="0.3">
      <c r="A492" t="s">
        <v>568</v>
      </c>
      <c r="B492" s="2">
        <v>44805</v>
      </c>
      <c r="C492">
        <v>2022</v>
      </c>
      <c r="D492">
        <v>9</v>
      </c>
      <c r="E492" t="s">
        <v>54</v>
      </c>
      <c r="F492" t="s">
        <v>67</v>
      </c>
      <c r="G492" t="s">
        <v>40</v>
      </c>
      <c r="H492" s="3">
        <v>21789.573159844771</v>
      </c>
      <c r="I492">
        <v>4</v>
      </c>
      <c r="J492" s="3">
        <v>15219.200181042759</v>
      </c>
      <c r="K492" s="3">
        <v>6570.37297880201</v>
      </c>
    </row>
    <row r="493" spans="1:11" x14ac:dyDescent="0.3">
      <c r="A493" t="s">
        <v>569</v>
      </c>
      <c r="B493" s="2">
        <v>44805</v>
      </c>
      <c r="C493">
        <v>2022</v>
      </c>
      <c r="D493">
        <v>9</v>
      </c>
      <c r="E493" t="s">
        <v>54</v>
      </c>
      <c r="F493" t="s">
        <v>48</v>
      </c>
      <c r="G493" t="s">
        <v>40</v>
      </c>
      <c r="H493" s="3">
        <v>52560.602002712767</v>
      </c>
      <c r="I493">
        <v>10</v>
      </c>
      <c r="J493" s="3">
        <v>35513.68197232463</v>
      </c>
      <c r="K493" s="3">
        <v>17046.920030388141</v>
      </c>
    </row>
    <row r="494" spans="1:11" x14ac:dyDescent="0.3">
      <c r="A494" t="s">
        <v>570</v>
      </c>
      <c r="B494" s="2">
        <v>44805</v>
      </c>
      <c r="C494">
        <v>2022</v>
      </c>
      <c r="D494">
        <v>9</v>
      </c>
      <c r="E494" t="s">
        <v>58</v>
      </c>
      <c r="F494" t="s">
        <v>67</v>
      </c>
      <c r="G494" t="s">
        <v>40</v>
      </c>
      <c r="H494" s="3">
        <v>14083.774100074839</v>
      </c>
      <c r="I494">
        <v>3</v>
      </c>
      <c r="J494" s="3">
        <v>9849.8224355369675</v>
      </c>
      <c r="K494" s="3">
        <v>4233.9516645378717</v>
      </c>
    </row>
    <row r="495" spans="1:11" x14ac:dyDescent="0.3">
      <c r="A495" t="s">
        <v>571</v>
      </c>
      <c r="B495" s="2">
        <v>44805</v>
      </c>
      <c r="C495">
        <v>2022</v>
      </c>
      <c r="D495">
        <v>9</v>
      </c>
      <c r="E495" t="s">
        <v>58</v>
      </c>
      <c r="F495" t="s">
        <v>48</v>
      </c>
      <c r="G495" t="s">
        <v>40</v>
      </c>
      <c r="H495" s="3">
        <v>33174.325179330262</v>
      </c>
      <c r="I495">
        <v>6</v>
      </c>
      <c r="J495" s="3">
        <v>22972.452065241141</v>
      </c>
      <c r="K495" s="3">
        <v>10201.87311408912</v>
      </c>
    </row>
    <row r="496" spans="1:11" x14ac:dyDescent="0.3">
      <c r="A496" t="s">
        <v>572</v>
      </c>
      <c r="B496" s="2">
        <v>44805</v>
      </c>
      <c r="C496">
        <v>2022</v>
      </c>
      <c r="D496">
        <v>9</v>
      </c>
      <c r="E496" t="s">
        <v>62</v>
      </c>
      <c r="F496" t="s">
        <v>67</v>
      </c>
      <c r="G496" t="s">
        <v>40</v>
      </c>
      <c r="H496" s="3">
        <v>8814.9428855178958</v>
      </c>
      <c r="I496">
        <v>2</v>
      </c>
      <c r="J496" s="3">
        <v>6134.099574570977</v>
      </c>
      <c r="K496" s="3">
        <v>2680.8433109469188</v>
      </c>
    </row>
    <row r="497" spans="1:11" x14ac:dyDescent="0.3">
      <c r="A497" t="s">
        <v>573</v>
      </c>
      <c r="B497" s="2">
        <v>44805</v>
      </c>
      <c r="C497">
        <v>2022</v>
      </c>
      <c r="D497">
        <v>9</v>
      </c>
      <c r="E497" t="s">
        <v>62</v>
      </c>
      <c r="F497" t="s">
        <v>48</v>
      </c>
      <c r="G497" t="s">
        <v>40</v>
      </c>
      <c r="H497" s="3">
        <v>26525.66932135095</v>
      </c>
      <c r="I497">
        <v>5</v>
      </c>
      <c r="J497" s="3">
        <v>18090.028878912741</v>
      </c>
      <c r="K497" s="3">
        <v>8435.6404424382017</v>
      </c>
    </row>
    <row r="498" spans="1:11" x14ac:dyDescent="0.3">
      <c r="A498" t="s">
        <v>574</v>
      </c>
      <c r="B498" s="2">
        <v>44805</v>
      </c>
      <c r="C498">
        <v>2022</v>
      </c>
      <c r="D498">
        <v>9</v>
      </c>
      <c r="E498" t="s">
        <v>50</v>
      </c>
      <c r="F498" t="s">
        <v>67</v>
      </c>
      <c r="G498" t="s">
        <v>43</v>
      </c>
      <c r="H498" s="3">
        <v>45018.217951797436</v>
      </c>
      <c r="I498">
        <v>13</v>
      </c>
      <c r="J498" s="3">
        <v>25766.595449731671</v>
      </c>
      <c r="K498" s="3">
        <v>19251.622502065769</v>
      </c>
    </row>
    <row r="499" spans="1:11" x14ac:dyDescent="0.3">
      <c r="A499" t="s">
        <v>575</v>
      </c>
      <c r="B499" s="2">
        <v>44805</v>
      </c>
      <c r="C499">
        <v>2022</v>
      </c>
      <c r="D499">
        <v>9</v>
      </c>
      <c r="E499" t="s">
        <v>50</v>
      </c>
      <c r="F499" t="s">
        <v>48</v>
      </c>
      <c r="G499" t="s">
        <v>43</v>
      </c>
      <c r="H499" s="3">
        <v>118846.88872756829</v>
      </c>
      <c r="I499">
        <v>34</v>
      </c>
      <c r="J499" s="3">
        <v>70754.845934804878</v>
      </c>
      <c r="K499" s="3">
        <v>48092.042792763423</v>
      </c>
    </row>
    <row r="500" spans="1:11" x14ac:dyDescent="0.3">
      <c r="A500" t="s">
        <v>576</v>
      </c>
      <c r="B500" s="2">
        <v>44805</v>
      </c>
      <c r="C500">
        <v>2022</v>
      </c>
      <c r="D500">
        <v>9</v>
      </c>
      <c r="E500" t="s">
        <v>54</v>
      </c>
      <c r="F500" t="s">
        <v>67</v>
      </c>
      <c r="G500" t="s">
        <v>43</v>
      </c>
      <c r="H500" s="3">
        <v>43130.120726293193</v>
      </c>
      <c r="I500">
        <v>12</v>
      </c>
      <c r="J500" s="3">
        <v>24501.646164992919</v>
      </c>
      <c r="K500" s="3">
        <v>18628.474561300281</v>
      </c>
    </row>
    <row r="501" spans="1:11" x14ac:dyDescent="0.3">
      <c r="A501" t="s">
        <v>577</v>
      </c>
      <c r="B501" s="2">
        <v>44805</v>
      </c>
      <c r="C501">
        <v>2022</v>
      </c>
      <c r="D501">
        <v>9</v>
      </c>
      <c r="E501" t="s">
        <v>54</v>
      </c>
      <c r="F501" t="s">
        <v>48</v>
      </c>
      <c r="G501" t="s">
        <v>43</v>
      </c>
      <c r="H501" s="3">
        <v>98212.192852267515</v>
      </c>
      <c r="I501">
        <v>28</v>
      </c>
      <c r="J501" s="3">
        <v>57614.192938976543</v>
      </c>
      <c r="K501" s="3">
        <v>40597.99991329098</v>
      </c>
    </row>
    <row r="502" spans="1:11" x14ac:dyDescent="0.3">
      <c r="A502" t="s">
        <v>578</v>
      </c>
      <c r="B502" s="2">
        <v>44805</v>
      </c>
      <c r="C502">
        <v>2022</v>
      </c>
      <c r="D502">
        <v>9</v>
      </c>
      <c r="E502" t="s">
        <v>58</v>
      </c>
      <c r="F502" t="s">
        <v>67</v>
      </c>
      <c r="G502" t="s">
        <v>43</v>
      </c>
      <c r="H502" s="3">
        <v>27264.39306557447</v>
      </c>
      <c r="I502">
        <v>8</v>
      </c>
      <c r="J502" s="3">
        <v>16358.509098669991</v>
      </c>
      <c r="K502" s="3">
        <v>10905.883966904479</v>
      </c>
    </row>
    <row r="503" spans="1:11" x14ac:dyDescent="0.3">
      <c r="A503" t="s">
        <v>579</v>
      </c>
      <c r="B503" s="2">
        <v>44805</v>
      </c>
      <c r="C503">
        <v>2022</v>
      </c>
      <c r="D503">
        <v>9</v>
      </c>
      <c r="E503" t="s">
        <v>58</v>
      </c>
      <c r="F503" t="s">
        <v>48</v>
      </c>
      <c r="G503" t="s">
        <v>43</v>
      </c>
      <c r="H503" s="3">
        <v>71264.930032583579</v>
      </c>
      <c r="I503">
        <v>20</v>
      </c>
      <c r="J503" s="3">
        <v>42191.543365234997</v>
      </c>
      <c r="K503" s="3">
        <v>29073.386667348579</v>
      </c>
    </row>
    <row r="504" spans="1:11" x14ac:dyDescent="0.3">
      <c r="A504" t="s">
        <v>580</v>
      </c>
      <c r="B504" s="2">
        <v>44805</v>
      </c>
      <c r="C504">
        <v>2022</v>
      </c>
      <c r="D504">
        <v>9</v>
      </c>
      <c r="E504" t="s">
        <v>62</v>
      </c>
      <c r="F504" t="s">
        <v>67</v>
      </c>
      <c r="G504" t="s">
        <v>43</v>
      </c>
      <c r="H504" s="3">
        <v>18557.37091610525</v>
      </c>
      <c r="I504">
        <v>5</v>
      </c>
      <c r="J504" s="3">
        <v>11332.826804433629</v>
      </c>
      <c r="K504" s="3">
        <v>7224.544111671612</v>
      </c>
    </row>
    <row r="505" spans="1:11" x14ac:dyDescent="0.3">
      <c r="A505" t="s">
        <v>581</v>
      </c>
      <c r="B505" s="2">
        <v>44805</v>
      </c>
      <c r="C505">
        <v>2022</v>
      </c>
      <c r="D505">
        <v>9</v>
      </c>
      <c r="E505" t="s">
        <v>62</v>
      </c>
      <c r="F505" t="s">
        <v>48</v>
      </c>
      <c r="G505" t="s">
        <v>43</v>
      </c>
      <c r="H505" s="3">
        <v>56624.52592965545</v>
      </c>
      <c r="I505">
        <v>16</v>
      </c>
      <c r="J505" s="3">
        <v>34024.922214678132</v>
      </c>
      <c r="K505" s="3">
        <v>22599.603714977318</v>
      </c>
    </row>
    <row r="506" spans="1:11" x14ac:dyDescent="0.3">
      <c r="A506" t="s">
        <v>582</v>
      </c>
      <c r="B506" s="2">
        <v>44835</v>
      </c>
      <c r="C506">
        <v>2022</v>
      </c>
      <c r="D506">
        <v>10</v>
      </c>
      <c r="E506" t="s">
        <v>50</v>
      </c>
      <c r="F506" t="s">
        <v>67</v>
      </c>
      <c r="G506" t="s">
        <v>19</v>
      </c>
      <c r="H506" s="3">
        <v>52690.98829049911</v>
      </c>
      <c r="I506">
        <v>10</v>
      </c>
      <c r="J506" s="3">
        <v>32283.899936191028</v>
      </c>
      <c r="K506" s="3">
        <v>20407.088354308082</v>
      </c>
    </row>
    <row r="507" spans="1:11" x14ac:dyDescent="0.3">
      <c r="A507" t="s">
        <v>583</v>
      </c>
      <c r="B507" s="2">
        <v>44835</v>
      </c>
      <c r="C507">
        <v>2022</v>
      </c>
      <c r="D507">
        <v>10</v>
      </c>
      <c r="E507" t="s">
        <v>50</v>
      </c>
      <c r="F507" t="s">
        <v>48</v>
      </c>
      <c r="G507" t="s">
        <v>19</v>
      </c>
      <c r="H507" s="3">
        <v>124626.42480962659</v>
      </c>
      <c r="I507">
        <v>24</v>
      </c>
      <c r="J507" s="3">
        <v>77306.371674673195</v>
      </c>
      <c r="K507" s="3">
        <v>47320.053134953363</v>
      </c>
    </row>
    <row r="508" spans="1:11" x14ac:dyDescent="0.3">
      <c r="A508" t="s">
        <v>584</v>
      </c>
      <c r="B508" s="2">
        <v>44835</v>
      </c>
      <c r="C508">
        <v>2022</v>
      </c>
      <c r="D508">
        <v>10</v>
      </c>
      <c r="E508" t="s">
        <v>54</v>
      </c>
      <c r="F508" t="s">
        <v>67</v>
      </c>
      <c r="G508" t="s">
        <v>19</v>
      </c>
      <c r="H508" s="3">
        <v>41727.869907868648</v>
      </c>
      <c r="I508">
        <v>8</v>
      </c>
      <c r="J508" s="3">
        <v>25849.219610671051</v>
      </c>
      <c r="K508" s="3">
        <v>15878.65029719761</v>
      </c>
    </row>
    <row r="509" spans="1:11" x14ac:dyDescent="0.3">
      <c r="A509" t="s">
        <v>585</v>
      </c>
      <c r="B509" s="2">
        <v>44835</v>
      </c>
      <c r="C509">
        <v>2022</v>
      </c>
      <c r="D509">
        <v>10</v>
      </c>
      <c r="E509" t="s">
        <v>54</v>
      </c>
      <c r="F509" t="s">
        <v>48</v>
      </c>
      <c r="G509" t="s">
        <v>19</v>
      </c>
      <c r="H509" s="3">
        <v>110691.19012814861</v>
      </c>
      <c r="I509">
        <v>21</v>
      </c>
      <c r="J509" s="3">
        <v>66674.05327661692</v>
      </c>
      <c r="K509" s="3">
        <v>44017.136851531672</v>
      </c>
    </row>
    <row r="510" spans="1:11" x14ac:dyDescent="0.3">
      <c r="A510" t="s">
        <v>586</v>
      </c>
      <c r="B510" s="2">
        <v>44835</v>
      </c>
      <c r="C510">
        <v>2022</v>
      </c>
      <c r="D510">
        <v>10</v>
      </c>
      <c r="E510" t="s">
        <v>58</v>
      </c>
      <c r="F510" t="s">
        <v>67</v>
      </c>
      <c r="G510" t="s">
        <v>19</v>
      </c>
      <c r="H510" s="3">
        <v>33349.010380220723</v>
      </c>
      <c r="I510">
        <v>6</v>
      </c>
      <c r="J510" s="3">
        <v>20326.393510519229</v>
      </c>
      <c r="K510" s="3">
        <v>13022.616869701489</v>
      </c>
    </row>
    <row r="511" spans="1:11" x14ac:dyDescent="0.3">
      <c r="A511" t="s">
        <v>587</v>
      </c>
      <c r="B511" s="2">
        <v>44835</v>
      </c>
      <c r="C511">
        <v>2022</v>
      </c>
      <c r="D511">
        <v>10</v>
      </c>
      <c r="E511" t="s">
        <v>58</v>
      </c>
      <c r="F511" t="s">
        <v>48</v>
      </c>
      <c r="G511" t="s">
        <v>19</v>
      </c>
      <c r="H511" s="3">
        <v>72837.605753627562</v>
      </c>
      <c r="I511">
        <v>14</v>
      </c>
      <c r="J511" s="3">
        <v>44703.491149639653</v>
      </c>
      <c r="K511" s="3">
        <v>28134.11460398792</v>
      </c>
    </row>
    <row r="512" spans="1:11" x14ac:dyDescent="0.3">
      <c r="A512" t="s">
        <v>588</v>
      </c>
      <c r="B512" s="2">
        <v>44835</v>
      </c>
      <c r="C512">
        <v>2022</v>
      </c>
      <c r="D512">
        <v>10</v>
      </c>
      <c r="E512" t="s">
        <v>62</v>
      </c>
      <c r="F512" t="s">
        <v>67</v>
      </c>
      <c r="G512" t="s">
        <v>19</v>
      </c>
      <c r="H512" s="3">
        <v>22246.833728912468</v>
      </c>
      <c r="I512">
        <v>4</v>
      </c>
      <c r="J512" s="3">
        <v>13287.49494990492</v>
      </c>
      <c r="K512" s="3">
        <v>8959.3387790075521</v>
      </c>
    </row>
    <row r="513" spans="1:11" x14ac:dyDescent="0.3">
      <c r="A513" t="s">
        <v>589</v>
      </c>
      <c r="B513" s="2">
        <v>44835</v>
      </c>
      <c r="C513">
        <v>2022</v>
      </c>
      <c r="D513">
        <v>10</v>
      </c>
      <c r="E513" t="s">
        <v>62</v>
      </c>
      <c r="F513" t="s">
        <v>48</v>
      </c>
      <c r="G513" t="s">
        <v>19</v>
      </c>
      <c r="H513" s="3">
        <v>56163.48026127644</v>
      </c>
      <c r="I513">
        <v>11</v>
      </c>
      <c r="J513" s="3">
        <v>34851.125928879657</v>
      </c>
      <c r="K513" s="3">
        <v>21312.354332396779</v>
      </c>
    </row>
    <row r="514" spans="1:11" x14ac:dyDescent="0.3">
      <c r="A514" t="s">
        <v>590</v>
      </c>
      <c r="B514" s="2">
        <v>44835</v>
      </c>
      <c r="C514">
        <v>2022</v>
      </c>
      <c r="D514">
        <v>10</v>
      </c>
      <c r="E514" t="s">
        <v>50</v>
      </c>
      <c r="F514" t="s">
        <v>67</v>
      </c>
      <c r="G514" t="s">
        <v>24</v>
      </c>
      <c r="H514" s="3">
        <v>54318.631679757229</v>
      </c>
      <c r="I514">
        <v>9</v>
      </c>
      <c r="J514" s="3">
        <v>35689.569516156669</v>
      </c>
      <c r="K514" s="3">
        <v>18629.06216360056</v>
      </c>
    </row>
    <row r="515" spans="1:11" x14ac:dyDescent="0.3">
      <c r="A515" t="s">
        <v>591</v>
      </c>
      <c r="B515" s="2">
        <v>44835</v>
      </c>
      <c r="C515">
        <v>2022</v>
      </c>
      <c r="D515">
        <v>10</v>
      </c>
      <c r="E515" t="s">
        <v>50</v>
      </c>
      <c r="F515" t="s">
        <v>48</v>
      </c>
      <c r="G515" t="s">
        <v>24</v>
      </c>
      <c r="H515" s="3">
        <v>131414.64270958069</v>
      </c>
      <c r="I515">
        <v>22</v>
      </c>
      <c r="J515" s="3">
        <v>84121.932266860298</v>
      </c>
      <c r="K515" s="3">
        <v>47292.710442720389</v>
      </c>
    </row>
    <row r="516" spans="1:11" x14ac:dyDescent="0.3">
      <c r="A516" t="s">
        <v>592</v>
      </c>
      <c r="B516" s="2">
        <v>44835</v>
      </c>
      <c r="C516">
        <v>2022</v>
      </c>
      <c r="D516">
        <v>10</v>
      </c>
      <c r="E516" t="s">
        <v>54</v>
      </c>
      <c r="F516" t="s">
        <v>67</v>
      </c>
      <c r="G516" t="s">
        <v>24</v>
      </c>
      <c r="H516" s="3">
        <v>42044.321067259269</v>
      </c>
      <c r="I516">
        <v>7</v>
      </c>
      <c r="J516" s="3">
        <v>27951.150787579489</v>
      </c>
      <c r="K516" s="3">
        <v>14093.17027967978</v>
      </c>
    </row>
    <row r="517" spans="1:11" x14ac:dyDescent="0.3">
      <c r="A517" t="s">
        <v>593</v>
      </c>
      <c r="B517" s="2">
        <v>44835</v>
      </c>
      <c r="C517">
        <v>2022</v>
      </c>
      <c r="D517">
        <v>10</v>
      </c>
      <c r="E517" t="s">
        <v>54</v>
      </c>
      <c r="F517" t="s">
        <v>48</v>
      </c>
      <c r="G517" t="s">
        <v>24</v>
      </c>
      <c r="H517" s="3">
        <v>107540.4744785357</v>
      </c>
      <c r="I517">
        <v>18</v>
      </c>
      <c r="J517" s="3">
        <v>71891.298456041724</v>
      </c>
      <c r="K517" s="3">
        <v>35649.176022493979</v>
      </c>
    </row>
    <row r="518" spans="1:11" x14ac:dyDescent="0.3">
      <c r="A518" t="s">
        <v>594</v>
      </c>
      <c r="B518" s="2">
        <v>44835</v>
      </c>
      <c r="C518">
        <v>2022</v>
      </c>
      <c r="D518">
        <v>10</v>
      </c>
      <c r="E518" t="s">
        <v>58</v>
      </c>
      <c r="F518" t="s">
        <v>67</v>
      </c>
      <c r="G518" t="s">
        <v>24</v>
      </c>
      <c r="H518" s="3">
        <v>30031.048799469361</v>
      </c>
      <c r="I518">
        <v>5</v>
      </c>
      <c r="J518" s="3">
        <v>19901.491039795539</v>
      </c>
      <c r="K518" s="3">
        <v>10129.557759673809</v>
      </c>
    </row>
    <row r="519" spans="1:11" x14ac:dyDescent="0.3">
      <c r="A519" t="s">
        <v>595</v>
      </c>
      <c r="B519" s="2">
        <v>44835</v>
      </c>
      <c r="C519">
        <v>2022</v>
      </c>
      <c r="D519">
        <v>10</v>
      </c>
      <c r="E519" t="s">
        <v>58</v>
      </c>
      <c r="F519" t="s">
        <v>48</v>
      </c>
      <c r="G519" t="s">
        <v>24</v>
      </c>
      <c r="H519" s="3">
        <v>74539.456080477845</v>
      </c>
      <c r="I519">
        <v>12</v>
      </c>
      <c r="J519" s="3">
        <v>48909.069330820101</v>
      </c>
      <c r="K519" s="3">
        <v>25630.38674965774</v>
      </c>
    </row>
    <row r="520" spans="1:11" x14ac:dyDescent="0.3">
      <c r="A520" t="s">
        <v>596</v>
      </c>
      <c r="B520" s="2">
        <v>44835</v>
      </c>
      <c r="C520">
        <v>2022</v>
      </c>
      <c r="D520">
        <v>10</v>
      </c>
      <c r="E520" t="s">
        <v>62</v>
      </c>
      <c r="F520" t="s">
        <v>67</v>
      </c>
      <c r="G520" t="s">
        <v>24</v>
      </c>
      <c r="H520" s="3">
        <v>23849.812887161421</v>
      </c>
      <c r="I520">
        <v>4</v>
      </c>
      <c r="J520" s="3">
        <v>15908.45322720253</v>
      </c>
      <c r="K520" s="3">
        <v>7941.3596599588873</v>
      </c>
    </row>
    <row r="521" spans="1:11" x14ac:dyDescent="0.3">
      <c r="A521" t="s">
        <v>597</v>
      </c>
      <c r="B521" s="2">
        <v>44835</v>
      </c>
      <c r="C521">
        <v>2022</v>
      </c>
      <c r="D521">
        <v>10</v>
      </c>
      <c r="E521" t="s">
        <v>62</v>
      </c>
      <c r="F521" t="s">
        <v>48</v>
      </c>
      <c r="G521" t="s">
        <v>24</v>
      </c>
      <c r="H521" s="3">
        <v>56842.983184578283</v>
      </c>
      <c r="I521">
        <v>9</v>
      </c>
      <c r="J521" s="3">
        <v>37975.71806542878</v>
      </c>
      <c r="K521" s="3">
        <v>18867.265119149499</v>
      </c>
    </row>
    <row r="522" spans="1:11" x14ac:dyDescent="0.3">
      <c r="A522" t="s">
        <v>598</v>
      </c>
      <c r="B522" s="2">
        <v>44835</v>
      </c>
      <c r="C522">
        <v>2022</v>
      </c>
      <c r="D522">
        <v>10</v>
      </c>
      <c r="E522" t="s">
        <v>50</v>
      </c>
      <c r="F522" t="s">
        <v>67</v>
      </c>
      <c r="G522" t="s">
        <v>29</v>
      </c>
      <c r="H522" s="3">
        <v>34378.155607281711</v>
      </c>
      <c r="I522">
        <v>8</v>
      </c>
      <c r="J522" s="3">
        <v>22123.762577187041</v>
      </c>
      <c r="K522" s="3">
        <v>12254.39303009467</v>
      </c>
    </row>
    <row r="523" spans="1:11" x14ac:dyDescent="0.3">
      <c r="A523" t="s">
        <v>599</v>
      </c>
      <c r="B523" s="2">
        <v>44835</v>
      </c>
      <c r="C523">
        <v>2022</v>
      </c>
      <c r="D523">
        <v>10</v>
      </c>
      <c r="E523" t="s">
        <v>50</v>
      </c>
      <c r="F523" t="s">
        <v>48</v>
      </c>
      <c r="G523" t="s">
        <v>29</v>
      </c>
      <c r="H523" s="3">
        <v>95194.979594189877</v>
      </c>
      <c r="I523">
        <v>22</v>
      </c>
      <c r="J523" s="3">
        <v>60020.47907829201</v>
      </c>
      <c r="K523" s="3">
        <v>35174.500515897867</v>
      </c>
    </row>
    <row r="524" spans="1:11" x14ac:dyDescent="0.3">
      <c r="A524" t="s">
        <v>600</v>
      </c>
      <c r="B524" s="2">
        <v>44835</v>
      </c>
      <c r="C524">
        <v>2022</v>
      </c>
      <c r="D524">
        <v>10</v>
      </c>
      <c r="E524" t="s">
        <v>54</v>
      </c>
      <c r="F524" t="s">
        <v>67</v>
      </c>
      <c r="G524" t="s">
        <v>29</v>
      </c>
      <c r="H524" s="3">
        <v>29632.914821272159</v>
      </c>
      <c r="I524">
        <v>7</v>
      </c>
      <c r="J524" s="3">
        <v>19059.489014977411</v>
      </c>
      <c r="K524" s="3">
        <v>10573.42580629475</v>
      </c>
    </row>
    <row r="525" spans="1:11" x14ac:dyDescent="0.3">
      <c r="A525" t="s">
        <v>601</v>
      </c>
      <c r="B525" s="2">
        <v>44835</v>
      </c>
      <c r="C525">
        <v>2022</v>
      </c>
      <c r="D525">
        <v>10</v>
      </c>
      <c r="E525" t="s">
        <v>54</v>
      </c>
      <c r="F525" t="s">
        <v>48</v>
      </c>
      <c r="G525" t="s">
        <v>29</v>
      </c>
      <c r="H525" s="3">
        <v>74102.175571595479</v>
      </c>
      <c r="I525">
        <v>17</v>
      </c>
      <c r="J525" s="3">
        <v>48445.922866581728</v>
      </c>
      <c r="K525" s="3">
        <v>25656.252705013751</v>
      </c>
    </row>
    <row r="526" spans="1:11" x14ac:dyDescent="0.3">
      <c r="A526" t="s">
        <v>602</v>
      </c>
      <c r="B526" s="2">
        <v>44835</v>
      </c>
      <c r="C526">
        <v>2022</v>
      </c>
      <c r="D526">
        <v>10</v>
      </c>
      <c r="E526" t="s">
        <v>58</v>
      </c>
      <c r="F526" t="s">
        <v>67</v>
      </c>
      <c r="G526" t="s">
        <v>29</v>
      </c>
      <c r="H526" s="3">
        <v>19855.273272552571</v>
      </c>
      <c r="I526">
        <v>5</v>
      </c>
      <c r="J526" s="3">
        <v>12570.906290261189</v>
      </c>
      <c r="K526" s="3">
        <v>7284.3669822913889</v>
      </c>
    </row>
    <row r="527" spans="1:11" x14ac:dyDescent="0.3">
      <c r="A527" t="s">
        <v>603</v>
      </c>
      <c r="B527" s="2">
        <v>44835</v>
      </c>
      <c r="C527">
        <v>2022</v>
      </c>
      <c r="D527">
        <v>10</v>
      </c>
      <c r="E527" t="s">
        <v>58</v>
      </c>
      <c r="F527" t="s">
        <v>48</v>
      </c>
      <c r="G527" t="s">
        <v>29</v>
      </c>
      <c r="H527" s="3">
        <v>54741.631948293907</v>
      </c>
      <c r="I527">
        <v>13</v>
      </c>
      <c r="J527" s="3">
        <v>36357.654505626451</v>
      </c>
      <c r="K527" s="3">
        <v>18383.977442667459</v>
      </c>
    </row>
    <row r="528" spans="1:11" x14ac:dyDescent="0.3">
      <c r="A528" t="s">
        <v>604</v>
      </c>
      <c r="B528" s="2">
        <v>44835</v>
      </c>
      <c r="C528">
        <v>2022</v>
      </c>
      <c r="D528">
        <v>10</v>
      </c>
      <c r="E528" t="s">
        <v>62</v>
      </c>
      <c r="F528" t="s">
        <v>67</v>
      </c>
      <c r="G528" t="s">
        <v>29</v>
      </c>
      <c r="H528" s="3">
        <v>16867.543387758251</v>
      </c>
      <c r="I528">
        <v>4</v>
      </c>
      <c r="J528" s="3">
        <v>10693.0902663867</v>
      </c>
      <c r="K528" s="3">
        <v>6174.4531213715509</v>
      </c>
    </row>
    <row r="529" spans="1:11" x14ac:dyDescent="0.3">
      <c r="A529" t="s">
        <v>605</v>
      </c>
      <c r="B529" s="2">
        <v>44835</v>
      </c>
      <c r="C529">
        <v>2022</v>
      </c>
      <c r="D529">
        <v>10</v>
      </c>
      <c r="E529" t="s">
        <v>62</v>
      </c>
      <c r="F529" t="s">
        <v>48</v>
      </c>
      <c r="G529" t="s">
        <v>29</v>
      </c>
      <c r="H529" s="3">
        <v>39294.96733055923</v>
      </c>
      <c r="I529">
        <v>9</v>
      </c>
      <c r="J529" s="3">
        <v>25163.449034309051</v>
      </c>
      <c r="K529" s="3">
        <v>14131.518296250169</v>
      </c>
    </row>
    <row r="530" spans="1:11" x14ac:dyDescent="0.3">
      <c r="A530" t="s">
        <v>606</v>
      </c>
      <c r="B530" s="2">
        <v>44835</v>
      </c>
      <c r="C530">
        <v>2022</v>
      </c>
      <c r="D530">
        <v>10</v>
      </c>
      <c r="E530" t="s">
        <v>50</v>
      </c>
      <c r="F530" t="s">
        <v>67</v>
      </c>
      <c r="G530" t="s">
        <v>34</v>
      </c>
      <c r="H530" s="3">
        <v>35343.927957262043</v>
      </c>
      <c r="I530">
        <v>42</v>
      </c>
      <c r="J530" s="3">
        <v>16759.727459052599</v>
      </c>
      <c r="K530" s="3">
        <v>18584.20049820944</v>
      </c>
    </row>
    <row r="531" spans="1:11" x14ac:dyDescent="0.3">
      <c r="A531" t="s">
        <v>607</v>
      </c>
      <c r="B531" s="2">
        <v>44835</v>
      </c>
      <c r="C531">
        <v>2022</v>
      </c>
      <c r="D531">
        <v>10</v>
      </c>
      <c r="E531" t="s">
        <v>50</v>
      </c>
      <c r="F531" t="s">
        <v>48</v>
      </c>
      <c r="G531" t="s">
        <v>34</v>
      </c>
      <c r="H531" s="3">
        <v>96343.212251963254</v>
      </c>
      <c r="I531">
        <v>113</v>
      </c>
      <c r="J531" s="3">
        <v>46430.593720122502</v>
      </c>
      <c r="K531" s="3">
        <v>49912.618531840752</v>
      </c>
    </row>
    <row r="532" spans="1:11" x14ac:dyDescent="0.3">
      <c r="A532" t="s">
        <v>608</v>
      </c>
      <c r="B532" s="2">
        <v>44835</v>
      </c>
      <c r="C532">
        <v>2022</v>
      </c>
      <c r="D532">
        <v>10</v>
      </c>
      <c r="E532" t="s">
        <v>54</v>
      </c>
      <c r="F532" t="s">
        <v>67</v>
      </c>
      <c r="G532" t="s">
        <v>34</v>
      </c>
      <c r="H532" s="3">
        <v>24117.559381042531</v>
      </c>
      <c r="I532">
        <v>28</v>
      </c>
      <c r="J532" s="3">
        <v>11213.39181540252</v>
      </c>
      <c r="K532" s="3">
        <v>12904.167565640009</v>
      </c>
    </row>
    <row r="533" spans="1:11" x14ac:dyDescent="0.3">
      <c r="A533" t="s">
        <v>609</v>
      </c>
      <c r="B533" s="2">
        <v>44835</v>
      </c>
      <c r="C533">
        <v>2022</v>
      </c>
      <c r="D533">
        <v>10</v>
      </c>
      <c r="E533" t="s">
        <v>54</v>
      </c>
      <c r="F533" t="s">
        <v>48</v>
      </c>
      <c r="G533" t="s">
        <v>34</v>
      </c>
      <c r="H533" s="3">
        <v>71088.645819751589</v>
      </c>
      <c r="I533">
        <v>84</v>
      </c>
      <c r="J533" s="3">
        <v>33787.167899065003</v>
      </c>
      <c r="K533" s="3">
        <v>37301.477920686593</v>
      </c>
    </row>
    <row r="534" spans="1:11" x14ac:dyDescent="0.3">
      <c r="A534" t="s">
        <v>610</v>
      </c>
      <c r="B534" s="2">
        <v>44835</v>
      </c>
      <c r="C534">
        <v>2022</v>
      </c>
      <c r="D534">
        <v>10</v>
      </c>
      <c r="E534" t="s">
        <v>58</v>
      </c>
      <c r="F534" t="s">
        <v>67</v>
      </c>
      <c r="G534" t="s">
        <v>34</v>
      </c>
      <c r="H534" s="3">
        <v>20937.624361764629</v>
      </c>
      <c r="I534">
        <v>25</v>
      </c>
      <c r="J534" s="3">
        <v>9852.4937950354106</v>
      </c>
      <c r="K534" s="3">
        <v>11085.130566729211</v>
      </c>
    </row>
    <row r="535" spans="1:11" x14ac:dyDescent="0.3">
      <c r="A535" t="s">
        <v>611</v>
      </c>
      <c r="B535" s="2">
        <v>44835</v>
      </c>
      <c r="C535">
        <v>2022</v>
      </c>
      <c r="D535">
        <v>10</v>
      </c>
      <c r="E535" t="s">
        <v>58</v>
      </c>
      <c r="F535" t="s">
        <v>48</v>
      </c>
      <c r="G535" t="s">
        <v>34</v>
      </c>
      <c r="H535" s="3">
        <v>51307.046667252638</v>
      </c>
      <c r="I535">
        <v>60</v>
      </c>
      <c r="J535" s="3">
        <v>24687.376926726651</v>
      </c>
      <c r="K535" s="3">
        <v>26619.669740525991</v>
      </c>
    </row>
    <row r="536" spans="1:11" x14ac:dyDescent="0.3">
      <c r="A536" t="s">
        <v>612</v>
      </c>
      <c r="B536" s="2">
        <v>44835</v>
      </c>
      <c r="C536">
        <v>2022</v>
      </c>
      <c r="D536">
        <v>10</v>
      </c>
      <c r="E536" t="s">
        <v>62</v>
      </c>
      <c r="F536" t="s">
        <v>67</v>
      </c>
      <c r="G536" t="s">
        <v>34</v>
      </c>
      <c r="H536" s="3">
        <v>14604.266061577649</v>
      </c>
      <c r="I536">
        <v>17</v>
      </c>
      <c r="J536" s="3">
        <v>7135.527933402579</v>
      </c>
      <c r="K536" s="3">
        <v>7468.7381281750722</v>
      </c>
    </row>
    <row r="537" spans="1:11" x14ac:dyDescent="0.3">
      <c r="A537" t="s">
        <v>613</v>
      </c>
      <c r="B537" s="2">
        <v>44835</v>
      </c>
      <c r="C537">
        <v>2022</v>
      </c>
      <c r="D537">
        <v>10</v>
      </c>
      <c r="E537" t="s">
        <v>62</v>
      </c>
      <c r="F537" t="s">
        <v>48</v>
      </c>
      <c r="G537" t="s">
        <v>34</v>
      </c>
      <c r="H537" s="3">
        <v>36783.102850247873</v>
      </c>
      <c r="I537">
        <v>43</v>
      </c>
      <c r="J537" s="3">
        <v>17861.194015993649</v>
      </c>
      <c r="K537" s="3">
        <v>18921.908834254231</v>
      </c>
    </row>
    <row r="538" spans="1:11" x14ac:dyDescent="0.3">
      <c r="A538" t="s">
        <v>614</v>
      </c>
      <c r="B538" s="2">
        <v>44835</v>
      </c>
      <c r="C538">
        <v>2022</v>
      </c>
      <c r="D538">
        <v>10</v>
      </c>
      <c r="E538" t="s">
        <v>50</v>
      </c>
      <c r="F538" t="s">
        <v>67</v>
      </c>
      <c r="G538" t="s">
        <v>37</v>
      </c>
      <c r="H538" s="3">
        <v>30317.664673461899</v>
      </c>
      <c r="I538">
        <v>42</v>
      </c>
      <c r="J538" s="3">
        <v>15962.8741555043</v>
      </c>
      <c r="K538" s="3">
        <v>14354.790517957599</v>
      </c>
    </row>
    <row r="539" spans="1:11" x14ac:dyDescent="0.3">
      <c r="A539" t="s">
        <v>615</v>
      </c>
      <c r="B539" s="2">
        <v>44835</v>
      </c>
      <c r="C539">
        <v>2022</v>
      </c>
      <c r="D539">
        <v>10</v>
      </c>
      <c r="E539" t="s">
        <v>50</v>
      </c>
      <c r="F539" t="s">
        <v>48</v>
      </c>
      <c r="G539" t="s">
        <v>37</v>
      </c>
      <c r="H539" s="3">
        <v>77215.305366232235</v>
      </c>
      <c r="I539">
        <v>107</v>
      </c>
      <c r="J539" s="3">
        <v>44029.440366544157</v>
      </c>
      <c r="K539" s="3">
        <v>33185.86499968807</v>
      </c>
    </row>
    <row r="540" spans="1:11" x14ac:dyDescent="0.3">
      <c r="A540" t="s">
        <v>616</v>
      </c>
      <c r="B540" s="2">
        <v>44835</v>
      </c>
      <c r="C540">
        <v>2022</v>
      </c>
      <c r="D540">
        <v>10</v>
      </c>
      <c r="E540" t="s">
        <v>54</v>
      </c>
      <c r="F540" t="s">
        <v>67</v>
      </c>
      <c r="G540" t="s">
        <v>37</v>
      </c>
      <c r="H540" s="3">
        <v>23299.682349326111</v>
      </c>
      <c r="I540">
        <v>32</v>
      </c>
      <c r="J540" s="3">
        <v>12882.93658745324</v>
      </c>
      <c r="K540" s="3">
        <v>10416.745761872869</v>
      </c>
    </row>
    <row r="541" spans="1:11" x14ac:dyDescent="0.3">
      <c r="A541" t="s">
        <v>617</v>
      </c>
      <c r="B541" s="2">
        <v>44835</v>
      </c>
      <c r="C541">
        <v>2022</v>
      </c>
      <c r="D541">
        <v>10</v>
      </c>
      <c r="E541" t="s">
        <v>54</v>
      </c>
      <c r="F541" t="s">
        <v>48</v>
      </c>
      <c r="G541" t="s">
        <v>37</v>
      </c>
      <c r="H541" s="3">
        <v>56799.196081646471</v>
      </c>
      <c r="I541">
        <v>79</v>
      </c>
      <c r="J541" s="3">
        <v>30802.923028218451</v>
      </c>
      <c r="K541" s="3">
        <v>25996.27305342802</v>
      </c>
    </row>
    <row r="542" spans="1:11" x14ac:dyDescent="0.3">
      <c r="A542" t="s">
        <v>618</v>
      </c>
      <c r="B542" s="2">
        <v>44835</v>
      </c>
      <c r="C542">
        <v>2022</v>
      </c>
      <c r="D542">
        <v>10</v>
      </c>
      <c r="E542" t="s">
        <v>58</v>
      </c>
      <c r="F542" t="s">
        <v>67</v>
      </c>
      <c r="G542" t="s">
        <v>37</v>
      </c>
      <c r="H542" s="3">
        <v>15855.69472417844</v>
      </c>
      <c r="I542">
        <v>22</v>
      </c>
      <c r="J542" s="3">
        <v>8745.2966842281858</v>
      </c>
      <c r="K542" s="3">
        <v>7110.3980399502543</v>
      </c>
    </row>
    <row r="543" spans="1:11" x14ac:dyDescent="0.3">
      <c r="A543" t="s">
        <v>619</v>
      </c>
      <c r="B543" s="2">
        <v>44835</v>
      </c>
      <c r="C543">
        <v>2022</v>
      </c>
      <c r="D543">
        <v>10</v>
      </c>
      <c r="E543" t="s">
        <v>58</v>
      </c>
      <c r="F543" t="s">
        <v>48</v>
      </c>
      <c r="G543" t="s">
        <v>37</v>
      </c>
      <c r="H543" s="3">
        <v>40100.657858590333</v>
      </c>
      <c r="I543">
        <v>56</v>
      </c>
      <c r="J543" s="3">
        <v>22125.308567349111</v>
      </c>
      <c r="K543" s="3">
        <v>17975.349291241218</v>
      </c>
    </row>
    <row r="544" spans="1:11" x14ac:dyDescent="0.3">
      <c r="A544" t="s">
        <v>620</v>
      </c>
      <c r="B544" s="2">
        <v>44835</v>
      </c>
      <c r="C544">
        <v>2022</v>
      </c>
      <c r="D544">
        <v>10</v>
      </c>
      <c r="E544" t="s">
        <v>62</v>
      </c>
      <c r="F544" t="s">
        <v>67</v>
      </c>
      <c r="G544" t="s">
        <v>37</v>
      </c>
      <c r="H544" s="3">
        <v>11520.36162499025</v>
      </c>
      <c r="I544">
        <v>16</v>
      </c>
      <c r="J544" s="3">
        <v>6260.1437438970534</v>
      </c>
      <c r="K544" s="3">
        <v>5260.2178810931946</v>
      </c>
    </row>
    <row r="545" spans="1:11" x14ac:dyDescent="0.3">
      <c r="A545" t="s">
        <v>621</v>
      </c>
      <c r="B545" s="2">
        <v>44835</v>
      </c>
      <c r="C545">
        <v>2022</v>
      </c>
      <c r="D545">
        <v>10</v>
      </c>
      <c r="E545" t="s">
        <v>62</v>
      </c>
      <c r="F545" t="s">
        <v>48</v>
      </c>
      <c r="G545" t="s">
        <v>37</v>
      </c>
      <c r="H545" s="3">
        <v>28610.200071719952</v>
      </c>
      <c r="I545">
        <v>40</v>
      </c>
      <c r="J545" s="3">
        <v>15791.6681504028</v>
      </c>
      <c r="K545" s="3">
        <v>12818.53192131715</v>
      </c>
    </row>
    <row r="546" spans="1:11" x14ac:dyDescent="0.3">
      <c r="A546" t="s">
        <v>622</v>
      </c>
      <c r="B546" s="2">
        <v>44835</v>
      </c>
      <c r="C546">
        <v>2022</v>
      </c>
      <c r="D546">
        <v>10</v>
      </c>
      <c r="E546" t="s">
        <v>50</v>
      </c>
      <c r="F546" t="s">
        <v>67</v>
      </c>
      <c r="G546" t="s">
        <v>40</v>
      </c>
      <c r="H546" s="3">
        <v>30562.435468825472</v>
      </c>
      <c r="I546">
        <v>6</v>
      </c>
      <c r="J546" s="3">
        <v>20857.49283272804</v>
      </c>
      <c r="K546" s="3">
        <v>9704.9426360974285</v>
      </c>
    </row>
    <row r="547" spans="1:11" x14ac:dyDescent="0.3">
      <c r="A547" t="s">
        <v>623</v>
      </c>
      <c r="B547" s="2">
        <v>44835</v>
      </c>
      <c r="C547">
        <v>2022</v>
      </c>
      <c r="D547">
        <v>10</v>
      </c>
      <c r="E547" t="s">
        <v>50</v>
      </c>
      <c r="F547" t="s">
        <v>48</v>
      </c>
      <c r="G547" t="s">
        <v>40</v>
      </c>
      <c r="H547" s="3">
        <v>70005.701349563751</v>
      </c>
      <c r="I547">
        <v>13</v>
      </c>
      <c r="J547" s="3">
        <v>47952.352981573618</v>
      </c>
      <c r="K547" s="3">
        <v>22053.348367990129</v>
      </c>
    </row>
    <row r="548" spans="1:11" x14ac:dyDescent="0.3">
      <c r="A548" t="s">
        <v>624</v>
      </c>
      <c r="B548" s="2">
        <v>44835</v>
      </c>
      <c r="C548">
        <v>2022</v>
      </c>
      <c r="D548">
        <v>10</v>
      </c>
      <c r="E548" t="s">
        <v>54</v>
      </c>
      <c r="F548" t="s">
        <v>67</v>
      </c>
      <c r="G548" t="s">
        <v>40</v>
      </c>
      <c r="H548" s="3">
        <v>20148.019367274432</v>
      </c>
      <c r="I548">
        <v>4</v>
      </c>
      <c r="J548" s="3">
        <v>13730.399970162969</v>
      </c>
      <c r="K548" s="3">
        <v>6417.6193971114626</v>
      </c>
    </row>
    <row r="549" spans="1:11" x14ac:dyDescent="0.3">
      <c r="A549" t="s">
        <v>625</v>
      </c>
      <c r="B549" s="2">
        <v>44835</v>
      </c>
      <c r="C549">
        <v>2022</v>
      </c>
      <c r="D549">
        <v>10</v>
      </c>
      <c r="E549" t="s">
        <v>54</v>
      </c>
      <c r="F549" t="s">
        <v>48</v>
      </c>
      <c r="G549" t="s">
        <v>40</v>
      </c>
      <c r="H549" s="3">
        <v>55837.53201125186</v>
      </c>
      <c r="I549">
        <v>10</v>
      </c>
      <c r="J549" s="3">
        <v>37534.336471553477</v>
      </c>
      <c r="K549" s="3">
        <v>18303.195539698379</v>
      </c>
    </row>
    <row r="550" spans="1:11" x14ac:dyDescent="0.3">
      <c r="A550" t="s">
        <v>626</v>
      </c>
      <c r="B550" s="2">
        <v>44835</v>
      </c>
      <c r="C550">
        <v>2022</v>
      </c>
      <c r="D550">
        <v>10</v>
      </c>
      <c r="E550" t="s">
        <v>58</v>
      </c>
      <c r="F550" t="s">
        <v>67</v>
      </c>
      <c r="G550" t="s">
        <v>40</v>
      </c>
      <c r="H550" s="3">
        <v>14919.022647304189</v>
      </c>
      <c r="I550">
        <v>3</v>
      </c>
      <c r="J550" s="3">
        <v>10321.14828765606</v>
      </c>
      <c r="K550" s="3">
        <v>4597.8743596481254</v>
      </c>
    </row>
    <row r="551" spans="1:11" x14ac:dyDescent="0.3">
      <c r="A551" t="s">
        <v>627</v>
      </c>
      <c r="B551" s="2">
        <v>44835</v>
      </c>
      <c r="C551">
        <v>2022</v>
      </c>
      <c r="D551">
        <v>10</v>
      </c>
      <c r="E551" t="s">
        <v>58</v>
      </c>
      <c r="F551" t="s">
        <v>48</v>
      </c>
      <c r="G551" t="s">
        <v>40</v>
      </c>
      <c r="H551" s="3">
        <v>38204.613060553071</v>
      </c>
      <c r="I551">
        <v>7</v>
      </c>
      <c r="J551" s="3">
        <v>26638.908351910221</v>
      </c>
      <c r="K551" s="3">
        <v>11565.70470864285</v>
      </c>
    </row>
    <row r="552" spans="1:11" x14ac:dyDescent="0.3">
      <c r="A552" t="s">
        <v>628</v>
      </c>
      <c r="B552" s="2">
        <v>44835</v>
      </c>
      <c r="C552">
        <v>2022</v>
      </c>
      <c r="D552">
        <v>10</v>
      </c>
      <c r="E552" t="s">
        <v>62</v>
      </c>
      <c r="F552" t="s">
        <v>67</v>
      </c>
      <c r="G552" t="s">
        <v>40</v>
      </c>
      <c r="H552" s="3">
        <v>10579.554385901311</v>
      </c>
      <c r="I552">
        <v>2</v>
      </c>
      <c r="J552" s="3">
        <v>7367.5472347400637</v>
      </c>
      <c r="K552" s="3">
        <v>3212.0071511612432</v>
      </c>
    </row>
    <row r="553" spans="1:11" x14ac:dyDescent="0.3">
      <c r="A553" t="s">
        <v>629</v>
      </c>
      <c r="B553" s="2">
        <v>44835</v>
      </c>
      <c r="C553">
        <v>2022</v>
      </c>
      <c r="D553">
        <v>10</v>
      </c>
      <c r="E553" t="s">
        <v>62</v>
      </c>
      <c r="F553" t="s">
        <v>48</v>
      </c>
      <c r="G553" t="s">
        <v>40</v>
      </c>
      <c r="H553" s="3">
        <v>30971.949725534909</v>
      </c>
      <c r="I553">
        <v>6</v>
      </c>
      <c r="J553" s="3">
        <v>21686.047282214258</v>
      </c>
      <c r="K553" s="3">
        <v>9285.9024433206505</v>
      </c>
    </row>
    <row r="554" spans="1:11" x14ac:dyDescent="0.3">
      <c r="A554" t="s">
        <v>630</v>
      </c>
      <c r="B554" s="2">
        <v>44835</v>
      </c>
      <c r="C554">
        <v>2022</v>
      </c>
      <c r="D554">
        <v>10</v>
      </c>
      <c r="E554" t="s">
        <v>50</v>
      </c>
      <c r="F554" t="s">
        <v>67</v>
      </c>
      <c r="G554" t="s">
        <v>43</v>
      </c>
      <c r="H554" s="3">
        <v>54704.080604485862</v>
      </c>
      <c r="I554">
        <v>16</v>
      </c>
      <c r="J554" s="3">
        <v>32463.835381020948</v>
      </c>
      <c r="K554" s="3">
        <v>22240.24522346491</v>
      </c>
    </row>
    <row r="555" spans="1:11" x14ac:dyDescent="0.3">
      <c r="A555" t="s">
        <v>631</v>
      </c>
      <c r="B555" s="2">
        <v>44835</v>
      </c>
      <c r="C555">
        <v>2022</v>
      </c>
      <c r="D555">
        <v>10</v>
      </c>
      <c r="E555" t="s">
        <v>50</v>
      </c>
      <c r="F555" t="s">
        <v>48</v>
      </c>
      <c r="G555" t="s">
        <v>43</v>
      </c>
      <c r="H555" s="3">
        <v>145240.0847272432</v>
      </c>
      <c r="I555">
        <v>41</v>
      </c>
      <c r="J555" s="3">
        <v>84869.947704271268</v>
      </c>
      <c r="K555" s="3">
        <v>60370.137022971961</v>
      </c>
    </row>
    <row r="556" spans="1:11" x14ac:dyDescent="0.3">
      <c r="A556" t="s">
        <v>632</v>
      </c>
      <c r="B556" s="2">
        <v>44835</v>
      </c>
      <c r="C556">
        <v>2022</v>
      </c>
      <c r="D556">
        <v>10</v>
      </c>
      <c r="E556" t="s">
        <v>54</v>
      </c>
      <c r="F556" t="s">
        <v>67</v>
      </c>
      <c r="G556" t="s">
        <v>43</v>
      </c>
      <c r="H556" s="3">
        <v>39864.934724078659</v>
      </c>
      <c r="I556">
        <v>11</v>
      </c>
      <c r="J556" s="3">
        <v>23875.796288653921</v>
      </c>
      <c r="K556" s="3">
        <v>15989.138435424729</v>
      </c>
    </row>
    <row r="557" spans="1:11" x14ac:dyDescent="0.3">
      <c r="A557" t="s">
        <v>633</v>
      </c>
      <c r="B557" s="2">
        <v>44835</v>
      </c>
      <c r="C557">
        <v>2022</v>
      </c>
      <c r="D557">
        <v>10</v>
      </c>
      <c r="E557" t="s">
        <v>54</v>
      </c>
      <c r="F557" t="s">
        <v>48</v>
      </c>
      <c r="G557" t="s">
        <v>43</v>
      </c>
      <c r="H557" s="3">
        <v>116359.6125610606</v>
      </c>
      <c r="I557">
        <v>33</v>
      </c>
      <c r="J557" s="3">
        <v>66974.633927929099</v>
      </c>
      <c r="K557" s="3">
        <v>49384.978633131468</v>
      </c>
    </row>
    <row r="558" spans="1:11" x14ac:dyDescent="0.3">
      <c r="A558" t="s">
        <v>634</v>
      </c>
      <c r="B558" s="2">
        <v>44835</v>
      </c>
      <c r="C558">
        <v>2022</v>
      </c>
      <c r="D558">
        <v>10</v>
      </c>
      <c r="E558" t="s">
        <v>58</v>
      </c>
      <c r="F558" t="s">
        <v>67</v>
      </c>
      <c r="G558" t="s">
        <v>43</v>
      </c>
      <c r="H558" s="3">
        <v>32302.84255372149</v>
      </c>
      <c r="I558">
        <v>9</v>
      </c>
      <c r="J558" s="3">
        <v>18749.696215641841</v>
      </c>
      <c r="K558" s="3">
        <v>13553.14633807965</v>
      </c>
    </row>
    <row r="559" spans="1:11" x14ac:dyDescent="0.3">
      <c r="A559" t="s">
        <v>635</v>
      </c>
      <c r="B559" s="2">
        <v>44835</v>
      </c>
      <c r="C559">
        <v>2022</v>
      </c>
      <c r="D559">
        <v>10</v>
      </c>
      <c r="E559" t="s">
        <v>58</v>
      </c>
      <c r="F559" t="s">
        <v>48</v>
      </c>
      <c r="G559" t="s">
        <v>43</v>
      </c>
      <c r="H559" s="3">
        <v>82613.091423314923</v>
      </c>
      <c r="I559">
        <v>24</v>
      </c>
      <c r="J559" s="3">
        <v>47895.782013083721</v>
      </c>
      <c r="K559" s="3">
        <v>34717.309410231202</v>
      </c>
    </row>
    <row r="560" spans="1:11" x14ac:dyDescent="0.3">
      <c r="A560" t="s">
        <v>636</v>
      </c>
      <c r="B560" s="2">
        <v>44835</v>
      </c>
      <c r="C560">
        <v>2022</v>
      </c>
      <c r="D560">
        <v>10</v>
      </c>
      <c r="E560" t="s">
        <v>62</v>
      </c>
      <c r="F560" t="s">
        <v>67</v>
      </c>
      <c r="G560" t="s">
        <v>43</v>
      </c>
      <c r="H560" s="3">
        <v>20843.587987167579</v>
      </c>
      <c r="I560">
        <v>6</v>
      </c>
      <c r="J560" s="3">
        <v>12536.79693839615</v>
      </c>
      <c r="K560" s="3">
        <v>8306.7910487714271</v>
      </c>
    </row>
    <row r="561" spans="1:11" x14ac:dyDescent="0.3">
      <c r="A561" t="s">
        <v>637</v>
      </c>
      <c r="B561" s="2">
        <v>44835</v>
      </c>
      <c r="C561">
        <v>2022</v>
      </c>
      <c r="D561">
        <v>10</v>
      </c>
      <c r="E561" t="s">
        <v>62</v>
      </c>
      <c r="F561" t="s">
        <v>48</v>
      </c>
      <c r="G561" t="s">
        <v>43</v>
      </c>
      <c r="H561" s="3">
        <v>59147.518232290131</v>
      </c>
      <c r="I561">
        <v>17</v>
      </c>
      <c r="J561" s="3">
        <v>35489.24519785829</v>
      </c>
      <c r="K561" s="3">
        <v>23658.273034431841</v>
      </c>
    </row>
    <row r="562" spans="1:11" x14ac:dyDescent="0.3">
      <c r="A562" t="s">
        <v>638</v>
      </c>
      <c r="B562" s="2">
        <v>44866</v>
      </c>
      <c r="C562">
        <v>2022</v>
      </c>
      <c r="D562">
        <v>11</v>
      </c>
      <c r="E562" t="s">
        <v>50</v>
      </c>
      <c r="F562" t="s">
        <v>67</v>
      </c>
      <c r="G562" t="s">
        <v>19</v>
      </c>
      <c r="H562" s="3">
        <v>56638.427220742138</v>
      </c>
      <c r="I562">
        <v>11</v>
      </c>
      <c r="J562" s="3">
        <v>35423.843133441813</v>
      </c>
      <c r="K562" s="3">
        <v>21214.584087300329</v>
      </c>
    </row>
    <row r="563" spans="1:11" x14ac:dyDescent="0.3">
      <c r="A563" t="s">
        <v>639</v>
      </c>
      <c r="B563" s="2">
        <v>44866</v>
      </c>
      <c r="C563">
        <v>2022</v>
      </c>
      <c r="D563">
        <v>11</v>
      </c>
      <c r="E563" t="s">
        <v>50</v>
      </c>
      <c r="F563" t="s">
        <v>48</v>
      </c>
      <c r="G563" t="s">
        <v>19</v>
      </c>
      <c r="H563" s="3">
        <v>163356.90771557129</v>
      </c>
      <c r="I563">
        <v>31</v>
      </c>
      <c r="J563" s="3">
        <v>103235.4785561039</v>
      </c>
      <c r="K563" s="3">
        <v>60121.429159467429</v>
      </c>
    </row>
    <row r="564" spans="1:11" x14ac:dyDescent="0.3">
      <c r="A564" t="s">
        <v>640</v>
      </c>
      <c r="B564" s="2">
        <v>44866</v>
      </c>
      <c r="C564">
        <v>2022</v>
      </c>
      <c r="D564">
        <v>11</v>
      </c>
      <c r="E564" t="s">
        <v>54</v>
      </c>
      <c r="F564" t="s">
        <v>67</v>
      </c>
      <c r="G564" t="s">
        <v>19</v>
      </c>
      <c r="H564" s="3">
        <v>48920.112008580632</v>
      </c>
      <c r="I564">
        <v>9</v>
      </c>
      <c r="J564" s="3">
        <v>29850.426373136619</v>
      </c>
      <c r="K564" s="3">
        <v>19069.68563544401</v>
      </c>
    </row>
    <row r="565" spans="1:11" x14ac:dyDescent="0.3">
      <c r="A565" t="s">
        <v>641</v>
      </c>
      <c r="B565" s="2">
        <v>44866</v>
      </c>
      <c r="C565">
        <v>2022</v>
      </c>
      <c r="D565">
        <v>11</v>
      </c>
      <c r="E565" t="s">
        <v>54</v>
      </c>
      <c r="F565" t="s">
        <v>48</v>
      </c>
      <c r="G565" t="s">
        <v>19</v>
      </c>
      <c r="H565" s="3">
        <v>128385.0358538328</v>
      </c>
      <c r="I565">
        <v>25</v>
      </c>
      <c r="J565" s="3">
        <v>80098.181299470307</v>
      </c>
      <c r="K565" s="3">
        <v>48286.854554362508</v>
      </c>
    </row>
    <row r="566" spans="1:11" x14ac:dyDescent="0.3">
      <c r="A566" t="s">
        <v>642</v>
      </c>
      <c r="B566" s="2">
        <v>44866</v>
      </c>
      <c r="C566">
        <v>2022</v>
      </c>
      <c r="D566">
        <v>11</v>
      </c>
      <c r="E566" t="s">
        <v>58</v>
      </c>
      <c r="F566" t="s">
        <v>67</v>
      </c>
      <c r="G566" t="s">
        <v>19</v>
      </c>
      <c r="H566" s="3">
        <v>31184.483996714691</v>
      </c>
      <c r="I566">
        <v>6</v>
      </c>
      <c r="J566" s="3">
        <v>19290.817018423881</v>
      </c>
      <c r="K566" s="3">
        <v>11893.666978290819</v>
      </c>
    </row>
    <row r="567" spans="1:11" x14ac:dyDescent="0.3">
      <c r="A567" t="s">
        <v>643</v>
      </c>
      <c r="B567" s="2">
        <v>44866</v>
      </c>
      <c r="C567">
        <v>2022</v>
      </c>
      <c r="D567">
        <v>11</v>
      </c>
      <c r="E567" t="s">
        <v>58</v>
      </c>
      <c r="F567" t="s">
        <v>48</v>
      </c>
      <c r="G567" t="s">
        <v>19</v>
      </c>
      <c r="H567" s="3">
        <v>80513.564059920012</v>
      </c>
      <c r="I567">
        <v>15</v>
      </c>
      <c r="J567" s="3">
        <v>50679.359858339703</v>
      </c>
      <c r="K567" s="3">
        <v>29834.204201580309</v>
      </c>
    </row>
    <row r="568" spans="1:11" x14ac:dyDescent="0.3">
      <c r="A568" t="s">
        <v>644</v>
      </c>
      <c r="B568" s="2">
        <v>44866</v>
      </c>
      <c r="C568">
        <v>2022</v>
      </c>
      <c r="D568">
        <v>11</v>
      </c>
      <c r="E568" t="s">
        <v>62</v>
      </c>
      <c r="F568" t="s">
        <v>67</v>
      </c>
      <c r="G568" t="s">
        <v>19</v>
      </c>
      <c r="H568" s="3">
        <v>26650.333657577579</v>
      </c>
      <c r="I568">
        <v>5</v>
      </c>
      <c r="J568" s="3">
        <v>16488.937138746729</v>
      </c>
      <c r="K568" s="3">
        <v>10161.39651883085</v>
      </c>
    </row>
    <row r="569" spans="1:11" x14ac:dyDescent="0.3">
      <c r="A569" t="s">
        <v>645</v>
      </c>
      <c r="B569" s="2">
        <v>44866</v>
      </c>
      <c r="C569">
        <v>2022</v>
      </c>
      <c r="D569">
        <v>11</v>
      </c>
      <c r="E569" t="s">
        <v>62</v>
      </c>
      <c r="F569" t="s">
        <v>48</v>
      </c>
      <c r="G569" t="s">
        <v>19</v>
      </c>
      <c r="H569" s="3">
        <v>65107.17090368447</v>
      </c>
      <c r="I569">
        <v>13</v>
      </c>
      <c r="J569" s="3">
        <v>40086.747986833951</v>
      </c>
      <c r="K569" s="3">
        <v>25020.422916850519</v>
      </c>
    </row>
    <row r="570" spans="1:11" x14ac:dyDescent="0.3">
      <c r="A570" t="s">
        <v>646</v>
      </c>
      <c r="B570" s="2">
        <v>44866</v>
      </c>
      <c r="C570">
        <v>2022</v>
      </c>
      <c r="D570">
        <v>11</v>
      </c>
      <c r="E570" t="s">
        <v>50</v>
      </c>
      <c r="F570" t="s">
        <v>67</v>
      </c>
      <c r="G570" t="s">
        <v>24</v>
      </c>
      <c r="H570" s="3">
        <v>67512.094751471726</v>
      </c>
      <c r="I570">
        <v>11</v>
      </c>
      <c r="J570" s="3">
        <v>44991.814797796113</v>
      </c>
      <c r="K570" s="3">
        <v>22520.279953675621</v>
      </c>
    </row>
    <row r="571" spans="1:11" x14ac:dyDescent="0.3">
      <c r="A571" t="s">
        <v>647</v>
      </c>
      <c r="B571" s="2">
        <v>44866</v>
      </c>
      <c r="C571">
        <v>2022</v>
      </c>
      <c r="D571">
        <v>11</v>
      </c>
      <c r="E571" t="s">
        <v>50</v>
      </c>
      <c r="F571" t="s">
        <v>48</v>
      </c>
      <c r="G571" t="s">
        <v>24</v>
      </c>
      <c r="H571" s="3">
        <v>177126.48728863921</v>
      </c>
      <c r="I571">
        <v>29</v>
      </c>
      <c r="J571" s="3">
        <v>118747.17168074159</v>
      </c>
      <c r="K571" s="3">
        <v>58379.315607897617</v>
      </c>
    </row>
    <row r="572" spans="1:11" x14ac:dyDescent="0.3">
      <c r="A572" t="s">
        <v>648</v>
      </c>
      <c r="B572" s="2">
        <v>44866</v>
      </c>
      <c r="C572">
        <v>2022</v>
      </c>
      <c r="D572">
        <v>11</v>
      </c>
      <c r="E572" t="s">
        <v>54</v>
      </c>
      <c r="F572" t="s">
        <v>67</v>
      </c>
      <c r="G572" t="s">
        <v>24</v>
      </c>
      <c r="H572" s="3">
        <v>58065.439225420581</v>
      </c>
      <c r="I572">
        <v>10</v>
      </c>
      <c r="J572" s="3">
        <v>37862.153732136991</v>
      </c>
      <c r="K572" s="3">
        <v>20203.285493283591</v>
      </c>
    </row>
    <row r="573" spans="1:11" x14ac:dyDescent="0.3">
      <c r="A573" t="s">
        <v>649</v>
      </c>
      <c r="B573" s="2">
        <v>44866</v>
      </c>
      <c r="C573">
        <v>2022</v>
      </c>
      <c r="D573">
        <v>11</v>
      </c>
      <c r="E573" t="s">
        <v>54</v>
      </c>
      <c r="F573" t="s">
        <v>48</v>
      </c>
      <c r="G573" t="s">
        <v>24</v>
      </c>
      <c r="H573" s="3">
        <v>124186.18306786929</v>
      </c>
      <c r="I573">
        <v>20</v>
      </c>
      <c r="J573" s="3">
        <v>81872.773941291409</v>
      </c>
      <c r="K573" s="3">
        <v>42313.409126577862</v>
      </c>
    </row>
    <row r="574" spans="1:11" x14ac:dyDescent="0.3">
      <c r="A574" t="s">
        <v>650</v>
      </c>
      <c r="B574" s="2">
        <v>44866</v>
      </c>
      <c r="C574">
        <v>2022</v>
      </c>
      <c r="D574">
        <v>11</v>
      </c>
      <c r="E574" t="s">
        <v>58</v>
      </c>
      <c r="F574" t="s">
        <v>67</v>
      </c>
      <c r="G574" t="s">
        <v>24</v>
      </c>
      <c r="H574" s="3">
        <v>36714.573298537347</v>
      </c>
      <c r="I574">
        <v>6</v>
      </c>
      <c r="J574" s="3">
        <v>23769.95924586993</v>
      </c>
      <c r="K574" s="3">
        <v>12944.614052667421</v>
      </c>
    </row>
    <row r="575" spans="1:11" x14ac:dyDescent="0.3">
      <c r="A575" t="s">
        <v>651</v>
      </c>
      <c r="B575" s="2">
        <v>44866</v>
      </c>
      <c r="C575">
        <v>2022</v>
      </c>
      <c r="D575">
        <v>11</v>
      </c>
      <c r="E575" t="s">
        <v>58</v>
      </c>
      <c r="F575" t="s">
        <v>48</v>
      </c>
      <c r="G575" t="s">
        <v>24</v>
      </c>
      <c r="H575" s="3">
        <v>94311.129806953788</v>
      </c>
      <c r="I575">
        <v>15</v>
      </c>
      <c r="J575" s="3">
        <v>59446.477584778258</v>
      </c>
      <c r="K575" s="3">
        <v>34864.652222175529</v>
      </c>
    </row>
    <row r="576" spans="1:11" x14ac:dyDescent="0.3">
      <c r="A576" t="s">
        <v>652</v>
      </c>
      <c r="B576" s="2">
        <v>44866</v>
      </c>
      <c r="C576">
        <v>2022</v>
      </c>
      <c r="D576">
        <v>11</v>
      </c>
      <c r="E576" t="s">
        <v>62</v>
      </c>
      <c r="F576" t="s">
        <v>67</v>
      </c>
      <c r="G576" t="s">
        <v>24</v>
      </c>
      <c r="H576" s="3">
        <v>27726.435340404099</v>
      </c>
      <c r="I576">
        <v>5</v>
      </c>
      <c r="J576" s="3">
        <v>18365.476733050698</v>
      </c>
      <c r="K576" s="3">
        <v>9360.9586073533974</v>
      </c>
    </row>
    <row r="577" spans="1:11" x14ac:dyDescent="0.3">
      <c r="A577" t="s">
        <v>653</v>
      </c>
      <c r="B577" s="2">
        <v>44866</v>
      </c>
      <c r="C577">
        <v>2022</v>
      </c>
      <c r="D577">
        <v>11</v>
      </c>
      <c r="E577" t="s">
        <v>62</v>
      </c>
      <c r="F577" t="s">
        <v>48</v>
      </c>
      <c r="G577" t="s">
        <v>24</v>
      </c>
      <c r="H577" s="3">
        <v>70256.781125702299</v>
      </c>
      <c r="I577">
        <v>12</v>
      </c>
      <c r="J577" s="3">
        <v>46877.698739410429</v>
      </c>
      <c r="K577" s="3">
        <v>23379.08238629187</v>
      </c>
    </row>
    <row r="578" spans="1:11" x14ac:dyDescent="0.3">
      <c r="A578" t="s">
        <v>654</v>
      </c>
      <c r="B578" s="2">
        <v>44866</v>
      </c>
      <c r="C578">
        <v>2022</v>
      </c>
      <c r="D578">
        <v>11</v>
      </c>
      <c r="E578" t="s">
        <v>50</v>
      </c>
      <c r="F578" t="s">
        <v>67</v>
      </c>
      <c r="G578" t="s">
        <v>29</v>
      </c>
      <c r="H578" s="3">
        <v>40847.076509003557</v>
      </c>
      <c r="I578">
        <v>9</v>
      </c>
      <c r="J578" s="3">
        <v>26265.44668353652</v>
      </c>
      <c r="K578" s="3">
        <v>14581.62982546704</v>
      </c>
    </row>
    <row r="579" spans="1:11" x14ac:dyDescent="0.3">
      <c r="A579" t="s">
        <v>655</v>
      </c>
      <c r="B579" s="2">
        <v>44866</v>
      </c>
      <c r="C579">
        <v>2022</v>
      </c>
      <c r="D579">
        <v>11</v>
      </c>
      <c r="E579" t="s">
        <v>50</v>
      </c>
      <c r="F579" t="s">
        <v>48</v>
      </c>
      <c r="G579" t="s">
        <v>29</v>
      </c>
      <c r="H579" s="3">
        <v>109438.0962256044</v>
      </c>
      <c r="I579">
        <v>25</v>
      </c>
      <c r="J579" s="3">
        <v>67582.516744977882</v>
      </c>
      <c r="K579" s="3">
        <v>41855.579480626468</v>
      </c>
    </row>
    <row r="580" spans="1:11" x14ac:dyDescent="0.3">
      <c r="A580" t="s">
        <v>656</v>
      </c>
      <c r="B580" s="2">
        <v>44866</v>
      </c>
      <c r="C580">
        <v>2022</v>
      </c>
      <c r="D580">
        <v>11</v>
      </c>
      <c r="E580" t="s">
        <v>54</v>
      </c>
      <c r="F580" t="s">
        <v>67</v>
      </c>
      <c r="G580" t="s">
        <v>29</v>
      </c>
      <c r="H580" s="3">
        <v>33546.653291919589</v>
      </c>
      <c r="I580">
        <v>8</v>
      </c>
      <c r="J580" s="3">
        <v>21334.26973217768</v>
      </c>
      <c r="K580" s="3">
        <v>12212.383559741909</v>
      </c>
    </row>
    <row r="581" spans="1:11" x14ac:dyDescent="0.3">
      <c r="A581" t="s">
        <v>657</v>
      </c>
      <c r="B581" s="2">
        <v>44866</v>
      </c>
      <c r="C581">
        <v>2022</v>
      </c>
      <c r="D581">
        <v>11</v>
      </c>
      <c r="E581" t="s">
        <v>54</v>
      </c>
      <c r="F581" t="s">
        <v>48</v>
      </c>
      <c r="G581" t="s">
        <v>29</v>
      </c>
      <c r="H581" s="3">
        <v>89855.305678008837</v>
      </c>
      <c r="I581">
        <v>21</v>
      </c>
      <c r="J581" s="3">
        <v>55211.110392689632</v>
      </c>
      <c r="K581" s="3">
        <v>34644.195285319212</v>
      </c>
    </row>
    <row r="582" spans="1:11" x14ac:dyDescent="0.3">
      <c r="A582" t="s">
        <v>658</v>
      </c>
      <c r="B582" s="2">
        <v>44866</v>
      </c>
      <c r="C582">
        <v>2022</v>
      </c>
      <c r="D582">
        <v>11</v>
      </c>
      <c r="E582" t="s">
        <v>58</v>
      </c>
      <c r="F582" t="s">
        <v>67</v>
      </c>
      <c r="G582" t="s">
        <v>29</v>
      </c>
      <c r="H582" s="3">
        <v>23394.105367476539</v>
      </c>
      <c r="I582">
        <v>5</v>
      </c>
      <c r="J582" s="3">
        <v>15341.3620122214</v>
      </c>
      <c r="K582" s="3">
        <v>8052.7433552551356</v>
      </c>
    </row>
    <row r="583" spans="1:11" x14ac:dyDescent="0.3">
      <c r="A583" t="s">
        <v>659</v>
      </c>
      <c r="B583" s="2">
        <v>44866</v>
      </c>
      <c r="C583">
        <v>2022</v>
      </c>
      <c r="D583">
        <v>11</v>
      </c>
      <c r="E583" t="s">
        <v>58</v>
      </c>
      <c r="F583" t="s">
        <v>48</v>
      </c>
      <c r="G583" t="s">
        <v>29</v>
      </c>
      <c r="H583" s="3">
        <v>59682.5991994246</v>
      </c>
      <c r="I583">
        <v>14</v>
      </c>
      <c r="J583" s="3">
        <v>37450.153672592678</v>
      </c>
      <c r="K583" s="3">
        <v>22232.445526831922</v>
      </c>
    </row>
    <row r="584" spans="1:11" x14ac:dyDescent="0.3">
      <c r="A584" t="s">
        <v>660</v>
      </c>
      <c r="B584" s="2">
        <v>44866</v>
      </c>
      <c r="C584">
        <v>2022</v>
      </c>
      <c r="D584">
        <v>11</v>
      </c>
      <c r="E584" t="s">
        <v>62</v>
      </c>
      <c r="F584" t="s">
        <v>67</v>
      </c>
      <c r="G584" t="s">
        <v>29</v>
      </c>
      <c r="H584" s="3">
        <v>19161.596543269759</v>
      </c>
      <c r="I584">
        <v>4</v>
      </c>
      <c r="J584" s="3">
        <v>12540.541579271419</v>
      </c>
      <c r="K584" s="3">
        <v>6621.0549639983401</v>
      </c>
    </row>
    <row r="585" spans="1:11" x14ac:dyDescent="0.3">
      <c r="A585" t="s">
        <v>661</v>
      </c>
      <c r="B585" s="2">
        <v>44866</v>
      </c>
      <c r="C585">
        <v>2022</v>
      </c>
      <c r="D585">
        <v>11</v>
      </c>
      <c r="E585" t="s">
        <v>62</v>
      </c>
      <c r="F585" t="s">
        <v>48</v>
      </c>
      <c r="G585" t="s">
        <v>29</v>
      </c>
      <c r="H585" s="3">
        <v>44169.984643707787</v>
      </c>
      <c r="I585">
        <v>10</v>
      </c>
      <c r="J585" s="3">
        <v>28750.084800745219</v>
      </c>
      <c r="K585" s="3">
        <v>15419.89984296257</v>
      </c>
    </row>
    <row r="586" spans="1:11" x14ac:dyDescent="0.3">
      <c r="A586" t="s">
        <v>662</v>
      </c>
      <c r="B586" s="2">
        <v>44866</v>
      </c>
      <c r="C586">
        <v>2022</v>
      </c>
      <c r="D586">
        <v>11</v>
      </c>
      <c r="E586" t="s">
        <v>50</v>
      </c>
      <c r="F586" t="s">
        <v>67</v>
      </c>
      <c r="G586" t="s">
        <v>34</v>
      </c>
      <c r="H586" s="3">
        <v>41139.29585761881</v>
      </c>
      <c r="I586">
        <v>48</v>
      </c>
      <c r="J586" s="3">
        <v>19426.753010086959</v>
      </c>
      <c r="K586" s="3">
        <v>21712.542847531851</v>
      </c>
    </row>
    <row r="587" spans="1:11" x14ac:dyDescent="0.3">
      <c r="A587" t="s">
        <v>663</v>
      </c>
      <c r="B587" s="2">
        <v>44866</v>
      </c>
      <c r="C587">
        <v>2022</v>
      </c>
      <c r="D587">
        <v>11</v>
      </c>
      <c r="E587" t="s">
        <v>50</v>
      </c>
      <c r="F587" t="s">
        <v>48</v>
      </c>
      <c r="G587" t="s">
        <v>34</v>
      </c>
      <c r="H587" s="3">
        <v>96592.532632928996</v>
      </c>
      <c r="I587">
        <v>114</v>
      </c>
      <c r="J587" s="3">
        <v>45419.03924171684</v>
      </c>
      <c r="K587" s="3">
        <v>51173.493391212163</v>
      </c>
    </row>
    <row r="588" spans="1:11" x14ac:dyDescent="0.3">
      <c r="A588" t="s">
        <v>664</v>
      </c>
      <c r="B588" s="2">
        <v>44866</v>
      </c>
      <c r="C588">
        <v>2022</v>
      </c>
      <c r="D588">
        <v>11</v>
      </c>
      <c r="E588" t="s">
        <v>54</v>
      </c>
      <c r="F588" t="s">
        <v>67</v>
      </c>
      <c r="G588" t="s">
        <v>34</v>
      </c>
      <c r="H588" s="3">
        <v>27242.091934325461</v>
      </c>
      <c r="I588">
        <v>32</v>
      </c>
      <c r="J588" s="3">
        <v>13158.67135293633</v>
      </c>
      <c r="K588" s="3">
        <v>14083.420581389129</v>
      </c>
    </row>
    <row r="589" spans="1:11" x14ac:dyDescent="0.3">
      <c r="A589" t="s">
        <v>665</v>
      </c>
      <c r="B589" s="2">
        <v>44866</v>
      </c>
      <c r="C589">
        <v>2022</v>
      </c>
      <c r="D589">
        <v>11</v>
      </c>
      <c r="E589" t="s">
        <v>54</v>
      </c>
      <c r="F589" t="s">
        <v>48</v>
      </c>
      <c r="G589" t="s">
        <v>34</v>
      </c>
      <c r="H589" s="3">
        <v>71870.631077097758</v>
      </c>
      <c r="I589">
        <v>85</v>
      </c>
      <c r="J589" s="3">
        <v>33973.609561032659</v>
      </c>
      <c r="K589" s="3">
        <v>37897.021516065099</v>
      </c>
    </row>
    <row r="590" spans="1:11" x14ac:dyDescent="0.3">
      <c r="A590" t="s">
        <v>666</v>
      </c>
      <c r="B590" s="2">
        <v>44866</v>
      </c>
      <c r="C590">
        <v>2022</v>
      </c>
      <c r="D590">
        <v>11</v>
      </c>
      <c r="E590" t="s">
        <v>58</v>
      </c>
      <c r="F590" t="s">
        <v>67</v>
      </c>
      <c r="G590" t="s">
        <v>34</v>
      </c>
      <c r="H590" s="3">
        <v>18832.4745010322</v>
      </c>
      <c r="I590">
        <v>22</v>
      </c>
      <c r="J590" s="3">
        <v>9056.2633009995134</v>
      </c>
      <c r="K590" s="3">
        <v>9776.211200032687</v>
      </c>
    </row>
    <row r="591" spans="1:11" x14ac:dyDescent="0.3">
      <c r="A591" t="s">
        <v>667</v>
      </c>
      <c r="B591" s="2">
        <v>44866</v>
      </c>
      <c r="C591">
        <v>2022</v>
      </c>
      <c r="D591">
        <v>11</v>
      </c>
      <c r="E591" t="s">
        <v>58</v>
      </c>
      <c r="F591" t="s">
        <v>48</v>
      </c>
      <c r="G591" t="s">
        <v>34</v>
      </c>
      <c r="H591" s="3">
        <v>53911.428784462587</v>
      </c>
      <c r="I591">
        <v>63</v>
      </c>
      <c r="J591" s="3">
        <v>25652.5872621491</v>
      </c>
      <c r="K591" s="3">
        <v>28258.841522313491</v>
      </c>
    </row>
    <row r="592" spans="1:11" x14ac:dyDescent="0.3">
      <c r="A592" t="s">
        <v>668</v>
      </c>
      <c r="B592" s="2">
        <v>44866</v>
      </c>
      <c r="C592">
        <v>2022</v>
      </c>
      <c r="D592">
        <v>11</v>
      </c>
      <c r="E592" t="s">
        <v>62</v>
      </c>
      <c r="F592" t="s">
        <v>67</v>
      </c>
      <c r="G592" t="s">
        <v>34</v>
      </c>
      <c r="H592" s="3">
        <v>14160.31816916834</v>
      </c>
      <c r="I592">
        <v>17</v>
      </c>
      <c r="J592" s="3">
        <v>6579.0366296231477</v>
      </c>
      <c r="K592" s="3">
        <v>7581.2815395451889</v>
      </c>
    </row>
    <row r="593" spans="1:11" x14ac:dyDescent="0.3">
      <c r="A593" t="s">
        <v>669</v>
      </c>
      <c r="B593" s="2">
        <v>44866</v>
      </c>
      <c r="C593">
        <v>2022</v>
      </c>
      <c r="D593">
        <v>11</v>
      </c>
      <c r="E593" t="s">
        <v>62</v>
      </c>
      <c r="F593" t="s">
        <v>48</v>
      </c>
      <c r="G593" t="s">
        <v>34</v>
      </c>
      <c r="H593" s="3">
        <v>39611.402477086442</v>
      </c>
      <c r="I593">
        <v>47</v>
      </c>
      <c r="J593" s="3">
        <v>18250.11219915163</v>
      </c>
      <c r="K593" s="3">
        <v>21361.290277934819</v>
      </c>
    </row>
    <row r="594" spans="1:11" x14ac:dyDescent="0.3">
      <c r="A594" t="s">
        <v>670</v>
      </c>
      <c r="B594" s="2">
        <v>44866</v>
      </c>
      <c r="C594">
        <v>2022</v>
      </c>
      <c r="D594">
        <v>11</v>
      </c>
      <c r="E594" t="s">
        <v>50</v>
      </c>
      <c r="F594" t="s">
        <v>67</v>
      </c>
      <c r="G594" t="s">
        <v>37</v>
      </c>
      <c r="H594" s="3">
        <v>38171.921364628732</v>
      </c>
      <c r="I594">
        <v>53</v>
      </c>
      <c r="J594" s="3">
        <v>21080.221186296349</v>
      </c>
      <c r="K594" s="3">
        <v>17091.700178332379</v>
      </c>
    </row>
    <row r="595" spans="1:11" x14ac:dyDescent="0.3">
      <c r="A595" t="s">
        <v>671</v>
      </c>
      <c r="B595" s="2">
        <v>44866</v>
      </c>
      <c r="C595">
        <v>2022</v>
      </c>
      <c r="D595">
        <v>11</v>
      </c>
      <c r="E595" t="s">
        <v>50</v>
      </c>
      <c r="F595" t="s">
        <v>48</v>
      </c>
      <c r="G595" t="s">
        <v>37</v>
      </c>
      <c r="H595" s="3">
        <v>89462.066664097933</v>
      </c>
      <c r="I595">
        <v>124</v>
      </c>
      <c r="J595" s="3">
        <v>48706.779311527949</v>
      </c>
      <c r="K595" s="3">
        <v>40755.287352569983</v>
      </c>
    </row>
    <row r="596" spans="1:11" x14ac:dyDescent="0.3">
      <c r="A596" t="s">
        <v>672</v>
      </c>
      <c r="B596" s="2">
        <v>44866</v>
      </c>
      <c r="C596">
        <v>2022</v>
      </c>
      <c r="D596">
        <v>11</v>
      </c>
      <c r="E596" t="s">
        <v>54</v>
      </c>
      <c r="F596" t="s">
        <v>67</v>
      </c>
      <c r="G596" t="s">
        <v>37</v>
      </c>
      <c r="H596" s="3">
        <v>26851.115789446321</v>
      </c>
      <c r="I596">
        <v>37</v>
      </c>
      <c r="J596" s="3">
        <v>14621.088004907821</v>
      </c>
      <c r="K596" s="3">
        <v>12230.027784538501</v>
      </c>
    </row>
    <row r="597" spans="1:11" x14ac:dyDescent="0.3">
      <c r="A597" t="s">
        <v>673</v>
      </c>
      <c r="B597" s="2">
        <v>44866</v>
      </c>
      <c r="C597">
        <v>2022</v>
      </c>
      <c r="D597">
        <v>11</v>
      </c>
      <c r="E597" t="s">
        <v>54</v>
      </c>
      <c r="F597" t="s">
        <v>48</v>
      </c>
      <c r="G597" t="s">
        <v>37</v>
      </c>
      <c r="H597" s="3">
        <v>75219.456328519766</v>
      </c>
      <c r="I597">
        <v>104</v>
      </c>
      <c r="J597" s="3">
        <v>41888.891727273462</v>
      </c>
      <c r="K597" s="3">
        <v>33330.564601246297</v>
      </c>
    </row>
    <row r="598" spans="1:11" x14ac:dyDescent="0.3">
      <c r="A598" t="s">
        <v>674</v>
      </c>
      <c r="B598" s="2">
        <v>44866</v>
      </c>
      <c r="C598">
        <v>2022</v>
      </c>
      <c r="D598">
        <v>11</v>
      </c>
      <c r="E598" t="s">
        <v>58</v>
      </c>
      <c r="F598" t="s">
        <v>67</v>
      </c>
      <c r="G598" t="s">
        <v>37</v>
      </c>
      <c r="H598" s="3">
        <v>19366.41437269669</v>
      </c>
      <c r="I598">
        <v>27</v>
      </c>
      <c r="J598" s="3">
        <v>10876.50906176305</v>
      </c>
      <c r="K598" s="3">
        <v>8489.9053109336328</v>
      </c>
    </row>
    <row r="599" spans="1:11" x14ac:dyDescent="0.3">
      <c r="A599" t="s">
        <v>675</v>
      </c>
      <c r="B599" s="2">
        <v>44866</v>
      </c>
      <c r="C599">
        <v>2022</v>
      </c>
      <c r="D599">
        <v>11</v>
      </c>
      <c r="E599" t="s">
        <v>58</v>
      </c>
      <c r="F599" t="s">
        <v>48</v>
      </c>
      <c r="G599" t="s">
        <v>37</v>
      </c>
      <c r="H599" s="3">
        <v>48032.390847718612</v>
      </c>
      <c r="I599">
        <v>67</v>
      </c>
      <c r="J599" s="3">
        <v>26288.214317903901</v>
      </c>
      <c r="K599" s="3">
        <v>21744.176529814711</v>
      </c>
    </row>
    <row r="600" spans="1:11" x14ac:dyDescent="0.3">
      <c r="A600" t="s">
        <v>676</v>
      </c>
      <c r="B600" s="2">
        <v>44866</v>
      </c>
      <c r="C600">
        <v>2022</v>
      </c>
      <c r="D600">
        <v>11</v>
      </c>
      <c r="E600" t="s">
        <v>62</v>
      </c>
      <c r="F600" t="s">
        <v>67</v>
      </c>
      <c r="G600" t="s">
        <v>37</v>
      </c>
      <c r="H600" s="3">
        <v>14328.879173676551</v>
      </c>
      <c r="I600">
        <v>20</v>
      </c>
      <c r="J600" s="3">
        <v>7832.5676081136889</v>
      </c>
      <c r="K600" s="3">
        <v>6496.3115655628653</v>
      </c>
    </row>
    <row r="601" spans="1:11" x14ac:dyDescent="0.3">
      <c r="A601" t="s">
        <v>677</v>
      </c>
      <c r="B601" s="2">
        <v>44866</v>
      </c>
      <c r="C601">
        <v>2022</v>
      </c>
      <c r="D601">
        <v>11</v>
      </c>
      <c r="E601" t="s">
        <v>62</v>
      </c>
      <c r="F601" t="s">
        <v>48</v>
      </c>
      <c r="G601" t="s">
        <v>37</v>
      </c>
      <c r="H601" s="3">
        <v>34962.922661136647</v>
      </c>
      <c r="I601">
        <v>49</v>
      </c>
      <c r="J601" s="3">
        <v>19402.723439269201</v>
      </c>
      <c r="K601" s="3">
        <v>15560.19922186745</v>
      </c>
    </row>
    <row r="602" spans="1:11" x14ac:dyDescent="0.3">
      <c r="A602" t="s">
        <v>678</v>
      </c>
      <c r="B602" s="2">
        <v>44866</v>
      </c>
      <c r="C602">
        <v>2022</v>
      </c>
      <c r="D602">
        <v>11</v>
      </c>
      <c r="E602" t="s">
        <v>50</v>
      </c>
      <c r="F602" t="s">
        <v>67</v>
      </c>
      <c r="G602" t="s">
        <v>40</v>
      </c>
      <c r="H602" s="3">
        <v>30383.209487314722</v>
      </c>
      <c r="I602">
        <v>6</v>
      </c>
      <c r="J602" s="3">
        <v>20452.36206992402</v>
      </c>
      <c r="K602" s="3">
        <v>9930.8474173907052</v>
      </c>
    </row>
    <row r="603" spans="1:11" x14ac:dyDescent="0.3">
      <c r="A603" t="s">
        <v>679</v>
      </c>
      <c r="B603" s="2">
        <v>44866</v>
      </c>
      <c r="C603">
        <v>2022</v>
      </c>
      <c r="D603">
        <v>11</v>
      </c>
      <c r="E603" t="s">
        <v>50</v>
      </c>
      <c r="F603" t="s">
        <v>48</v>
      </c>
      <c r="G603" t="s">
        <v>40</v>
      </c>
      <c r="H603" s="3">
        <v>74146.996266021946</v>
      </c>
      <c r="I603">
        <v>14</v>
      </c>
      <c r="J603" s="3">
        <v>51366.930342221887</v>
      </c>
      <c r="K603" s="3">
        <v>22780.065923800059</v>
      </c>
    </row>
    <row r="604" spans="1:11" x14ac:dyDescent="0.3">
      <c r="A604" t="s">
        <v>680</v>
      </c>
      <c r="B604" s="2">
        <v>44866</v>
      </c>
      <c r="C604">
        <v>2022</v>
      </c>
      <c r="D604">
        <v>11</v>
      </c>
      <c r="E604" t="s">
        <v>54</v>
      </c>
      <c r="F604" t="s">
        <v>67</v>
      </c>
      <c r="G604" t="s">
        <v>40</v>
      </c>
      <c r="H604" s="3">
        <v>23793.09736871341</v>
      </c>
      <c r="I604">
        <v>4</v>
      </c>
      <c r="J604" s="3">
        <v>16580.325156579031</v>
      </c>
      <c r="K604" s="3">
        <v>7212.7722121343832</v>
      </c>
    </row>
    <row r="605" spans="1:11" x14ac:dyDescent="0.3">
      <c r="A605" t="s">
        <v>681</v>
      </c>
      <c r="B605" s="2">
        <v>44866</v>
      </c>
      <c r="C605">
        <v>2022</v>
      </c>
      <c r="D605">
        <v>11</v>
      </c>
      <c r="E605" t="s">
        <v>54</v>
      </c>
      <c r="F605" t="s">
        <v>48</v>
      </c>
      <c r="G605" t="s">
        <v>40</v>
      </c>
      <c r="H605" s="3">
        <v>62857.860958399848</v>
      </c>
      <c r="I605">
        <v>12</v>
      </c>
      <c r="J605" s="3">
        <v>43902.976134282289</v>
      </c>
      <c r="K605" s="3">
        <v>18954.884824117558</v>
      </c>
    </row>
    <row r="606" spans="1:11" x14ac:dyDescent="0.3">
      <c r="A606" t="s">
        <v>682</v>
      </c>
      <c r="B606" s="2">
        <v>44866</v>
      </c>
      <c r="C606">
        <v>2022</v>
      </c>
      <c r="D606">
        <v>11</v>
      </c>
      <c r="E606" t="s">
        <v>58</v>
      </c>
      <c r="F606" t="s">
        <v>67</v>
      </c>
      <c r="G606" t="s">
        <v>40</v>
      </c>
      <c r="H606" s="3">
        <v>16152.02419732455</v>
      </c>
      <c r="I606">
        <v>3</v>
      </c>
      <c r="J606" s="3">
        <v>10756.368337836981</v>
      </c>
      <c r="K606" s="3">
        <v>5395.6558594875769</v>
      </c>
    </row>
    <row r="607" spans="1:11" x14ac:dyDescent="0.3">
      <c r="A607" t="s">
        <v>683</v>
      </c>
      <c r="B607" s="2">
        <v>44866</v>
      </c>
      <c r="C607">
        <v>2022</v>
      </c>
      <c r="D607">
        <v>11</v>
      </c>
      <c r="E607" t="s">
        <v>58</v>
      </c>
      <c r="F607" t="s">
        <v>48</v>
      </c>
      <c r="G607" t="s">
        <v>40</v>
      </c>
      <c r="H607" s="3">
        <v>45079.972930850963</v>
      </c>
      <c r="I607">
        <v>8</v>
      </c>
      <c r="J607" s="3">
        <v>30678.90363536161</v>
      </c>
      <c r="K607" s="3">
        <v>14401.069295489349</v>
      </c>
    </row>
    <row r="608" spans="1:11" x14ac:dyDescent="0.3">
      <c r="A608" t="s">
        <v>684</v>
      </c>
      <c r="B608" s="2">
        <v>44866</v>
      </c>
      <c r="C608">
        <v>2022</v>
      </c>
      <c r="D608">
        <v>11</v>
      </c>
      <c r="E608" t="s">
        <v>62</v>
      </c>
      <c r="F608" t="s">
        <v>67</v>
      </c>
      <c r="G608" t="s">
        <v>40</v>
      </c>
      <c r="H608" s="3">
        <v>13024.79468962268</v>
      </c>
      <c r="I608">
        <v>2</v>
      </c>
      <c r="J608" s="3">
        <v>8845.0334898304409</v>
      </c>
      <c r="K608" s="3">
        <v>4179.7611997922359</v>
      </c>
    </row>
    <row r="609" spans="1:11" x14ac:dyDescent="0.3">
      <c r="A609" t="s">
        <v>685</v>
      </c>
      <c r="B609" s="2">
        <v>44866</v>
      </c>
      <c r="C609">
        <v>2022</v>
      </c>
      <c r="D609">
        <v>11</v>
      </c>
      <c r="E609" t="s">
        <v>62</v>
      </c>
      <c r="F609" t="s">
        <v>48</v>
      </c>
      <c r="G609" t="s">
        <v>40</v>
      </c>
      <c r="H609" s="3">
        <v>32059.8423305453</v>
      </c>
      <c r="I609">
        <v>6</v>
      </c>
      <c r="J609" s="3">
        <v>22161.064519390991</v>
      </c>
      <c r="K609" s="3">
        <v>9898.7778111543084</v>
      </c>
    </row>
    <row r="610" spans="1:11" x14ac:dyDescent="0.3">
      <c r="A610" t="s">
        <v>686</v>
      </c>
      <c r="B610" s="2">
        <v>44866</v>
      </c>
      <c r="C610">
        <v>2022</v>
      </c>
      <c r="D610">
        <v>11</v>
      </c>
      <c r="E610" t="s">
        <v>50</v>
      </c>
      <c r="F610" t="s">
        <v>67</v>
      </c>
      <c r="G610" t="s">
        <v>43</v>
      </c>
      <c r="H610" s="3">
        <v>58977.858994600138</v>
      </c>
      <c r="I610">
        <v>17</v>
      </c>
      <c r="J610" s="3">
        <v>35098.048704537381</v>
      </c>
      <c r="K610" s="3">
        <v>23879.81029006276</v>
      </c>
    </row>
    <row r="611" spans="1:11" x14ac:dyDescent="0.3">
      <c r="A611" t="s">
        <v>687</v>
      </c>
      <c r="B611" s="2">
        <v>44866</v>
      </c>
      <c r="C611">
        <v>2022</v>
      </c>
      <c r="D611">
        <v>11</v>
      </c>
      <c r="E611" t="s">
        <v>50</v>
      </c>
      <c r="F611" t="s">
        <v>48</v>
      </c>
      <c r="G611" t="s">
        <v>43</v>
      </c>
      <c r="H611" s="3">
        <v>166789.14627500699</v>
      </c>
      <c r="I611">
        <v>48</v>
      </c>
      <c r="J611" s="3">
        <v>101056.7205447114</v>
      </c>
      <c r="K611" s="3">
        <v>65732.425730295639</v>
      </c>
    </row>
    <row r="612" spans="1:11" x14ac:dyDescent="0.3">
      <c r="A612" t="s">
        <v>688</v>
      </c>
      <c r="B612" s="2">
        <v>44866</v>
      </c>
      <c r="C612">
        <v>2022</v>
      </c>
      <c r="D612">
        <v>11</v>
      </c>
      <c r="E612" t="s">
        <v>54</v>
      </c>
      <c r="F612" t="s">
        <v>67</v>
      </c>
      <c r="G612" t="s">
        <v>43</v>
      </c>
      <c r="H612" s="3">
        <v>51461.752505255106</v>
      </c>
      <c r="I612">
        <v>15</v>
      </c>
      <c r="J612" s="3">
        <v>30091.92355715646</v>
      </c>
      <c r="K612" s="3">
        <v>21369.82894809865</v>
      </c>
    </row>
    <row r="613" spans="1:11" x14ac:dyDescent="0.3">
      <c r="A613" t="s">
        <v>689</v>
      </c>
      <c r="B613" s="2">
        <v>44866</v>
      </c>
      <c r="C613">
        <v>2022</v>
      </c>
      <c r="D613">
        <v>11</v>
      </c>
      <c r="E613" t="s">
        <v>54</v>
      </c>
      <c r="F613" t="s">
        <v>48</v>
      </c>
      <c r="G613" t="s">
        <v>43</v>
      </c>
      <c r="H613" s="3">
        <v>134168.98068257971</v>
      </c>
      <c r="I613">
        <v>38</v>
      </c>
      <c r="J613" s="3">
        <v>78450.720200737109</v>
      </c>
      <c r="K613" s="3">
        <v>55718.260481842553</v>
      </c>
    </row>
    <row r="614" spans="1:11" x14ac:dyDescent="0.3">
      <c r="A614" t="s">
        <v>690</v>
      </c>
      <c r="B614" s="2">
        <v>44866</v>
      </c>
      <c r="C614">
        <v>2022</v>
      </c>
      <c r="D614">
        <v>11</v>
      </c>
      <c r="E614" t="s">
        <v>58</v>
      </c>
      <c r="F614" t="s">
        <v>67</v>
      </c>
      <c r="G614" t="s">
        <v>43</v>
      </c>
      <c r="H614" s="3">
        <v>36003.317601677561</v>
      </c>
      <c r="I614">
        <v>10</v>
      </c>
      <c r="J614" s="3">
        <v>21681.54049756104</v>
      </c>
      <c r="K614" s="3">
        <v>14321.77710411652</v>
      </c>
    </row>
    <row r="615" spans="1:11" x14ac:dyDescent="0.3">
      <c r="A615" t="s">
        <v>691</v>
      </c>
      <c r="B615" s="2">
        <v>44866</v>
      </c>
      <c r="C615">
        <v>2022</v>
      </c>
      <c r="D615">
        <v>11</v>
      </c>
      <c r="E615" t="s">
        <v>58</v>
      </c>
      <c r="F615" t="s">
        <v>48</v>
      </c>
      <c r="G615" t="s">
        <v>43</v>
      </c>
      <c r="H615" s="3">
        <v>85738.446998835105</v>
      </c>
      <c r="I615">
        <v>24</v>
      </c>
      <c r="J615" s="3">
        <v>50855.729579162951</v>
      </c>
      <c r="K615" s="3">
        <v>34882.717419672153</v>
      </c>
    </row>
    <row r="616" spans="1:11" x14ac:dyDescent="0.3">
      <c r="A616" t="s">
        <v>692</v>
      </c>
      <c r="B616" s="2">
        <v>44866</v>
      </c>
      <c r="C616">
        <v>2022</v>
      </c>
      <c r="D616">
        <v>11</v>
      </c>
      <c r="E616" t="s">
        <v>62</v>
      </c>
      <c r="F616" t="s">
        <v>67</v>
      </c>
      <c r="G616" t="s">
        <v>43</v>
      </c>
      <c r="H616" s="3">
        <v>23483.696806811738</v>
      </c>
      <c r="I616">
        <v>7</v>
      </c>
      <c r="J616" s="3">
        <v>14171.529422595449</v>
      </c>
      <c r="K616" s="3">
        <v>9312.1673842162927</v>
      </c>
    </row>
    <row r="617" spans="1:11" x14ac:dyDescent="0.3">
      <c r="A617" t="s">
        <v>693</v>
      </c>
      <c r="B617" s="2">
        <v>44866</v>
      </c>
      <c r="C617">
        <v>2022</v>
      </c>
      <c r="D617">
        <v>11</v>
      </c>
      <c r="E617" t="s">
        <v>62</v>
      </c>
      <c r="F617" t="s">
        <v>48</v>
      </c>
      <c r="G617" t="s">
        <v>43</v>
      </c>
      <c r="H617" s="3">
        <v>67231.400941111642</v>
      </c>
      <c r="I617">
        <v>19</v>
      </c>
      <c r="J617" s="3">
        <v>39872.677621231313</v>
      </c>
      <c r="K617" s="3">
        <v>27358.72331988033</v>
      </c>
    </row>
    <row r="618" spans="1:11" x14ac:dyDescent="0.3">
      <c r="A618" t="s">
        <v>694</v>
      </c>
      <c r="B618" s="2">
        <v>44896</v>
      </c>
      <c r="C618">
        <v>2022</v>
      </c>
      <c r="D618">
        <v>12</v>
      </c>
      <c r="E618" t="s">
        <v>50</v>
      </c>
      <c r="F618" t="s">
        <v>67</v>
      </c>
      <c r="G618" t="s">
        <v>19</v>
      </c>
      <c r="H618" s="3">
        <v>63877.481603872111</v>
      </c>
      <c r="I618">
        <v>12</v>
      </c>
      <c r="J618" s="3">
        <v>38779.161752337342</v>
      </c>
      <c r="K618" s="3">
        <v>25098.319851534779</v>
      </c>
    </row>
    <row r="619" spans="1:11" x14ac:dyDescent="0.3">
      <c r="A619" t="s">
        <v>695</v>
      </c>
      <c r="B619" s="2">
        <v>44896</v>
      </c>
      <c r="C619">
        <v>2022</v>
      </c>
      <c r="D619">
        <v>12</v>
      </c>
      <c r="E619" t="s">
        <v>50</v>
      </c>
      <c r="F619" t="s">
        <v>48</v>
      </c>
      <c r="G619" t="s">
        <v>19</v>
      </c>
      <c r="H619" s="3">
        <v>144653.08362612591</v>
      </c>
      <c r="I619">
        <v>28</v>
      </c>
      <c r="J619" s="3">
        <v>87532.80486654758</v>
      </c>
      <c r="K619" s="3">
        <v>57120.278759578272</v>
      </c>
    </row>
    <row r="620" spans="1:11" x14ac:dyDescent="0.3">
      <c r="A620" t="s">
        <v>696</v>
      </c>
      <c r="B620" s="2">
        <v>44896</v>
      </c>
      <c r="C620">
        <v>2022</v>
      </c>
      <c r="D620">
        <v>12</v>
      </c>
      <c r="E620" t="s">
        <v>54</v>
      </c>
      <c r="F620" t="s">
        <v>67</v>
      </c>
      <c r="G620" t="s">
        <v>19</v>
      </c>
      <c r="H620" s="3">
        <v>49802.961901731913</v>
      </c>
      <c r="I620">
        <v>10</v>
      </c>
      <c r="J620" s="3">
        <v>30015.50423447552</v>
      </c>
      <c r="K620" s="3">
        <v>19787.457667256389</v>
      </c>
    </row>
    <row r="621" spans="1:11" x14ac:dyDescent="0.3">
      <c r="A621" t="s">
        <v>697</v>
      </c>
      <c r="B621" s="2">
        <v>44896</v>
      </c>
      <c r="C621">
        <v>2022</v>
      </c>
      <c r="D621">
        <v>12</v>
      </c>
      <c r="E621" t="s">
        <v>54</v>
      </c>
      <c r="F621" t="s">
        <v>48</v>
      </c>
      <c r="G621" t="s">
        <v>19</v>
      </c>
      <c r="H621" s="3">
        <v>113246.55925549861</v>
      </c>
      <c r="I621">
        <v>22</v>
      </c>
      <c r="J621" s="3">
        <v>71049.588768869799</v>
      </c>
      <c r="K621" s="3">
        <v>42196.970486628757</v>
      </c>
    </row>
    <row r="622" spans="1:11" x14ac:dyDescent="0.3">
      <c r="A622" t="s">
        <v>698</v>
      </c>
      <c r="B622" s="2">
        <v>44896</v>
      </c>
      <c r="C622">
        <v>2022</v>
      </c>
      <c r="D622">
        <v>12</v>
      </c>
      <c r="E622" t="s">
        <v>58</v>
      </c>
      <c r="F622" t="s">
        <v>67</v>
      </c>
      <c r="G622" t="s">
        <v>19</v>
      </c>
      <c r="H622" s="3">
        <v>34033.573649982332</v>
      </c>
      <c r="I622">
        <v>7</v>
      </c>
      <c r="J622" s="3">
        <v>21552.262187297361</v>
      </c>
      <c r="K622" s="3">
        <v>12481.311462684969</v>
      </c>
    </row>
    <row r="623" spans="1:11" x14ac:dyDescent="0.3">
      <c r="A623" t="s">
        <v>699</v>
      </c>
      <c r="B623" s="2">
        <v>44896</v>
      </c>
      <c r="C623">
        <v>2022</v>
      </c>
      <c r="D623">
        <v>12</v>
      </c>
      <c r="E623" t="s">
        <v>58</v>
      </c>
      <c r="F623" t="s">
        <v>48</v>
      </c>
      <c r="G623" t="s">
        <v>19</v>
      </c>
      <c r="H623" s="3">
        <v>88147.93333675999</v>
      </c>
      <c r="I623">
        <v>17</v>
      </c>
      <c r="J623" s="3">
        <v>56470.993419210907</v>
      </c>
      <c r="K623" s="3">
        <v>31676.93991754908</v>
      </c>
    </row>
    <row r="624" spans="1:11" x14ac:dyDescent="0.3">
      <c r="A624" t="s">
        <v>700</v>
      </c>
      <c r="B624" s="2">
        <v>44896</v>
      </c>
      <c r="C624">
        <v>2022</v>
      </c>
      <c r="D624">
        <v>12</v>
      </c>
      <c r="E624" t="s">
        <v>62</v>
      </c>
      <c r="F624" t="s">
        <v>67</v>
      </c>
      <c r="G624" t="s">
        <v>19</v>
      </c>
      <c r="H624" s="3">
        <v>25518.45693668531</v>
      </c>
      <c r="I624">
        <v>5</v>
      </c>
      <c r="J624" s="3">
        <v>16061.54787855923</v>
      </c>
      <c r="K624" s="3">
        <v>9456.9090581260789</v>
      </c>
    </row>
    <row r="625" spans="1:11" x14ac:dyDescent="0.3">
      <c r="A625" t="s">
        <v>701</v>
      </c>
      <c r="B625" s="2">
        <v>44896</v>
      </c>
      <c r="C625">
        <v>2022</v>
      </c>
      <c r="D625">
        <v>12</v>
      </c>
      <c r="E625" t="s">
        <v>62</v>
      </c>
      <c r="F625" t="s">
        <v>48</v>
      </c>
      <c r="G625" t="s">
        <v>19</v>
      </c>
      <c r="H625" s="3">
        <v>63710.95983559842</v>
      </c>
      <c r="I625">
        <v>12</v>
      </c>
      <c r="J625" s="3">
        <v>40327.58996897118</v>
      </c>
      <c r="K625" s="3">
        <v>23383.369866627239</v>
      </c>
    </row>
    <row r="626" spans="1:11" x14ac:dyDescent="0.3">
      <c r="A626" t="s">
        <v>702</v>
      </c>
      <c r="B626" s="2">
        <v>44896</v>
      </c>
      <c r="C626">
        <v>2022</v>
      </c>
      <c r="D626">
        <v>12</v>
      </c>
      <c r="E626" t="s">
        <v>50</v>
      </c>
      <c r="F626" t="s">
        <v>67</v>
      </c>
      <c r="G626" t="s">
        <v>24</v>
      </c>
      <c r="H626" s="3">
        <v>66356.971769564916</v>
      </c>
      <c r="I626">
        <v>11</v>
      </c>
      <c r="J626" s="3">
        <v>43338.362414260802</v>
      </c>
      <c r="K626" s="3">
        <v>23018.60935530411</v>
      </c>
    </row>
    <row r="627" spans="1:11" x14ac:dyDescent="0.3">
      <c r="A627" t="s">
        <v>703</v>
      </c>
      <c r="B627" s="2">
        <v>44896</v>
      </c>
      <c r="C627">
        <v>2022</v>
      </c>
      <c r="D627">
        <v>12</v>
      </c>
      <c r="E627" t="s">
        <v>50</v>
      </c>
      <c r="F627" t="s">
        <v>48</v>
      </c>
      <c r="G627" t="s">
        <v>24</v>
      </c>
      <c r="H627" s="3">
        <v>169190.8165144228</v>
      </c>
      <c r="I627">
        <v>28</v>
      </c>
      <c r="J627" s="3">
        <v>109341.55825668979</v>
      </c>
      <c r="K627" s="3">
        <v>59849.258257732967</v>
      </c>
    </row>
    <row r="628" spans="1:11" x14ac:dyDescent="0.3">
      <c r="A628" t="s">
        <v>704</v>
      </c>
      <c r="B628" s="2">
        <v>44896</v>
      </c>
      <c r="C628">
        <v>2022</v>
      </c>
      <c r="D628">
        <v>12</v>
      </c>
      <c r="E628" t="s">
        <v>54</v>
      </c>
      <c r="F628" t="s">
        <v>67</v>
      </c>
      <c r="G628" t="s">
        <v>24</v>
      </c>
      <c r="H628" s="3">
        <v>50421.199857372747</v>
      </c>
      <c r="I628">
        <v>8</v>
      </c>
      <c r="J628" s="3">
        <v>33787.192702449647</v>
      </c>
      <c r="K628" s="3">
        <v>16634.0071549231</v>
      </c>
    </row>
    <row r="629" spans="1:11" x14ac:dyDescent="0.3">
      <c r="A629" t="s">
        <v>705</v>
      </c>
      <c r="B629" s="2">
        <v>44896</v>
      </c>
      <c r="C629">
        <v>2022</v>
      </c>
      <c r="D629">
        <v>12</v>
      </c>
      <c r="E629" t="s">
        <v>54</v>
      </c>
      <c r="F629" t="s">
        <v>48</v>
      </c>
      <c r="G629" t="s">
        <v>24</v>
      </c>
      <c r="H629" s="3">
        <v>133231.93477049679</v>
      </c>
      <c r="I629">
        <v>22</v>
      </c>
      <c r="J629" s="3">
        <v>88594.180115606418</v>
      </c>
      <c r="K629" s="3">
        <v>44637.754654890377</v>
      </c>
    </row>
    <row r="630" spans="1:11" x14ac:dyDescent="0.3">
      <c r="A630" t="s">
        <v>706</v>
      </c>
      <c r="B630" s="2">
        <v>44896</v>
      </c>
      <c r="C630">
        <v>2022</v>
      </c>
      <c r="D630">
        <v>12</v>
      </c>
      <c r="E630" t="s">
        <v>58</v>
      </c>
      <c r="F630" t="s">
        <v>67</v>
      </c>
      <c r="G630" t="s">
        <v>24</v>
      </c>
      <c r="H630" s="3">
        <v>35788.716291124183</v>
      </c>
      <c r="I630">
        <v>6</v>
      </c>
      <c r="J630" s="3">
        <v>23666.23487135868</v>
      </c>
      <c r="K630" s="3">
        <v>12122.4814197655</v>
      </c>
    </row>
    <row r="631" spans="1:11" x14ac:dyDescent="0.3">
      <c r="A631" t="s">
        <v>707</v>
      </c>
      <c r="B631" s="2">
        <v>44896</v>
      </c>
      <c r="C631">
        <v>2022</v>
      </c>
      <c r="D631">
        <v>12</v>
      </c>
      <c r="E631" t="s">
        <v>58</v>
      </c>
      <c r="F631" t="s">
        <v>48</v>
      </c>
      <c r="G631" t="s">
        <v>24</v>
      </c>
      <c r="H631" s="3">
        <v>89954.696627732759</v>
      </c>
      <c r="I631">
        <v>15</v>
      </c>
      <c r="J631" s="3">
        <v>59784.068876491823</v>
      </c>
      <c r="K631" s="3">
        <v>30170.62775124094</v>
      </c>
    </row>
    <row r="632" spans="1:11" x14ac:dyDescent="0.3">
      <c r="A632" t="s">
        <v>708</v>
      </c>
      <c r="B632" s="2">
        <v>44896</v>
      </c>
      <c r="C632">
        <v>2022</v>
      </c>
      <c r="D632">
        <v>12</v>
      </c>
      <c r="E632" t="s">
        <v>62</v>
      </c>
      <c r="F632" t="s">
        <v>67</v>
      </c>
      <c r="G632" t="s">
        <v>24</v>
      </c>
      <c r="H632" s="3">
        <v>23078.5464526912</v>
      </c>
      <c r="I632">
        <v>4</v>
      </c>
      <c r="J632" s="3">
        <v>15320.449434672781</v>
      </c>
      <c r="K632" s="3">
        <v>7758.0970180184122</v>
      </c>
    </row>
    <row r="633" spans="1:11" x14ac:dyDescent="0.3">
      <c r="A633" t="s">
        <v>709</v>
      </c>
      <c r="B633" s="2">
        <v>44896</v>
      </c>
      <c r="C633">
        <v>2022</v>
      </c>
      <c r="D633">
        <v>12</v>
      </c>
      <c r="E633" t="s">
        <v>62</v>
      </c>
      <c r="F633" t="s">
        <v>48</v>
      </c>
      <c r="G633" t="s">
        <v>24</v>
      </c>
      <c r="H633" s="3">
        <v>65761.21621390809</v>
      </c>
      <c r="I633">
        <v>11</v>
      </c>
      <c r="J633" s="3">
        <v>44405.375955406038</v>
      </c>
      <c r="K633" s="3">
        <v>21355.840258502049</v>
      </c>
    </row>
    <row r="634" spans="1:11" x14ac:dyDescent="0.3">
      <c r="A634" t="s">
        <v>710</v>
      </c>
      <c r="B634" s="2">
        <v>44896</v>
      </c>
      <c r="C634">
        <v>2022</v>
      </c>
      <c r="D634">
        <v>12</v>
      </c>
      <c r="E634" t="s">
        <v>50</v>
      </c>
      <c r="F634" t="s">
        <v>67</v>
      </c>
      <c r="G634" t="s">
        <v>29</v>
      </c>
      <c r="H634" s="3">
        <v>44122.929790387883</v>
      </c>
      <c r="I634">
        <v>10</v>
      </c>
      <c r="J634" s="3">
        <v>28896.911254451101</v>
      </c>
      <c r="K634" s="3">
        <v>15226.018535936781</v>
      </c>
    </row>
    <row r="635" spans="1:11" x14ac:dyDescent="0.3">
      <c r="A635" t="s">
        <v>711</v>
      </c>
      <c r="B635" s="2">
        <v>44896</v>
      </c>
      <c r="C635">
        <v>2022</v>
      </c>
      <c r="D635">
        <v>12</v>
      </c>
      <c r="E635" t="s">
        <v>50</v>
      </c>
      <c r="F635" t="s">
        <v>48</v>
      </c>
      <c r="G635" t="s">
        <v>29</v>
      </c>
      <c r="H635" s="3">
        <v>115027.58965112839</v>
      </c>
      <c r="I635">
        <v>27</v>
      </c>
      <c r="J635" s="3">
        <v>74338.813470570734</v>
      </c>
      <c r="K635" s="3">
        <v>40688.776180557659</v>
      </c>
    </row>
    <row r="636" spans="1:11" x14ac:dyDescent="0.3">
      <c r="A636" t="s">
        <v>712</v>
      </c>
      <c r="B636" s="2">
        <v>44896</v>
      </c>
      <c r="C636">
        <v>2022</v>
      </c>
      <c r="D636">
        <v>12</v>
      </c>
      <c r="E636" t="s">
        <v>54</v>
      </c>
      <c r="F636" t="s">
        <v>67</v>
      </c>
      <c r="G636" t="s">
        <v>29</v>
      </c>
      <c r="H636" s="3">
        <v>36371.785261696561</v>
      </c>
      <c r="I636">
        <v>8</v>
      </c>
      <c r="J636" s="3">
        <v>23632.336479922611</v>
      </c>
      <c r="K636" s="3">
        <v>12739.44878177395</v>
      </c>
    </row>
    <row r="637" spans="1:11" x14ac:dyDescent="0.3">
      <c r="A637" t="s">
        <v>713</v>
      </c>
      <c r="B637" s="2">
        <v>44896</v>
      </c>
      <c r="C637">
        <v>2022</v>
      </c>
      <c r="D637">
        <v>12</v>
      </c>
      <c r="E637" t="s">
        <v>54</v>
      </c>
      <c r="F637" t="s">
        <v>48</v>
      </c>
      <c r="G637" t="s">
        <v>29</v>
      </c>
      <c r="H637" s="3">
        <v>91152.881328868272</v>
      </c>
      <c r="I637">
        <v>21</v>
      </c>
      <c r="J637" s="3">
        <v>58877.651468755517</v>
      </c>
      <c r="K637" s="3">
        <v>32275.229860112751</v>
      </c>
    </row>
    <row r="638" spans="1:11" x14ac:dyDescent="0.3">
      <c r="A638" t="s">
        <v>714</v>
      </c>
      <c r="B638" s="2">
        <v>44896</v>
      </c>
      <c r="C638">
        <v>2022</v>
      </c>
      <c r="D638">
        <v>12</v>
      </c>
      <c r="E638" t="s">
        <v>58</v>
      </c>
      <c r="F638" t="s">
        <v>67</v>
      </c>
      <c r="G638" t="s">
        <v>29</v>
      </c>
      <c r="H638" s="3">
        <v>23137.951958582438</v>
      </c>
      <c r="I638">
        <v>5</v>
      </c>
      <c r="J638" s="3">
        <v>14685.36482732812</v>
      </c>
      <c r="K638" s="3">
        <v>8452.5871312543186</v>
      </c>
    </row>
    <row r="639" spans="1:11" x14ac:dyDescent="0.3">
      <c r="A639" t="s">
        <v>715</v>
      </c>
      <c r="B639" s="2">
        <v>44896</v>
      </c>
      <c r="C639">
        <v>2022</v>
      </c>
      <c r="D639">
        <v>12</v>
      </c>
      <c r="E639" t="s">
        <v>58</v>
      </c>
      <c r="F639" t="s">
        <v>48</v>
      </c>
      <c r="G639" t="s">
        <v>29</v>
      </c>
      <c r="H639" s="3">
        <v>63092.980512316353</v>
      </c>
      <c r="I639">
        <v>15</v>
      </c>
      <c r="J639" s="3">
        <v>40929.402289630198</v>
      </c>
      <c r="K639" s="3">
        <v>22163.578222686159</v>
      </c>
    </row>
    <row r="640" spans="1:11" x14ac:dyDescent="0.3">
      <c r="A640" t="s">
        <v>716</v>
      </c>
      <c r="B640" s="2">
        <v>44896</v>
      </c>
      <c r="C640">
        <v>2022</v>
      </c>
      <c r="D640">
        <v>12</v>
      </c>
      <c r="E640" t="s">
        <v>62</v>
      </c>
      <c r="F640" t="s">
        <v>67</v>
      </c>
      <c r="G640" t="s">
        <v>29</v>
      </c>
      <c r="H640" s="3">
        <v>17609.67346279863</v>
      </c>
      <c r="I640">
        <v>4</v>
      </c>
      <c r="J640" s="3">
        <v>10987.29895184188</v>
      </c>
      <c r="K640" s="3">
        <v>6622.3745109567553</v>
      </c>
    </row>
    <row r="641" spans="1:11" x14ac:dyDescent="0.3">
      <c r="A641" t="s">
        <v>717</v>
      </c>
      <c r="B641" s="2">
        <v>44896</v>
      </c>
      <c r="C641">
        <v>2022</v>
      </c>
      <c r="D641">
        <v>12</v>
      </c>
      <c r="E641" t="s">
        <v>62</v>
      </c>
      <c r="F641" t="s">
        <v>48</v>
      </c>
      <c r="G641" t="s">
        <v>29</v>
      </c>
      <c r="H641" s="3">
        <v>48760.675097493491</v>
      </c>
      <c r="I641">
        <v>11</v>
      </c>
      <c r="J641" s="3">
        <v>31798.827162716389</v>
      </c>
      <c r="K641" s="3">
        <v>16961.847934777099</v>
      </c>
    </row>
    <row r="642" spans="1:11" x14ac:dyDescent="0.3">
      <c r="A642" t="s">
        <v>718</v>
      </c>
      <c r="B642" s="2">
        <v>44896</v>
      </c>
      <c r="C642">
        <v>2022</v>
      </c>
      <c r="D642">
        <v>12</v>
      </c>
      <c r="E642" t="s">
        <v>50</v>
      </c>
      <c r="F642" t="s">
        <v>67</v>
      </c>
      <c r="G642" t="s">
        <v>34</v>
      </c>
      <c r="H642" s="3">
        <v>40239.553543275382</v>
      </c>
      <c r="I642">
        <v>47</v>
      </c>
      <c r="J642" s="3">
        <v>18899.686217757331</v>
      </c>
      <c r="K642" s="3">
        <v>21339.867325518051</v>
      </c>
    </row>
    <row r="643" spans="1:11" x14ac:dyDescent="0.3">
      <c r="A643" t="s">
        <v>719</v>
      </c>
      <c r="B643" s="2">
        <v>44896</v>
      </c>
      <c r="C643">
        <v>2022</v>
      </c>
      <c r="D643">
        <v>12</v>
      </c>
      <c r="E643" t="s">
        <v>50</v>
      </c>
      <c r="F643" t="s">
        <v>48</v>
      </c>
      <c r="G643" t="s">
        <v>34</v>
      </c>
      <c r="H643" s="3">
        <v>95963.792601925132</v>
      </c>
      <c r="I643">
        <v>113</v>
      </c>
      <c r="J643" s="3">
        <v>46299.587718732313</v>
      </c>
      <c r="K643" s="3">
        <v>49664.204883192819</v>
      </c>
    </row>
    <row r="644" spans="1:11" x14ac:dyDescent="0.3">
      <c r="A644" t="s">
        <v>720</v>
      </c>
      <c r="B644" s="2">
        <v>44896</v>
      </c>
      <c r="C644">
        <v>2022</v>
      </c>
      <c r="D644">
        <v>12</v>
      </c>
      <c r="E644" t="s">
        <v>54</v>
      </c>
      <c r="F644" t="s">
        <v>67</v>
      </c>
      <c r="G644" t="s">
        <v>34</v>
      </c>
      <c r="H644" s="3">
        <v>33663.973406446246</v>
      </c>
      <c r="I644">
        <v>40</v>
      </c>
      <c r="J644" s="3">
        <v>15912.88851820399</v>
      </c>
      <c r="K644" s="3">
        <v>17751.084888242262</v>
      </c>
    </row>
    <row r="645" spans="1:11" x14ac:dyDescent="0.3">
      <c r="A645" t="s">
        <v>721</v>
      </c>
      <c r="B645" s="2">
        <v>44896</v>
      </c>
      <c r="C645">
        <v>2022</v>
      </c>
      <c r="D645">
        <v>12</v>
      </c>
      <c r="E645" t="s">
        <v>54</v>
      </c>
      <c r="F645" t="s">
        <v>48</v>
      </c>
      <c r="G645" t="s">
        <v>34</v>
      </c>
      <c r="H645" s="3">
        <v>84937.775847787372</v>
      </c>
      <c r="I645">
        <v>100</v>
      </c>
      <c r="J645" s="3">
        <v>41176.243764962674</v>
      </c>
      <c r="K645" s="3">
        <v>43761.532082824699</v>
      </c>
    </row>
    <row r="646" spans="1:11" x14ac:dyDescent="0.3">
      <c r="A646" t="s">
        <v>722</v>
      </c>
      <c r="B646" s="2">
        <v>44896</v>
      </c>
      <c r="C646">
        <v>2022</v>
      </c>
      <c r="D646">
        <v>12</v>
      </c>
      <c r="E646" t="s">
        <v>58</v>
      </c>
      <c r="F646" t="s">
        <v>67</v>
      </c>
      <c r="G646" t="s">
        <v>34</v>
      </c>
      <c r="H646" s="3">
        <v>25383.919080741631</v>
      </c>
      <c r="I646">
        <v>30</v>
      </c>
      <c r="J646" s="3">
        <v>12176.840777916541</v>
      </c>
      <c r="K646" s="3">
        <v>13207.07830282509</v>
      </c>
    </row>
    <row r="647" spans="1:11" x14ac:dyDescent="0.3">
      <c r="A647" t="s">
        <v>723</v>
      </c>
      <c r="B647" s="2">
        <v>44896</v>
      </c>
      <c r="C647">
        <v>2022</v>
      </c>
      <c r="D647">
        <v>12</v>
      </c>
      <c r="E647" t="s">
        <v>58</v>
      </c>
      <c r="F647" t="s">
        <v>48</v>
      </c>
      <c r="G647" t="s">
        <v>34</v>
      </c>
      <c r="H647" s="3">
        <v>57846.925265658538</v>
      </c>
      <c r="I647">
        <v>68</v>
      </c>
      <c r="J647" s="3">
        <v>26969.46919129894</v>
      </c>
      <c r="K647" s="3">
        <v>30877.456074359601</v>
      </c>
    </row>
    <row r="648" spans="1:11" x14ac:dyDescent="0.3">
      <c r="A648" t="s">
        <v>724</v>
      </c>
      <c r="B648" s="2">
        <v>44896</v>
      </c>
      <c r="C648">
        <v>2022</v>
      </c>
      <c r="D648">
        <v>12</v>
      </c>
      <c r="E648" t="s">
        <v>62</v>
      </c>
      <c r="F648" t="s">
        <v>67</v>
      </c>
      <c r="G648" t="s">
        <v>34</v>
      </c>
      <c r="H648" s="3">
        <v>15771.667810673631</v>
      </c>
      <c r="I648">
        <v>19</v>
      </c>
      <c r="J648" s="3">
        <v>7627.7281140415516</v>
      </c>
      <c r="K648" s="3">
        <v>8143.9396966320792</v>
      </c>
    </row>
    <row r="649" spans="1:11" x14ac:dyDescent="0.3">
      <c r="A649" t="s">
        <v>725</v>
      </c>
      <c r="B649" s="2">
        <v>44896</v>
      </c>
      <c r="C649">
        <v>2022</v>
      </c>
      <c r="D649">
        <v>12</v>
      </c>
      <c r="E649" t="s">
        <v>62</v>
      </c>
      <c r="F649" t="s">
        <v>48</v>
      </c>
      <c r="G649" t="s">
        <v>34</v>
      </c>
      <c r="H649" s="3">
        <v>46718.376848589382</v>
      </c>
      <c r="I649">
        <v>55</v>
      </c>
      <c r="J649" s="3">
        <v>22191.54502898725</v>
      </c>
      <c r="K649" s="3">
        <v>24526.831819602128</v>
      </c>
    </row>
    <row r="650" spans="1:11" x14ac:dyDescent="0.3">
      <c r="A650" t="s">
        <v>726</v>
      </c>
      <c r="B650" s="2">
        <v>44896</v>
      </c>
      <c r="C650">
        <v>2022</v>
      </c>
      <c r="D650">
        <v>12</v>
      </c>
      <c r="E650" t="s">
        <v>50</v>
      </c>
      <c r="F650" t="s">
        <v>67</v>
      </c>
      <c r="G650" t="s">
        <v>37</v>
      </c>
      <c r="H650" s="3">
        <v>31719.1342668576</v>
      </c>
      <c r="I650">
        <v>44</v>
      </c>
      <c r="J650" s="3">
        <v>17722.22103711986</v>
      </c>
      <c r="K650" s="3">
        <v>13996.91322973774</v>
      </c>
    </row>
    <row r="651" spans="1:11" x14ac:dyDescent="0.3">
      <c r="A651" t="s">
        <v>727</v>
      </c>
      <c r="B651" s="2">
        <v>44896</v>
      </c>
      <c r="C651">
        <v>2022</v>
      </c>
      <c r="D651">
        <v>12</v>
      </c>
      <c r="E651" t="s">
        <v>50</v>
      </c>
      <c r="F651" t="s">
        <v>48</v>
      </c>
      <c r="G651" t="s">
        <v>37</v>
      </c>
      <c r="H651" s="3">
        <v>81405.370054651939</v>
      </c>
      <c r="I651">
        <v>113</v>
      </c>
      <c r="J651" s="3">
        <v>44774.021920060382</v>
      </c>
      <c r="K651" s="3">
        <v>36631.348134591557</v>
      </c>
    </row>
    <row r="652" spans="1:11" x14ac:dyDescent="0.3">
      <c r="A652" t="s">
        <v>728</v>
      </c>
      <c r="B652" s="2">
        <v>44896</v>
      </c>
      <c r="C652">
        <v>2022</v>
      </c>
      <c r="D652">
        <v>12</v>
      </c>
      <c r="E652" t="s">
        <v>54</v>
      </c>
      <c r="F652" t="s">
        <v>67</v>
      </c>
      <c r="G652" t="s">
        <v>37</v>
      </c>
      <c r="H652" s="3">
        <v>25526.377604563651</v>
      </c>
      <c r="I652">
        <v>35</v>
      </c>
      <c r="J652" s="3">
        <v>14139.43496982927</v>
      </c>
      <c r="K652" s="3">
        <v>11386.94263473438</v>
      </c>
    </row>
    <row r="653" spans="1:11" x14ac:dyDescent="0.3">
      <c r="A653" t="s">
        <v>729</v>
      </c>
      <c r="B653" s="2">
        <v>44896</v>
      </c>
      <c r="C653">
        <v>2022</v>
      </c>
      <c r="D653">
        <v>12</v>
      </c>
      <c r="E653" t="s">
        <v>54</v>
      </c>
      <c r="F653" t="s">
        <v>48</v>
      </c>
      <c r="G653" t="s">
        <v>37</v>
      </c>
      <c r="H653" s="3">
        <v>69327.076750359367</v>
      </c>
      <c r="I653">
        <v>96</v>
      </c>
      <c r="J653" s="3">
        <v>37472.676193960448</v>
      </c>
      <c r="K653" s="3">
        <v>31854.400556398909</v>
      </c>
    </row>
    <row r="654" spans="1:11" x14ac:dyDescent="0.3">
      <c r="A654" t="s">
        <v>730</v>
      </c>
      <c r="B654" s="2">
        <v>44896</v>
      </c>
      <c r="C654">
        <v>2022</v>
      </c>
      <c r="D654">
        <v>12</v>
      </c>
      <c r="E654" t="s">
        <v>58</v>
      </c>
      <c r="F654" t="s">
        <v>67</v>
      </c>
      <c r="G654" t="s">
        <v>37</v>
      </c>
      <c r="H654" s="3">
        <v>17375.39362342867</v>
      </c>
      <c r="I654">
        <v>24</v>
      </c>
      <c r="J654" s="3">
        <v>9455.0916858751316</v>
      </c>
      <c r="K654" s="3">
        <v>7920.3019375535387</v>
      </c>
    </row>
    <row r="655" spans="1:11" x14ac:dyDescent="0.3">
      <c r="A655" t="s">
        <v>731</v>
      </c>
      <c r="B655" s="2">
        <v>44896</v>
      </c>
      <c r="C655">
        <v>2022</v>
      </c>
      <c r="D655">
        <v>12</v>
      </c>
      <c r="E655" t="s">
        <v>58</v>
      </c>
      <c r="F655" t="s">
        <v>48</v>
      </c>
      <c r="G655" t="s">
        <v>37</v>
      </c>
      <c r="H655" s="3">
        <v>47296.664062538868</v>
      </c>
      <c r="I655">
        <v>66</v>
      </c>
      <c r="J655" s="3">
        <v>25798.413667168421</v>
      </c>
      <c r="K655" s="3">
        <v>21498.250395370451</v>
      </c>
    </row>
    <row r="656" spans="1:11" x14ac:dyDescent="0.3">
      <c r="A656" t="s">
        <v>732</v>
      </c>
      <c r="B656" s="2">
        <v>44896</v>
      </c>
      <c r="C656">
        <v>2022</v>
      </c>
      <c r="D656">
        <v>12</v>
      </c>
      <c r="E656" t="s">
        <v>62</v>
      </c>
      <c r="F656" t="s">
        <v>67</v>
      </c>
      <c r="G656" t="s">
        <v>37</v>
      </c>
      <c r="H656" s="3">
        <v>12209.11782610013</v>
      </c>
      <c r="I656">
        <v>17</v>
      </c>
      <c r="J656" s="3">
        <v>6818.5646614346906</v>
      </c>
      <c r="K656" s="3">
        <v>5390.5531646654426</v>
      </c>
    </row>
    <row r="657" spans="1:11" x14ac:dyDescent="0.3">
      <c r="A657" t="s">
        <v>733</v>
      </c>
      <c r="B657" s="2">
        <v>44896</v>
      </c>
      <c r="C657">
        <v>2022</v>
      </c>
      <c r="D657">
        <v>12</v>
      </c>
      <c r="E657" t="s">
        <v>62</v>
      </c>
      <c r="F657" t="s">
        <v>48</v>
      </c>
      <c r="G657" t="s">
        <v>37</v>
      </c>
      <c r="H657" s="3">
        <v>34948.525612321842</v>
      </c>
      <c r="I657">
        <v>49</v>
      </c>
      <c r="J657" s="3">
        <v>19802.045462312471</v>
      </c>
      <c r="K657" s="3">
        <v>15146.480150009371</v>
      </c>
    </row>
    <row r="658" spans="1:11" x14ac:dyDescent="0.3">
      <c r="A658" t="s">
        <v>734</v>
      </c>
      <c r="B658" s="2">
        <v>44896</v>
      </c>
      <c r="C658">
        <v>2022</v>
      </c>
      <c r="D658">
        <v>12</v>
      </c>
      <c r="E658" t="s">
        <v>50</v>
      </c>
      <c r="F658" t="s">
        <v>67</v>
      </c>
      <c r="G658" t="s">
        <v>40</v>
      </c>
      <c r="H658" s="3">
        <v>26556.522177197639</v>
      </c>
      <c r="I658">
        <v>5</v>
      </c>
      <c r="J658" s="3">
        <v>18058.428888664741</v>
      </c>
      <c r="K658" s="3">
        <v>8498.0932885329021</v>
      </c>
    </row>
    <row r="659" spans="1:11" x14ac:dyDescent="0.3">
      <c r="A659" t="s">
        <v>735</v>
      </c>
      <c r="B659" s="2">
        <v>44896</v>
      </c>
      <c r="C659">
        <v>2022</v>
      </c>
      <c r="D659">
        <v>12</v>
      </c>
      <c r="E659" t="s">
        <v>50</v>
      </c>
      <c r="F659" t="s">
        <v>48</v>
      </c>
      <c r="G659" t="s">
        <v>40</v>
      </c>
      <c r="H659" s="3">
        <v>73520.097927539638</v>
      </c>
      <c r="I659">
        <v>14</v>
      </c>
      <c r="J659" s="3">
        <v>51712.158734622513</v>
      </c>
      <c r="K659" s="3">
        <v>21807.939192917129</v>
      </c>
    </row>
    <row r="660" spans="1:11" x14ac:dyDescent="0.3">
      <c r="A660" t="s">
        <v>736</v>
      </c>
      <c r="B660" s="2">
        <v>44896</v>
      </c>
      <c r="C660">
        <v>2022</v>
      </c>
      <c r="D660">
        <v>12</v>
      </c>
      <c r="E660" t="s">
        <v>54</v>
      </c>
      <c r="F660" t="s">
        <v>67</v>
      </c>
      <c r="G660" t="s">
        <v>40</v>
      </c>
      <c r="H660" s="3">
        <v>23318.010286565779</v>
      </c>
      <c r="I660">
        <v>4</v>
      </c>
      <c r="J660" s="3">
        <v>15461.067498244771</v>
      </c>
      <c r="K660" s="3">
        <v>7856.9427883210046</v>
      </c>
    </row>
    <row r="661" spans="1:11" x14ac:dyDescent="0.3">
      <c r="A661" t="s">
        <v>737</v>
      </c>
      <c r="B661" s="2">
        <v>44896</v>
      </c>
      <c r="C661">
        <v>2022</v>
      </c>
      <c r="D661">
        <v>12</v>
      </c>
      <c r="E661" t="s">
        <v>54</v>
      </c>
      <c r="F661" t="s">
        <v>48</v>
      </c>
      <c r="G661" t="s">
        <v>40</v>
      </c>
      <c r="H661" s="3">
        <v>64423.171852657317</v>
      </c>
      <c r="I661">
        <v>12</v>
      </c>
      <c r="J661" s="3">
        <v>43496.474893214567</v>
      </c>
      <c r="K661" s="3">
        <v>20926.696959442761</v>
      </c>
    </row>
    <row r="662" spans="1:11" x14ac:dyDescent="0.3">
      <c r="A662" t="s">
        <v>738</v>
      </c>
      <c r="B662" s="2">
        <v>44896</v>
      </c>
      <c r="C662">
        <v>2022</v>
      </c>
      <c r="D662">
        <v>12</v>
      </c>
      <c r="E662" t="s">
        <v>58</v>
      </c>
      <c r="F662" t="s">
        <v>67</v>
      </c>
      <c r="G662" t="s">
        <v>40</v>
      </c>
      <c r="H662" s="3">
        <v>18317.666011733891</v>
      </c>
      <c r="I662">
        <v>3</v>
      </c>
      <c r="J662" s="3">
        <v>12421.062260533619</v>
      </c>
      <c r="K662" s="3">
        <v>5896.6037512002713</v>
      </c>
    </row>
    <row r="663" spans="1:11" x14ac:dyDescent="0.3">
      <c r="A663" t="s">
        <v>739</v>
      </c>
      <c r="B663" s="2">
        <v>44896</v>
      </c>
      <c r="C663">
        <v>2022</v>
      </c>
      <c r="D663">
        <v>12</v>
      </c>
      <c r="E663" t="s">
        <v>58</v>
      </c>
      <c r="F663" t="s">
        <v>48</v>
      </c>
      <c r="G663" t="s">
        <v>40</v>
      </c>
      <c r="H663" s="3">
        <v>45418.175205172738</v>
      </c>
      <c r="I663">
        <v>8</v>
      </c>
      <c r="J663" s="3">
        <v>30575.599211904861</v>
      </c>
      <c r="K663" s="3">
        <v>14842.575993267879</v>
      </c>
    </row>
    <row r="664" spans="1:11" x14ac:dyDescent="0.3">
      <c r="A664" t="s">
        <v>740</v>
      </c>
      <c r="B664" s="2">
        <v>44896</v>
      </c>
      <c r="C664">
        <v>2022</v>
      </c>
      <c r="D664">
        <v>12</v>
      </c>
      <c r="E664" t="s">
        <v>62</v>
      </c>
      <c r="F664" t="s">
        <v>67</v>
      </c>
      <c r="G664" t="s">
        <v>40</v>
      </c>
      <c r="H664" s="3">
        <v>11767.48798254266</v>
      </c>
      <c r="I664">
        <v>2</v>
      </c>
      <c r="J664" s="3">
        <v>7888.1217797156314</v>
      </c>
      <c r="K664" s="3">
        <v>3879.3662028270269</v>
      </c>
    </row>
    <row r="665" spans="1:11" x14ac:dyDescent="0.3">
      <c r="A665" t="s">
        <v>741</v>
      </c>
      <c r="B665" s="2">
        <v>44896</v>
      </c>
      <c r="C665">
        <v>2022</v>
      </c>
      <c r="D665">
        <v>12</v>
      </c>
      <c r="E665" t="s">
        <v>62</v>
      </c>
      <c r="F665" t="s">
        <v>48</v>
      </c>
      <c r="G665" t="s">
        <v>40</v>
      </c>
      <c r="H665" s="3">
        <v>32284.937423865569</v>
      </c>
      <c r="I665">
        <v>6</v>
      </c>
      <c r="J665" s="3">
        <v>22442.210681375651</v>
      </c>
      <c r="K665" s="3">
        <v>9842.7267424899183</v>
      </c>
    </row>
    <row r="666" spans="1:11" x14ac:dyDescent="0.3">
      <c r="A666" t="s">
        <v>742</v>
      </c>
      <c r="B666" s="2">
        <v>44896</v>
      </c>
      <c r="C666">
        <v>2022</v>
      </c>
      <c r="D666">
        <v>12</v>
      </c>
      <c r="E666" t="s">
        <v>50</v>
      </c>
      <c r="F666" t="s">
        <v>67</v>
      </c>
      <c r="G666" t="s">
        <v>43</v>
      </c>
      <c r="H666" s="3">
        <v>63785.059440037578</v>
      </c>
      <c r="I666">
        <v>18</v>
      </c>
      <c r="J666" s="3">
        <v>37488.176182473813</v>
      </c>
      <c r="K666" s="3">
        <v>26296.883257563772</v>
      </c>
    </row>
    <row r="667" spans="1:11" x14ac:dyDescent="0.3">
      <c r="A667" t="s">
        <v>743</v>
      </c>
      <c r="B667" s="2">
        <v>44896</v>
      </c>
      <c r="C667">
        <v>2022</v>
      </c>
      <c r="D667">
        <v>12</v>
      </c>
      <c r="E667" t="s">
        <v>50</v>
      </c>
      <c r="F667" t="s">
        <v>48</v>
      </c>
      <c r="G667" t="s">
        <v>43</v>
      </c>
      <c r="H667" s="3">
        <v>162539.41318750751</v>
      </c>
      <c r="I667">
        <v>46</v>
      </c>
      <c r="J667" s="3">
        <v>96553.171452524402</v>
      </c>
      <c r="K667" s="3">
        <v>65986.241734983108</v>
      </c>
    </row>
    <row r="668" spans="1:11" x14ac:dyDescent="0.3">
      <c r="A668" t="s">
        <v>744</v>
      </c>
      <c r="B668" s="2">
        <v>44896</v>
      </c>
      <c r="C668">
        <v>2022</v>
      </c>
      <c r="D668">
        <v>12</v>
      </c>
      <c r="E668" t="s">
        <v>54</v>
      </c>
      <c r="F668" t="s">
        <v>67</v>
      </c>
      <c r="G668" t="s">
        <v>43</v>
      </c>
      <c r="H668" s="3">
        <v>56474.430226297627</v>
      </c>
      <c r="I668">
        <v>16</v>
      </c>
      <c r="J668" s="3">
        <v>33734.030660822973</v>
      </c>
      <c r="K668" s="3">
        <v>22740.399565474661</v>
      </c>
    </row>
    <row r="669" spans="1:11" x14ac:dyDescent="0.3">
      <c r="A669" t="s">
        <v>745</v>
      </c>
      <c r="B669" s="2">
        <v>44896</v>
      </c>
      <c r="C669">
        <v>2022</v>
      </c>
      <c r="D669">
        <v>12</v>
      </c>
      <c r="E669" t="s">
        <v>54</v>
      </c>
      <c r="F669" t="s">
        <v>48</v>
      </c>
      <c r="G669" t="s">
        <v>43</v>
      </c>
      <c r="H669" s="3">
        <v>146263.26501092041</v>
      </c>
      <c r="I669">
        <v>42</v>
      </c>
      <c r="J669" s="3">
        <v>86707.913448452586</v>
      </c>
      <c r="K669" s="3">
        <v>59555.351562467797</v>
      </c>
    </row>
    <row r="670" spans="1:11" x14ac:dyDescent="0.3">
      <c r="A670" t="s">
        <v>746</v>
      </c>
      <c r="B670" s="2">
        <v>44896</v>
      </c>
      <c r="C670">
        <v>2022</v>
      </c>
      <c r="D670">
        <v>12</v>
      </c>
      <c r="E670" t="s">
        <v>58</v>
      </c>
      <c r="F670" t="s">
        <v>67</v>
      </c>
      <c r="G670" t="s">
        <v>43</v>
      </c>
      <c r="H670" s="3">
        <v>35967.256856506887</v>
      </c>
      <c r="I670">
        <v>10</v>
      </c>
      <c r="J670" s="3">
        <v>21471.928837419149</v>
      </c>
      <c r="K670" s="3">
        <v>14495.328019087739</v>
      </c>
    </row>
    <row r="671" spans="1:11" x14ac:dyDescent="0.3">
      <c r="A671" t="s">
        <v>747</v>
      </c>
      <c r="B671" s="2">
        <v>44896</v>
      </c>
      <c r="C671">
        <v>2022</v>
      </c>
      <c r="D671">
        <v>12</v>
      </c>
      <c r="E671" t="s">
        <v>58</v>
      </c>
      <c r="F671" t="s">
        <v>48</v>
      </c>
      <c r="G671" t="s">
        <v>43</v>
      </c>
      <c r="H671" s="3">
        <v>97515.55141324384</v>
      </c>
      <c r="I671">
        <v>28</v>
      </c>
      <c r="J671" s="3">
        <v>57462.166644349447</v>
      </c>
      <c r="K671" s="3">
        <v>40053.384768894393</v>
      </c>
    </row>
    <row r="672" spans="1:11" x14ac:dyDescent="0.3">
      <c r="A672" t="s">
        <v>748</v>
      </c>
      <c r="B672" s="2">
        <v>44896</v>
      </c>
      <c r="C672">
        <v>2022</v>
      </c>
      <c r="D672">
        <v>12</v>
      </c>
      <c r="E672" t="s">
        <v>62</v>
      </c>
      <c r="F672" t="s">
        <v>67</v>
      </c>
      <c r="G672" t="s">
        <v>43</v>
      </c>
      <c r="H672" s="3">
        <v>29467.660986331859</v>
      </c>
      <c r="I672">
        <v>8</v>
      </c>
      <c r="J672" s="3">
        <v>17014.454484708731</v>
      </c>
      <c r="K672" s="3">
        <v>12453.20650162313</v>
      </c>
    </row>
    <row r="673" spans="1:11" x14ac:dyDescent="0.3">
      <c r="A673" t="s">
        <v>749</v>
      </c>
      <c r="B673" s="2">
        <v>44896</v>
      </c>
      <c r="C673">
        <v>2022</v>
      </c>
      <c r="D673">
        <v>12</v>
      </c>
      <c r="E673" t="s">
        <v>62</v>
      </c>
      <c r="F673" t="s">
        <v>48</v>
      </c>
      <c r="G673" t="s">
        <v>43</v>
      </c>
      <c r="H673" s="3">
        <v>66655.34209247095</v>
      </c>
      <c r="I673">
        <v>19</v>
      </c>
      <c r="J673" s="3">
        <v>40075.457054464227</v>
      </c>
      <c r="K673" s="3">
        <v>26579.88503800672</v>
      </c>
    </row>
    <row r="674" spans="1:11" x14ac:dyDescent="0.3">
      <c r="A674" t="s">
        <v>750</v>
      </c>
      <c r="B674" s="2">
        <v>44927</v>
      </c>
      <c r="C674">
        <v>2023</v>
      </c>
      <c r="D674">
        <v>1</v>
      </c>
      <c r="E674" t="s">
        <v>50</v>
      </c>
      <c r="F674" t="s">
        <v>67</v>
      </c>
      <c r="G674" t="s">
        <v>19</v>
      </c>
      <c r="H674" s="3">
        <v>52677.518184015877</v>
      </c>
      <c r="I674">
        <v>10</v>
      </c>
      <c r="J674" s="3">
        <v>32313.7333837189</v>
      </c>
      <c r="K674" s="3">
        <v>20363.78480029698</v>
      </c>
    </row>
    <row r="675" spans="1:11" x14ac:dyDescent="0.3">
      <c r="A675" t="s">
        <v>751</v>
      </c>
      <c r="B675" s="2">
        <v>44927</v>
      </c>
      <c r="C675">
        <v>2023</v>
      </c>
      <c r="D675">
        <v>1</v>
      </c>
      <c r="E675" t="s">
        <v>50</v>
      </c>
      <c r="F675" t="s">
        <v>48</v>
      </c>
      <c r="G675" t="s">
        <v>19</v>
      </c>
      <c r="H675" s="3">
        <v>119155.0854424779</v>
      </c>
      <c r="I675">
        <v>23</v>
      </c>
      <c r="J675" s="3">
        <v>72632.02437912357</v>
      </c>
      <c r="K675" s="3">
        <v>46523.061063354333</v>
      </c>
    </row>
    <row r="676" spans="1:11" x14ac:dyDescent="0.3">
      <c r="A676" t="s">
        <v>752</v>
      </c>
      <c r="B676" s="2">
        <v>44927</v>
      </c>
      <c r="C676">
        <v>2023</v>
      </c>
      <c r="D676">
        <v>1</v>
      </c>
      <c r="E676" t="s">
        <v>54</v>
      </c>
      <c r="F676" t="s">
        <v>67</v>
      </c>
      <c r="G676" t="s">
        <v>19</v>
      </c>
      <c r="H676" s="3">
        <v>45504.449480687777</v>
      </c>
      <c r="I676">
        <v>9</v>
      </c>
      <c r="J676" s="3">
        <v>28122.40670432405</v>
      </c>
      <c r="K676" s="3">
        <v>17382.042776363742</v>
      </c>
    </row>
    <row r="677" spans="1:11" x14ac:dyDescent="0.3">
      <c r="A677" t="s">
        <v>753</v>
      </c>
      <c r="B677" s="2">
        <v>44927</v>
      </c>
      <c r="C677">
        <v>2023</v>
      </c>
      <c r="D677">
        <v>1</v>
      </c>
      <c r="E677" t="s">
        <v>54</v>
      </c>
      <c r="F677" t="s">
        <v>48</v>
      </c>
      <c r="G677" t="s">
        <v>19</v>
      </c>
      <c r="H677" s="3">
        <v>92560.060603196442</v>
      </c>
      <c r="I677">
        <v>18</v>
      </c>
      <c r="J677" s="3">
        <v>56444.331026437503</v>
      </c>
      <c r="K677" s="3">
        <v>36115.729576758938</v>
      </c>
    </row>
    <row r="678" spans="1:11" x14ac:dyDescent="0.3">
      <c r="A678" t="s">
        <v>754</v>
      </c>
      <c r="B678" s="2">
        <v>44927</v>
      </c>
      <c r="C678">
        <v>2023</v>
      </c>
      <c r="D678">
        <v>1</v>
      </c>
      <c r="E678" t="s">
        <v>58</v>
      </c>
      <c r="F678" t="s">
        <v>67</v>
      </c>
      <c r="G678" t="s">
        <v>19</v>
      </c>
      <c r="H678" s="3">
        <v>27740.575141263169</v>
      </c>
      <c r="I678">
        <v>5</v>
      </c>
      <c r="J678" s="3">
        <v>17069.926478506652</v>
      </c>
      <c r="K678" s="3">
        <v>10670.648662756519</v>
      </c>
    </row>
    <row r="679" spans="1:11" x14ac:dyDescent="0.3">
      <c r="A679" t="s">
        <v>755</v>
      </c>
      <c r="B679" s="2">
        <v>44927</v>
      </c>
      <c r="C679">
        <v>2023</v>
      </c>
      <c r="D679">
        <v>1</v>
      </c>
      <c r="E679" t="s">
        <v>58</v>
      </c>
      <c r="F679" t="s">
        <v>48</v>
      </c>
      <c r="G679" t="s">
        <v>19</v>
      </c>
      <c r="H679" s="3">
        <v>67441.775113576441</v>
      </c>
      <c r="I679">
        <v>13</v>
      </c>
      <c r="J679" s="3">
        <v>42072.852826825503</v>
      </c>
      <c r="K679" s="3">
        <v>25368.922286750942</v>
      </c>
    </row>
    <row r="680" spans="1:11" x14ac:dyDescent="0.3">
      <c r="A680" t="s">
        <v>756</v>
      </c>
      <c r="B680" s="2">
        <v>44927</v>
      </c>
      <c r="C680">
        <v>2023</v>
      </c>
      <c r="D680">
        <v>1</v>
      </c>
      <c r="E680" t="s">
        <v>62</v>
      </c>
      <c r="F680" t="s">
        <v>67</v>
      </c>
      <c r="G680" t="s">
        <v>19</v>
      </c>
      <c r="H680" s="3">
        <v>21194.973283644271</v>
      </c>
      <c r="I680">
        <v>4</v>
      </c>
      <c r="J680" s="3">
        <v>13223.278763302451</v>
      </c>
      <c r="K680" s="3">
        <v>7971.69452034182</v>
      </c>
    </row>
    <row r="681" spans="1:11" x14ac:dyDescent="0.3">
      <c r="A681" t="s">
        <v>757</v>
      </c>
      <c r="B681" s="2">
        <v>44927</v>
      </c>
      <c r="C681">
        <v>2023</v>
      </c>
      <c r="D681">
        <v>1</v>
      </c>
      <c r="E681" t="s">
        <v>62</v>
      </c>
      <c r="F681" t="s">
        <v>48</v>
      </c>
      <c r="G681" t="s">
        <v>19</v>
      </c>
      <c r="H681" s="3">
        <v>46893.184180274919</v>
      </c>
      <c r="I681">
        <v>9</v>
      </c>
      <c r="J681" s="3">
        <v>28603.914636721311</v>
      </c>
      <c r="K681" s="3">
        <v>18289.269543553612</v>
      </c>
    </row>
    <row r="682" spans="1:11" x14ac:dyDescent="0.3">
      <c r="A682" t="s">
        <v>758</v>
      </c>
      <c r="B682" s="2">
        <v>44927</v>
      </c>
      <c r="C682">
        <v>2023</v>
      </c>
      <c r="D682">
        <v>1</v>
      </c>
      <c r="E682" t="s">
        <v>50</v>
      </c>
      <c r="F682" t="s">
        <v>67</v>
      </c>
      <c r="G682" t="s">
        <v>24</v>
      </c>
      <c r="H682" s="3">
        <v>54854.044665676767</v>
      </c>
      <c r="I682">
        <v>9</v>
      </c>
      <c r="J682" s="3">
        <v>35885.848445086987</v>
      </c>
      <c r="K682" s="3">
        <v>18968.196220589791</v>
      </c>
    </row>
    <row r="683" spans="1:11" x14ac:dyDescent="0.3">
      <c r="A683" t="s">
        <v>759</v>
      </c>
      <c r="B683" s="2">
        <v>44927</v>
      </c>
      <c r="C683">
        <v>2023</v>
      </c>
      <c r="D683">
        <v>1</v>
      </c>
      <c r="E683" t="s">
        <v>50</v>
      </c>
      <c r="F683" t="s">
        <v>48</v>
      </c>
      <c r="G683" t="s">
        <v>24</v>
      </c>
      <c r="H683" s="3">
        <v>117824.58135156491</v>
      </c>
      <c r="I683">
        <v>19</v>
      </c>
      <c r="J683" s="3">
        <v>79268.027789881191</v>
      </c>
      <c r="K683" s="3">
        <v>38556.553561683693</v>
      </c>
    </row>
    <row r="684" spans="1:11" x14ac:dyDescent="0.3">
      <c r="A684" t="s">
        <v>760</v>
      </c>
      <c r="B684" s="2">
        <v>44927</v>
      </c>
      <c r="C684">
        <v>2023</v>
      </c>
      <c r="D684">
        <v>1</v>
      </c>
      <c r="E684" t="s">
        <v>54</v>
      </c>
      <c r="F684" t="s">
        <v>67</v>
      </c>
      <c r="G684" t="s">
        <v>24</v>
      </c>
      <c r="H684" s="3">
        <v>41621.370903859774</v>
      </c>
      <c r="I684">
        <v>7</v>
      </c>
      <c r="J684" s="3">
        <v>27715.5557351405</v>
      </c>
      <c r="K684" s="3">
        <v>13905.815168719269</v>
      </c>
    </row>
    <row r="685" spans="1:11" x14ac:dyDescent="0.3">
      <c r="A685" t="s">
        <v>761</v>
      </c>
      <c r="B685" s="2">
        <v>44927</v>
      </c>
      <c r="C685">
        <v>2023</v>
      </c>
      <c r="D685">
        <v>1</v>
      </c>
      <c r="E685" t="s">
        <v>54</v>
      </c>
      <c r="F685" t="s">
        <v>48</v>
      </c>
      <c r="G685" t="s">
        <v>24</v>
      </c>
      <c r="H685" s="3">
        <v>88160.312109272956</v>
      </c>
      <c r="I685">
        <v>14</v>
      </c>
      <c r="J685" s="3">
        <v>60359.113964530312</v>
      </c>
      <c r="K685" s="3">
        <v>27801.198144742641</v>
      </c>
    </row>
    <row r="686" spans="1:11" x14ac:dyDescent="0.3">
      <c r="A686" t="s">
        <v>762</v>
      </c>
      <c r="B686" s="2">
        <v>44927</v>
      </c>
      <c r="C686">
        <v>2023</v>
      </c>
      <c r="D686">
        <v>1</v>
      </c>
      <c r="E686" t="s">
        <v>58</v>
      </c>
      <c r="F686" t="s">
        <v>67</v>
      </c>
      <c r="G686" t="s">
        <v>24</v>
      </c>
      <c r="H686" s="3">
        <v>31013.57219361742</v>
      </c>
      <c r="I686">
        <v>5</v>
      </c>
      <c r="J686" s="3">
        <v>20903.765532718458</v>
      </c>
      <c r="K686" s="3">
        <v>10109.80666089895</v>
      </c>
    </row>
    <row r="687" spans="1:11" x14ac:dyDescent="0.3">
      <c r="A687" t="s">
        <v>763</v>
      </c>
      <c r="B687" s="2">
        <v>44927</v>
      </c>
      <c r="C687">
        <v>2023</v>
      </c>
      <c r="D687">
        <v>1</v>
      </c>
      <c r="E687" t="s">
        <v>58</v>
      </c>
      <c r="F687" t="s">
        <v>48</v>
      </c>
      <c r="G687" t="s">
        <v>24</v>
      </c>
      <c r="H687" s="3">
        <v>64885.851530740067</v>
      </c>
      <c r="I687">
        <v>11</v>
      </c>
      <c r="J687" s="3">
        <v>43706.733360520753</v>
      </c>
      <c r="K687" s="3">
        <v>21179.118170219321</v>
      </c>
    </row>
    <row r="688" spans="1:11" x14ac:dyDescent="0.3">
      <c r="A688" t="s">
        <v>764</v>
      </c>
      <c r="B688" s="2">
        <v>44927</v>
      </c>
      <c r="C688">
        <v>2023</v>
      </c>
      <c r="D688">
        <v>1</v>
      </c>
      <c r="E688" t="s">
        <v>62</v>
      </c>
      <c r="F688" t="s">
        <v>67</v>
      </c>
      <c r="G688" t="s">
        <v>24</v>
      </c>
      <c r="H688" s="3">
        <v>23935.475972685461</v>
      </c>
      <c r="I688">
        <v>4</v>
      </c>
      <c r="J688" s="3">
        <v>15402.768925181361</v>
      </c>
      <c r="K688" s="3">
        <v>8532.7070475041037</v>
      </c>
    </row>
    <row r="689" spans="1:11" x14ac:dyDescent="0.3">
      <c r="A689" t="s">
        <v>765</v>
      </c>
      <c r="B689" s="2">
        <v>44927</v>
      </c>
      <c r="C689">
        <v>2023</v>
      </c>
      <c r="D689">
        <v>1</v>
      </c>
      <c r="E689" t="s">
        <v>62</v>
      </c>
      <c r="F689" t="s">
        <v>48</v>
      </c>
      <c r="G689" t="s">
        <v>24</v>
      </c>
      <c r="H689" s="3">
        <v>49147.975863593107</v>
      </c>
      <c r="I689">
        <v>8</v>
      </c>
      <c r="J689" s="3">
        <v>32883.665288659249</v>
      </c>
      <c r="K689" s="3">
        <v>16264.310574933859</v>
      </c>
    </row>
    <row r="690" spans="1:11" x14ac:dyDescent="0.3">
      <c r="A690" t="s">
        <v>766</v>
      </c>
      <c r="B690" s="2">
        <v>44927</v>
      </c>
      <c r="C690">
        <v>2023</v>
      </c>
      <c r="D690">
        <v>1</v>
      </c>
      <c r="E690" t="s">
        <v>50</v>
      </c>
      <c r="F690" t="s">
        <v>67</v>
      </c>
      <c r="G690" t="s">
        <v>29</v>
      </c>
      <c r="H690" s="3">
        <v>33909.331701334653</v>
      </c>
      <c r="I690">
        <v>8</v>
      </c>
      <c r="J690" s="3">
        <v>21681.226886756209</v>
      </c>
      <c r="K690" s="3">
        <v>12228.104814578441</v>
      </c>
    </row>
    <row r="691" spans="1:11" x14ac:dyDescent="0.3">
      <c r="A691" t="s">
        <v>767</v>
      </c>
      <c r="B691" s="2">
        <v>44927</v>
      </c>
      <c r="C691">
        <v>2023</v>
      </c>
      <c r="D691">
        <v>1</v>
      </c>
      <c r="E691" t="s">
        <v>50</v>
      </c>
      <c r="F691" t="s">
        <v>48</v>
      </c>
      <c r="G691" t="s">
        <v>29</v>
      </c>
      <c r="H691" s="3">
        <v>82984.89999501346</v>
      </c>
      <c r="I691">
        <v>19</v>
      </c>
      <c r="J691" s="3">
        <v>52583.605079955822</v>
      </c>
      <c r="K691" s="3">
        <v>30401.294915057639</v>
      </c>
    </row>
    <row r="692" spans="1:11" x14ac:dyDescent="0.3">
      <c r="A692" t="s">
        <v>768</v>
      </c>
      <c r="B692" s="2">
        <v>44927</v>
      </c>
      <c r="C692">
        <v>2023</v>
      </c>
      <c r="D692">
        <v>1</v>
      </c>
      <c r="E692" t="s">
        <v>54</v>
      </c>
      <c r="F692" t="s">
        <v>67</v>
      </c>
      <c r="G692" t="s">
        <v>29</v>
      </c>
      <c r="H692" s="3">
        <v>30480.544903988321</v>
      </c>
      <c r="I692">
        <v>7</v>
      </c>
      <c r="J692" s="3">
        <v>19566.544952549259</v>
      </c>
      <c r="K692" s="3">
        <v>10913.999951439069</v>
      </c>
    </row>
    <row r="693" spans="1:11" x14ac:dyDescent="0.3">
      <c r="A693" t="s">
        <v>769</v>
      </c>
      <c r="B693" s="2">
        <v>44927</v>
      </c>
      <c r="C693">
        <v>2023</v>
      </c>
      <c r="D693">
        <v>1</v>
      </c>
      <c r="E693" t="s">
        <v>54</v>
      </c>
      <c r="F693" t="s">
        <v>48</v>
      </c>
      <c r="G693" t="s">
        <v>29</v>
      </c>
      <c r="H693" s="3">
        <v>65335.479780425238</v>
      </c>
      <c r="I693">
        <v>15</v>
      </c>
      <c r="J693" s="3">
        <v>42526.134441194386</v>
      </c>
      <c r="K693" s="3">
        <v>22809.345339230851</v>
      </c>
    </row>
    <row r="694" spans="1:11" x14ac:dyDescent="0.3">
      <c r="A694" t="s">
        <v>770</v>
      </c>
      <c r="B694" s="2">
        <v>44927</v>
      </c>
      <c r="C694">
        <v>2023</v>
      </c>
      <c r="D694">
        <v>1</v>
      </c>
      <c r="E694" t="s">
        <v>58</v>
      </c>
      <c r="F694" t="s">
        <v>67</v>
      </c>
      <c r="G694" t="s">
        <v>29</v>
      </c>
      <c r="H694" s="3">
        <v>19443.157030956339</v>
      </c>
      <c r="I694">
        <v>5</v>
      </c>
      <c r="J694" s="3">
        <v>12555.799348361979</v>
      </c>
      <c r="K694" s="3">
        <v>6887.3576825943583</v>
      </c>
    </row>
    <row r="695" spans="1:11" x14ac:dyDescent="0.3">
      <c r="A695" t="s">
        <v>771</v>
      </c>
      <c r="B695" s="2">
        <v>44927</v>
      </c>
      <c r="C695">
        <v>2023</v>
      </c>
      <c r="D695">
        <v>1</v>
      </c>
      <c r="E695" t="s">
        <v>58</v>
      </c>
      <c r="F695" t="s">
        <v>48</v>
      </c>
      <c r="G695" t="s">
        <v>29</v>
      </c>
      <c r="H695" s="3">
        <v>46276.761092752968</v>
      </c>
      <c r="I695">
        <v>11</v>
      </c>
      <c r="J695" s="3">
        <v>29148.805435261369</v>
      </c>
      <c r="K695" s="3">
        <v>17127.955657491599</v>
      </c>
    </row>
    <row r="696" spans="1:11" x14ac:dyDescent="0.3">
      <c r="A696" t="s">
        <v>772</v>
      </c>
      <c r="B696" s="2">
        <v>44927</v>
      </c>
      <c r="C696">
        <v>2023</v>
      </c>
      <c r="D696">
        <v>1</v>
      </c>
      <c r="E696" t="s">
        <v>62</v>
      </c>
      <c r="F696" t="s">
        <v>67</v>
      </c>
      <c r="G696" t="s">
        <v>29</v>
      </c>
      <c r="H696" s="3">
        <v>15540.332242967421</v>
      </c>
      <c r="I696">
        <v>4</v>
      </c>
      <c r="J696" s="3">
        <v>10078.73106589382</v>
      </c>
      <c r="K696" s="3">
        <v>5461.6011770736004</v>
      </c>
    </row>
    <row r="697" spans="1:11" x14ac:dyDescent="0.3">
      <c r="A697" t="s">
        <v>773</v>
      </c>
      <c r="B697" s="2">
        <v>44927</v>
      </c>
      <c r="C697">
        <v>2023</v>
      </c>
      <c r="D697">
        <v>1</v>
      </c>
      <c r="E697" t="s">
        <v>62</v>
      </c>
      <c r="F697" t="s">
        <v>48</v>
      </c>
      <c r="G697" t="s">
        <v>29</v>
      </c>
      <c r="H697" s="3">
        <v>31438.081973872631</v>
      </c>
      <c r="I697">
        <v>7</v>
      </c>
      <c r="J697" s="3">
        <v>19889.459484437219</v>
      </c>
      <c r="K697" s="3">
        <v>11548.622489435411</v>
      </c>
    </row>
    <row r="698" spans="1:11" x14ac:dyDescent="0.3">
      <c r="A698" t="s">
        <v>774</v>
      </c>
      <c r="B698" s="2">
        <v>44927</v>
      </c>
      <c r="C698">
        <v>2023</v>
      </c>
      <c r="D698">
        <v>1</v>
      </c>
      <c r="E698" t="s">
        <v>50</v>
      </c>
      <c r="F698" t="s">
        <v>67</v>
      </c>
      <c r="G698" t="s">
        <v>34</v>
      </c>
      <c r="H698" s="3">
        <v>34502.079517627128</v>
      </c>
      <c r="I698">
        <v>41</v>
      </c>
      <c r="J698" s="3">
        <v>16625.590965714491</v>
      </c>
      <c r="K698" s="3">
        <v>17876.488551912629</v>
      </c>
    </row>
    <row r="699" spans="1:11" x14ac:dyDescent="0.3">
      <c r="A699" t="s">
        <v>775</v>
      </c>
      <c r="B699" s="2">
        <v>44927</v>
      </c>
      <c r="C699">
        <v>2023</v>
      </c>
      <c r="D699">
        <v>1</v>
      </c>
      <c r="E699" t="s">
        <v>50</v>
      </c>
      <c r="F699" t="s">
        <v>48</v>
      </c>
      <c r="G699" t="s">
        <v>34</v>
      </c>
      <c r="H699" s="3">
        <v>74880.829441911643</v>
      </c>
      <c r="I699">
        <v>88</v>
      </c>
      <c r="J699" s="3">
        <v>35746.539627821083</v>
      </c>
      <c r="K699" s="3">
        <v>39134.28981409056</v>
      </c>
    </row>
    <row r="700" spans="1:11" x14ac:dyDescent="0.3">
      <c r="A700" t="s">
        <v>776</v>
      </c>
      <c r="B700" s="2">
        <v>44927</v>
      </c>
      <c r="C700">
        <v>2023</v>
      </c>
      <c r="D700">
        <v>1</v>
      </c>
      <c r="E700" t="s">
        <v>54</v>
      </c>
      <c r="F700" t="s">
        <v>67</v>
      </c>
      <c r="G700" t="s">
        <v>34</v>
      </c>
      <c r="H700" s="3">
        <v>28350.03094358262</v>
      </c>
      <c r="I700">
        <v>33</v>
      </c>
      <c r="J700" s="3">
        <v>13554.404819240081</v>
      </c>
      <c r="K700" s="3">
        <v>14795.626124342551</v>
      </c>
    </row>
    <row r="701" spans="1:11" x14ac:dyDescent="0.3">
      <c r="A701" t="s">
        <v>777</v>
      </c>
      <c r="B701" s="2">
        <v>44927</v>
      </c>
      <c r="C701">
        <v>2023</v>
      </c>
      <c r="D701">
        <v>1</v>
      </c>
      <c r="E701" t="s">
        <v>54</v>
      </c>
      <c r="F701" t="s">
        <v>48</v>
      </c>
      <c r="G701" t="s">
        <v>34</v>
      </c>
      <c r="H701" s="3">
        <v>57800.83115761193</v>
      </c>
      <c r="I701">
        <v>68</v>
      </c>
      <c r="J701" s="3">
        <v>28127.06006999057</v>
      </c>
      <c r="K701" s="3">
        <v>29673.77108762136</v>
      </c>
    </row>
    <row r="702" spans="1:11" x14ac:dyDescent="0.3">
      <c r="A702" t="s">
        <v>778</v>
      </c>
      <c r="B702" s="2">
        <v>44927</v>
      </c>
      <c r="C702">
        <v>2023</v>
      </c>
      <c r="D702">
        <v>1</v>
      </c>
      <c r="E702" t="s">
        <v>58</v>
      </c>
      <c r="F702" t="s">
        <v>67</v>
      </c>
      <c r="G702" t="s">
        <v>34</v>
      </c>
      <c r="H702" s="3">
        <v>18442.410304250061</v>
      </c>
      <c r="I702">
        <v>22</v>
      </c>
      <c r="J702" s="3">
        <v>8686.6099562249201</v>
      </c>
      <c r="K702" s="3">
        <v>9755.8003480251446</v>
      </c>
    </row>
    <row r="703" spans="1:11" x14ac:dyDescent="0.3">
      <c r="A703" t="s">
        <v>779</v>
      </c>
      <c r="B703" s="2">
        <v>44927</v>
      </c>
      <c r="C703">
        <v>2023</v>
      </c>
      <c r="D703">
        <v>1</v>
      </c>
      <c r="E703" t="s">
        <v>58</v>
      </c>
      <c r="F703" t="s">
        <v>48</v>
      </c>
      <c r="G703" t="s">
        <v>34</v>
      </c>
      <c r="H703" s="3">
        <v>39838.1633274306</v>
      </c>
      <c r="I703">
        <v>47</v>
      </c>
      <c r="J703" s="3">
        <v>19791.857909155311</v>
      </c>
      <c r="K703" s="3">
        <v>20046.305418275289</v>
      </c>
    </row>
    <row r="704" spans="1:11" x14ac:dyDescent="0.3">
      <c r="A704" t="s">
        <v>780</v>
      </c>
      <c r="B704" s="2">
        <v>44927</v>
      </c>
      <c r="C704">
        <v>2023</v>
      </c>
      <c r="D704">
        <v>1</v>
      </c>
      <c r="E704" t="s">
        <v>62</v>
      </c>
      <c r="F704" t="s">
        <v>67</v>
      </c>
      <c r="G704" t="s">
        <v>34</v>
      </c>
      <c r="H704" s="3">
        <v>13509.74779251118</v>
      </c>
      <c r="I704">
        <v>16</v>
      </c>
      <c r="J704" s="3">
        <v>6272.1140877254111</v>
      </c>
      <c r="K704" s="3">
        <v>7237.6337047857651</v>
      </c>
    </row>
    <row r="705" spans="1:11" x14ac:dyDescent="0.3">
      <c r="A705" t="s">
        <v>781</v>
      </c>
      <c r="B705" s="2">
        <v>44927</v>
      </c>
      <c r="C705">
        <v>2023</v>
      </c>
      <c r="D705">
        <v>1</v>
      </c>
      <c r="E705" t="s">
        <v>62</v>
      </c>
      <c r="F705" t="s">
        <v>48</v>
      </c>
      <c r="G705" t="s">
        <v>34</v>
      </c>
      <c r="H705" s="3">
        <v>30284.455490534809</v>
      </c>
      <c r="I705">
        <v>36</v>
      </c>
      <c r="J705" s="3">
        <v>14380.154286818341</v>
      </c>
      <c r="K705" s="3">
        <v>15904.30120371647</v>
      </c>
    </row>
    <row r="706" spans="1:11" x14ac:dyDescent="0.3">
      <c r="A706" t="s">
        <v>782</v>
      </c>
      <c r="B706" s="2">
        <v>44927</v>
      </c>
      <c r="C706">
        <v>2023</v>
      </c>
      <c r="D706">
        <v>1</v>
      </c>
      <c r="E706" t="s">
        <v>50</v>
      </c>
      <c r="F706" t="s">
        <v>67</v>
      </c>
      <c r="G706" t="s">
        <v>37</v>
      </c>
      <c r="H706" s="3">
        <v>27431.4777393189</v>
      </c>
      <c r="I706">
        <v>38</v>
      </c>
      <c r="J706" s="3">
        <v>15187.8518028813</v>
      </c>
      <c r="K706" s="3">
        <v>12243.6259364376</v>
      </c>
    </row>
    <row r="707" spans="1:11" x14ac:dyDescent="0.3">
      <c r="A707" t="s">
        <v>783</v>
      </c>
      <c r="B707" s="2">
        <v>44927</v>
      </c>
      <c r="C707">
        <v>2023</v>
      </c>
      <c r="D707">
        <v>1</v>
      </c>
      <c r="E707" t="s">
        <v>50</v>
      </c>
      <c r="F707" t="s">
        <v>48</v>
      </c>
      <c r="G707" t="s">
        <v>37</v>
      </c>
      <c r="H707" s="3">
        <v>61684.197952457631</v>
      </c>
      <c r="I707">
        <v>86</v>
      </c>
      <c r="J707" s="3">
        <v>34283.134085869016</v>
      </c>
      <c r="K707" s="3">
        <v>27401.063866588611</v>
      </c>
    </row>
    <row r="708" spans="1:11" x14ac:dyDescent="0.3">
      <c r="A708" t="s">
        <v>784</v>
      </c>
      <c r="B708" s="2">
        <v>44927</v>
      </c>
      <c r="C708">
        <v>2023</v>
      </c>
      <c r="D708">
        <v>1</v>
      </c>
      <c r="E708" t="s">
        <v>54</v>
      </c>
      <c r="F708" t="s">
        <v>67</v>
      </c>
      <c r="G708" t="s">
        <v>37</v>
      </c>
      <c r="H708" s="3">
        <v>22426.953623928079</v>
      </c>
      <c r="I708">
        <v>31</v>
      </c>
      <c r="J708" s="3">
        <v>12312.516186337079</v>
      </c>
      <c r="K708" s="3">
        <v>10114.437437590999</v>
      </c>
    </row>
    <row r="709" spans="1:11" x14ac:dyDescent="0.3">
      <c r="A709" t="s">
        <v>785</v>
      </c>
      <c r="B709" s="2">
        <v>44927</v>
      </c>
      <c r="C709">
        <v>2023</v>
      </c>
      <c r="D709">
        <v>1</v>
      </c>
      <c r="E709" t="s">
        <v>54</v>
      </c>
      <c r="F709" t="s">
        <v>48</v>
      </c>
      <c r="G709" t="s">
        <v>37</v>
      </c>
      <c r="H709" s="3">
        <v>51937.683967072953</v>
      </c>
      <c r="I709">
        <v>72</v>
      </c>
      <c r="J709" s="3">
        <v>28536.21685395822</v>
      </c>
      <c r="K709" s="3">
        <v>23401.46711311473</v>
      </c>
    </row>
    <row r="710" spans="1:11" x14ac:dyDescent="0.3">
      <c r="A710" t="s">
        <v>786</v>
      </c>
      <c r="B710" s="2">
        <v>44927</v>
      </c>
      <c r="C710">
        <v>2023</v>
      </c>
      <c r="D710">
        <v>1</v>
      </c>
      <c r="E710" t="s">
        <v>58</v>
      </c>
      <c r="F710" t="s">
        <v>67</v>
      </c>
      <c r="G710" t="s">
        <v>37</v>
      </c>
      <c r="H710" s="3">
        <v>15051.797600231281</v>
      </c>
      <c r="I710">
        <v>21</v>
      </c>
      <c r="J710" s="3">
        <v>8339.6658963393875</v>
      </c>
      <c r="K710" s="3">
        <v>6712.1317038918969</v>
      </c>
    </row>
    <row r="711" spans="1:11" x14ac:dyDescent="0.3">
      <c r="A711" t="s">
        <v>787</v>
      </c>
      <c r="B711" s="2">
        <v>44927</v>
      </c>
      <c r="C711">
        <v>2023</v>
      </c>
      <c r="D711">
        <v>1</v>
      </c>
      <c r="E711" t="s">
        <v>58</v>
      </c>
      <c r="F711" t="s">
        <v>48</v>
      </c>
      <c r="G711" t="s">
        <v>37</v>
      </c>
      <c r="H711" s="3">
        <v>33753.652182203426</v>
      </c>
      <c r="I711">
        <v>47</v>
      </c>
      <c r="J711" s="3">
        <v>18487.29425636879</v>
      </c>
      <c r="K711" s="3">
        <v>15266.35792583464</v>
      </c>
    </row>
    <row r="712" spans="1:11" x14ac:dyDescent="0.3">
      <c r="A712" t="s">
        <v>788</v>
      </c>
      <c r="B712" s="2">
        <v>44927</v>
      </c>
      <c r="C712">
        <v>2023</v>
      </c>
      <c r="D712">
        <v>1</v>
      </c>
      <c r="E712" t="s">
        <v>62</v>
      </c>
      <c r="F712" t="s">
        <v>67</v>
      </c>
      <c r="G712" t="s">
        <v>37</v>
      </c>
      <c r="H712" s="3">
        <v>12308.117512077861</v>
      </c>
      <c r="I712">
        <v>17</v>
      </c>
      <c r="J712" s="3">
        <v>6939.2242741618657</v>
      </c>
      <c r="K712" s="3">
        <v>5368.8932379159896</v>
      </c>
    </row>
    <row r="713" spans="1:11" x14ac:dyDescent="0.3">
      <c r="A713" t="s">
        <v>789</v>
      </c>
      <c r="B713" s="2">
        <v>44927</v>
      </c>
      <c r="C713">
        <v>2023</v>
      </c>
      <c r="D713">
        <v>1</v>
      </c>
      <c r="E713" t="s">
        <v>62</v>
      </c>
      <c r="F713" t="s">
        <v>48</v>
      </c>
      <c r="G713" t="s">
        <v>37</v>
      </c>
      <c r="H713" s="3">
        <v>26402.945494308391</v>
      </c>
      <c r="I713">
        <v>37</v>
      </c>
      <c r="J713" s="3">
        <v>14741.01678211577</v>
      </c>
      <c r="K713" s="3">
        <v>11661.928712192621</v>
      </c>
    </row>
    <row r="714" spans="1:11" x14ac:dyDescent="0.3">
      <c r="A714" t="s">
        <v>790</v>
      </c>
      <c r="B714" s="2">
        <v>44927</v>
      </c>
      <c r="C714">
        <v>2023</v>
      </c>
      <c r="D714">
        <v>1</v>
      </c>
      <c r="E714" t="s">
        <v>50</v>
      </c>
      <c r="F714" t="s">
        <v>67</v>
      </c>
      <c r="G714" t="s">
        <v>40</v>
      </c>
      <c r="H714" s="3">
        <v>24881.317613368181</v>
      </c>
      <c r="I714">
        <v>5</v>
      </c>
      <c r="J714" s="3">
        <v>17437.834540357861</v>
      </c>
      <c r="K714" s="3">
        <v>7443.4830730103131</v>
      </c>
    </row>
    <row r="715" spans="1:11" x14ac:dyDescent="0.3">
      <c r="A715" t="s">
        <v>791</v>
      </c>
      <c r="B715" s="2">
        <v>44927</v>
      </c>
      <c r="C715">
        <v>2023</v>
      </c>
      <c r="D715">
        <v>1</v>
      </c>
      <c r="E715" t="s">
        <v>50</v>
      </c>
      <c r="F715" t="s">
        <v>48</v>
      </c>
      <c r="G715" t="s">
        <v>40</v>
      </c>
      <c r="H715" s="3">
        <v>53115.13637630218</v>
      </c>
      <c r="I715">
        <v>10</v>
      </c>
      <c r="J715" s="3">
        <v>36012.080176804557</v>
      </c>
      <c r="K715" s="3">
        <v>17103.05619949762</v>
      </c>
    </row>
    <row r="716" spans="1:11" x14ac:dyDescent="0.3">
      <c r="A716" t="s">
        <v>792</v>
      </c>
      <c r="B716" s="2">
        <v>44927</v>
      </c>
      <c r="C716">
        <v>2023</v>
      </c>
      <c r="D716">
        <v>1</v>
      </c>
      <c r="E716" t="s">
        <v>54</v>
      </c>
      <c r="F716" t="s">
        <v>67</v>
      </c>
      <c r="G716" t="s">
        <v>40</v>
      </c>
      <c r="H716" s="3">
        <v>21611.49806301673</v>
      </c>
      <c r="I716">
        <v>4</v>
      </c>
      <c r="J716" s="3">
        <v>14890.624634950589</v>
      </c>
      <c r="K716" s="3">
        <v>6720.8734280661392</v>
      </c>
    </row>
    <row r="717" spans="1:11" x14ac:dyDescent="0.3">
      <c r="A717" t="s">
        <v>793</v>
      </c>
      <c r="B717" s="2">
        <v>44927</v>
      </c>
      <c r="C717">
        <v>2023</v>
      </c>
      <c r="D717">
        <v>1</v>
      </c>
      <c r="E717" t="s">
        <v>54</v>
      </c>
      <c r="F717" t="s">
        <v>48</v>
      </c>
      <c r="G717" t="s">
        <v>40</v>
      </c>
      <c r="H717" s="3">
        <v>46728.656080972964</v>
      </c>
      <c r="I717">
        <v>9</v>
      </c>
      <c r="J717" s="3">
        <v>32068.391300697229</v>
      </c>
      <c r="K717" s="3">
        <v>14660.26478027574</v>
      </c>
    </row>
    <row r="718" spans="1:11" x14ac:dyDescent="0.3">
      <c r="A718" t="s">
        <v>794</v>
      </c>
      <c r="B718" s="2">
        <v>44927</v>
      </c>
      <c r="C718">
        <v>2023</v>
      </c>
      <c r="D718">
        <v>1</v>
      </c>
      <c r="E718" t="s">
        <v>58</v>
      </c>
      <c r="F718" t="s">
        <v>67</v>
      </c>
      <c r="G718" t="s">
        <v>40</v>
      </c>
      <c r="H718" s="3">
        <v>14567.036436419779</v>
      </c>
      <c r="I718">
        <v>3</v>
      </c>
      <c r="J718" s="3">
        <v>9869.3191331777853</v>
      </c>
      <c r="K718" s="3">
        <v>4697.7173032419978</v>
      </c>
    </row>
    <row r="719" spans="1:11" x14ac:dyDescent="0.3">
      <c r="A719" t="s">
        <v>795</v>
      </c>
      <c r="B719" s="2">
        <v>44927</v>
      </c>
      <c r="C719">
        <v>2023</v>
      </c>
      <c r="D719">
        <v>1</v>
      </c>
      <c r="E719" t="s">
        <v>58</v>
      </c>
      <c r="F719" t="s">
        <v>48</v>
      </c>
      <c r="G719" t="s">
        <v>40</v>
      </c>
      <c r="H719" s="3">
        <v>32845.424558410967</v>
      </c>
      <c r="I719">
        <v>6</v>
      </c>
      <c r="J719" s="3">
        <v>22810.268384816369</v>
      </c>
      <c r="K719" s="3">
        <v>10035.156173594591</v>
      </c>
    </row>
    <row r="720" spans="1:11" x14ac:dyDescent="0.3">
      <c r="A720" t="s">
        <v>796</v>
      </c>
      <c r="B720" s="2">
        <v>44927</v>
      </c>
      <c r="C720">
        <v>2023</v>
      </c>
      <c r="D720">
        <v>1</v>
      </c>
      <c r="E720" t="s">
        <v>62</v>
      </c>
      <c r="F720" t="s">
        <v>67</v>
      </c>
      <c r="G720" t="s">
        <v>40</v>
      </c>
      <c r="H720" s="3">
        <v>12571.594583520489</v>
      </c>
      <c r="I720">
        <v>2</v>
      </c>
      <c r="J720" s="3">
        <v>8590.4526815843747</v>
      </c>
      <c r="K720" s="3">
        <v>3981.1419019361128</v>
      </c>
    </row>
    <row r="721" spans="1:11" x14ac:dyDescent="0.3">
      <c r="A721" t="s">
        <v>797</v>
      </c>
      <c r="B721" s="2">
        <v>44927</v>
      </c>
      <c r="C721">
        <v>2023</v>
      </c>
      <c r="D721">
        <v>1</v>
      </c>
      <c r="E721" t="s">
        <v>62</v>
      </c>
      <c r="F721" t="s">
        <v>48</v>
      </c>
      <c r="G721" t="s">
        <v>40</v>
      </c>
      <c r="H721" s="3">
        <v>23400.334265698461</v>
      </c>
      <c r="I721">
        <v>4</v>
      </c>
      <c r="J721" s="3">
        <v>16336.71206855506</v>
      </c>
      <c r="K721" s="3">
        <v>7063.6221971433934</v>
      </c>
    </row>
    <row r="722" spans="1:11" x14ac:dyDescent="0.3">
      <c r="A722" t="s">
        <v>798</v>
      </c>
      <c r="B722" s="2">
        <v>44927</v>
      </c>
      <c r="C722">
        <v>2023</v>
      </c>
      <c r="D722">
        <v>1</v>
      </c>
      <c r="E722" t="s">
        <v>50</v>
      </c>
      <c r="F722" t="s">
        <v>67</v>
      </c>
      <c r="G722" t="s">
        <v>43</v>
      </c>
      <c r="H722" s="3">
        <v>55629.428294157849</v>
      </c>
      <c r="I722">
        <v>16</v>
      </c>
      <c r="J722" s="3">
        <v>32189.110075681099</v>
      </c>
      <c r="K722" s="3">
        <v>23440.31821847675</v>
      </c>
    </row>
    <row r="723" spans="1:11" x14ac:dyDescent="0.3">
      <c r="A723" t="s">
        <v>799</v>
      </c>
      <c r="B723" s="2">
        <v>44927</v>
      </c>
      <c r="C723">
        <v>2023</v>
      </c>
      <c r="D723">
        <v>1</v>
      </c>
      <c r="E723" t="s">
        <v>50</v>
      </c>
      <c r="F723" t="s">
        <v>48</v>
      </c>
      <c r="G723" t="s">
        <v>43</v>
      </c>
      <c r="H723" s="3">
        <v>109540.70704661129</v>
      </c>
      <c r="I723">
        <v>31</v>
      </c>
      <c r="J723" s="3">
        <v>66628.815452212992</v>
      </c>
      <c r="K723" s="3">
        <v>42911.89159439833</v>
      </c>
    </row>
    <row r="724" spans="1:11" x14ac:dyDescent="0.3">
      <c r="A724" t="s">
        <v>800</v>
      </c>
      <c r="B724" s="2">
        <v>44927</v>
      </c>
      <c r="C724">
        <v>2023</v>
      </c>
      <c r="D724">
        <v>1</v>
      </c>
      <c r="E724" t="s">
        <v>54</v>
      </c>
      <c r="F724" t="s">
        <v>67</v>
      </c>
      <c r="G724" t="s">
        <v>43</v>
      </c>
      <c r="H724" s="3">
        <v>43810.930802187941</v>
      </c>
      <c r="I724">
        <v>13</v>
      </c>
      <c r="J724" s="3">
        <v>25431.410608267292</v>
      </c>
      <c r="K724" s="3">
        <v>18379.520193920649</v>
      </c>
    </row>
    <row r="725" spans="1:11" x14ac:dyDescent="0.3">
      <c r="A725" t="s">
        <v>801</v>
      </c>
      <c r="B725" s="2">
        <v>44927</v>
      </c>
      <c r="C725">
        <v>2023</v>
      </c>
      <c r="D725">
        <v>1</v>
      </c>
      <c r="E725" t="s">
        <v>54</v>
      </c>
      <c r="F725" t="s">
        <v>48</v>
      </c>
      <c r="G725" t="s">
        <v>43</v>
      </c>
      <c r="H725" s="3">
        <v>98822.694988270639</v>
      </c>
      <c r="I725">
        <v>28</v>
      </c>
      <c r="J725" s="3">
        <v>58535.547192620637</v>
      </c>
      <c r="K725" s="3">
        <v>40287.147795650002</v>
      </c>
    </row>
    <row r="726" spans="1:11" x14ac:dyDescent="0.3">
      <c r="A726" t="s">
        <v>802</v>
      </c>
      <c r="B726" s="2">
        <v>44927</v>
      </c>
      <c r="C726">
        <v>2023</v>
      </c>
      <c r="D726">
        <v>1</v>
      </c>
      <c r="E726" t="s">
        <v>58</v>
      </c>
      <c r="F726" t="s">
        <v>67</v>
      </c>
      <c r="G726" t="s">
        <v>43</v>
      </c>
      <c r="H726" s="3">
        <v>28542.587966900821</v>
      </c>
      <c r="I726">
        <v>8</v>
      </c>
      <c r="J726" s="3">
        <v>17080.15710340807</v>
      </c>
      <c r="K726" s="3">
        <v>11462.430863492749</v>
      </c>
    </row>
    <row r="727" spans="1:11" x14ac:dyDescent="0.3">
      <c r="A727" t="s">
        <v>803</v>
      </c>
      <c r="B727" s="2">
        <v>44927</v>
      </c>
      <c r="C727">
        <v>2023</v>
      </c>
      <c r="D727">
        <v>1</v>
      </c>
      <c r="E727" t="s">
        <v>58</v>
      </c>
      <c r="F727" t="s">
        <v>48</v>
      </c>
      <c r="G727" t="s">
        <v>43</v>
      </c>
      <c r="H727" s="3">
        <v>63301.191136156973</v>
      </c>
      <c r="I727">
        <v>18</v>
      </c>
      <c r="J727" s="3">
        <v>36964.084805167338</v>
      </c>
      <c r="K727" s="3">
        <v>26337.106330989631</v>
      </c>
    </row>
    <row r="728" spans="1:11" x14ac:dyDescent="0.3">
      <c r="A728" t="s">
        <v>804</v>
      </c>
      <c r="B728" s="2">
        <v>44927</v>
      </c>
      <c r="C728">
        <v>2023</v>
      </c>
      <c r="D728">
        <v>1</v>
      </c>
      <c r="E728" t="s">
        <v>62</v>
      </c>
      <c r="F728" t="s">
        <v>67</v>
      </c>
      <c r="G728" t="s">
        <v>43</v>
      </c>
      <c r="H728" s="3">
        <v>20067.67303056932</v>
      </c>
      <c r="I728">
        <v>6</v>
      </c>
      <c r="J728" s="3">
        <v>12021.604086531401</v>
      </c>
      <c r="K728" s="3">
        <v>8046.0689440379283</v>
      </c>
    </row>
    <row r="729" spans="1:11" x14ac:dyDescent="0.3">
      <c r="A729" t="s">
        <v>805</v>
      </c>
      <c r="B729" s="2">
        <v>44927</v>
      </c>
      <c r="C729">
        <v>2023</v>
      </c>
      <c r="D729">
        <v>1</v>
      </c>
      <c r="E729" t="s">
        <v>62</v>
      </c>
      <c r="F729" t="s">
        <v>48</v>
      </c>
      <c r="G729" t="s">
        <v>43</v>
      </c>
      <c r="H729" s="3">
        <v>46553.594881292513</v>
      </c>
      <c r="I729">
        <v>13</v>
      </c>
      <c r="J729" s="3">
        <v>26858.913620042309</v>
      </c>
      <c r="K729" s="3">
        <v>19694.6812612502</v>
      </c>
    </row>
    <row r="730" spans="1:11" x14ac:dyDescent="0.3">
      <c r="A730" t="s">
        <v>806</v>
      </c>
      <c r="B730" s="2">
        <v>44958</v>
      </c>
      <c r="C730">
        <v>2023</v>
      </c>
      <c r="D730">
        <v>2</v>
      </c>
      <c r="E730" t="s">
        <v>50</v>
      </c>
      <c r="F730" t="s">
        <v>67</v>
      </c>
      <c r="G730" t="s">
        <v>19</v>
      </c>
      <c r="H730" s="3">
        <v>46967.199557367232</v>
      </c>
      <c r="I730">
        <v>9</v>
      </c>
      <c r="J730" s="3">
        <v>29880.796949190219</v>
      </c>
      <c r="K730" s="3">
        <v>17086.40260817701</v>
      </c>
    </row>
    <row r="731" spans="1:11" x14ac:dyDescent="0.3">
      <c r="A731" t="s">
        <v>807</v>
      </c>
      <c r="B731" s="2">
        <v>44958</v>
      </c>
      <c r="C731">
        <v>2023</v>
      </c>
      <c r="D731">
        <v>2</v>
      </c>
      <c r="E731" t="s">
        <v>50</v>
      </c>
      <c r="F731" t="s">
        <v>48</v>
      </c>
      <c r="G731" t="s">
        <v>19</v>
      </c>
      <c r="H731" s="3">
        <v>100490.41432651501</v>
      </c>
      <c r="I731">
        <v>19</v>
      </c>
      <c r="J731" s="3">
        <v>62319.924901406208</v>
      </c>
      <c r="K731" s="3">
        <v>38170.489425108841</v>
      </c>
    </row>
    <row r="732" spans="1:11" x14ac:dyDescent="0.3">
      <c r="A732" t="s">
        <v>808</v>
      </c>
      <c r="B732" s="2">
        <v>44958</v>
      </c>
      <c r="C732">
        <v>2023</v>
      </c>
      <c r="D732">
        <v>2</v>
      </c>
      <c r="E732" t="s">
        <v>54</v>
      </c>
      <c r="F732" t="s">
        <v>67</v>
      </c>
      <c r="G732" t="s">
        <v>19</v>
      </c>
      <c r="H732" s="3">
        <v>37618.20431822876</v>
      </c>
      <c r="I732">
        <v>7</v>
      </c>
      <c r="J732" s="3">
        <v>23072.901740879752</v>
      </c>
      <c r="K732" s="3">
        <v>14545.30257734901</v>
      </c>
    </row>
    <row r="733" spans="1:11" x14ac:dyDescent="0.3">
      <c r="A733" t="s">
        <v>809</v>
      </c>
      <c r="B733" s="2">
        <v>44958</v>
      </c>
      <c r="C733">
        <v>2023</v>
      </c>
      <c r="D733">
        <v>2</v>
      </c>
      <c r="E733" t="s">
        <v>54</v>
      </c>
      <c r="F733" t="s">
        <v>48</v>
      </c>
      <c r="G733" t="s">
        <v>19</v>
      </c>
      <c r="H733" s="3">
        <v>87765.491253120563</v>
      </c>
      <c r="I733">
        <v>17</v>
      </c>
      <c r="J733" s="3">
        <v>54121.56713575597</v>
      </c>
      <c r="K733" s="3">
        <v>33643.924117364593</v>
      </c>
    </row>
    <row r="734" spans="1:11" x14ac:dyDescent="0.3">
      <c r="A734" t="s">
        <v>810</v>
      </c>
      <c r="B734" s="2">
        <v>44958</v>
      </c>
      <c r="C734">
        <v>2023</v>
      </c>
      <c r="D734">
        <v>2</v>
      </c>
      <c r="E734" t="s">
        <v>58</v>
      </c>
      <c r="F734" t="s">
        <v>67</v>
      </c>
      <c r="G734" t="s">
        <v>19</v>
      </c>
      <c r="H734" s="3">
        <v>26454.2038731293</v>
      </c>
      <c r="I734">
        <v>5</v>
      </c>
      <c r="J734" s="3">
        <v>16640.422759746871</v>
      </c>
      <c r="K734" s="3">
        <v>9813.7811133824289</v>
      </c>
    </row>
    <row r="735" spans="1:11" x14ac:dyDescent="0.3">
      <c r="A735" t="s">
        <v>811</v>
      </c>
      <c r="B735" s="2">
        <v>44958</v>
      </c>
      <c r="C735">
        <v>2023</v>
      </c>
      <c r="D735">
        <v>2</v>
      </c>
      <c r="E735" t="s">
        <v>58</v>
      </c>
      <c r="F735" t="s">
        <v>48</v>
      </c>
      <c r="G735" t="s">
        <v>19</v>
      </c>
      <c r="H735" s="3">
        <v>58391.973602918551</v>
      </c>
      <c r="I735">
        <v>11</v>
      </c>
      <c r="J735" s="3">
        <v>35822.160756421697</v>
      </c>
      <c r="K735" s="3">
        <v>22569.81284649685</v>
      </c>
    </row>
    <row r="736" spans="1:11" x14ac:dyDescent="0.3">
      <c r="A736" t="s">
        <v>812</v>
      </c>
      <c r="B736" s="2">
        <v>44958</v>
      </c>
      <c r="C736">
        <v>2023</v>
      </c>
      <c r="D736">
        <v>2</v>
      </c>
      <c r="E736" t="s">
        <v>62</v>
      </c>
      <c r="F736" t="s">
        <v>67</v>
      </c>
      <c r="G736" t="s">
        <v>19</v>
      </c>
      <c r="H736" s="3">
        <v>19965.38709134997</v>
      </c>
      <c r="I736">
        <v>4</v>
      </c>
      <c r="J736" s="3">
        <v>12211.572822291449</v>
      </c>
      <c r="K736" s="3">
        <v>7753.8142690585209</v>
      </c>
    </row>
    <row r="737" spans="1:11" x14ac:dyDescent="0.3">
      <c r="A737" t="s">
        <v>813</v>
      </c>
      <c r="B737" s="2">
        <v>44958</v>
      </c>
      <c r="C737">
        <v>2023</v>
      </c>
      <c r="D737">
        <v>2</v>
      </c>
      <c r="E737" t="s">
        <v>62</v>
      </c>
      <c r="F737" t="s">
        <v>48</v>
      </c>
      <c r="G737" t="s">
        <v>19</v>
      </c>
      <c r="H737" s="3">
        <v>41443.466005260023</v>
      </c>
      <c r="I737">
        <v>8</v>
      </c>
      <c r="J737" s="3">
        <v>25592.486235189361</v>
      </c>
      <c r="K737" s="3">
        <v>15850.97977007066</v>
      </c>
    </row>
    <row r="738" spans="1:11" x14ac:dyDescent="0.3">
      <c r="A738" t="s">
        <v>814</v>
      </c>
      <c r="B738" s="2">
        <v>44958</v>
      </c>
      <c r="C738">
        <v>2023</v>
      </c>
      <c r="D738">
        <v>2</v>
      </c>
      <c r="E738" t="s">
        <v>50</v>
      </c>
      <c r="F738" t="s">
        <v>67</v>
      </c>
      <c r="G738" t="s">
        <v>24</v>
      </c>
      <c r="H738" s="3">
        <v>49686.970529245707</v>
      </c>
      <c r="I738">
        <v>8</v>
      </c>
      <c r="J738" s="3">
        <v>32098.661929384631</v>
      </c>
      <c r="K738" s="3">
        <v>17588.30859986108</v>
      </c>
    </row>
    <row r="739" spans="1:11" x14ac:dyDescent="0.3">
      <c r="A739" t="s">
        <v>815</v>
      </c>
      <c r="B739" s="2">
        <v>44958</v>
      </c>
      <c r="C739">
        <v>2023</v>
      </c>
      <c r="D739">
        <v>2</v>
      </c>
      <c r="E739" t="s">
        <v>50</v>
      </c>
      <c r="F739" t="s">
        <v>48</v>
      </c>
      <c r="G739" t="s">
        <v>24</v>
      </c>
      <c r="H739" s="3">
        <v>106809.01043937419</v>
      </c>
      <c r="I739">
        <v>18</v>
      </c>
      <c r="J739" s="3">
        <v>72804.018750019095</v>
      </c>
      <c r="K739" s="3">
        <v>34004.991689355127</v>
      </c>
    </row>
    <row r="740" spans="1:11" x14ac:dyDescent="0.3">
      <c r="A740" t="s">
        <v>816</v>
      </c>
      <c r="B740" s="2">
        <v>44958</v>
      </c>
      <c r="C740">
        <v>2023</v>
      </c>
      <c r="D740">
        <v>2</v>
      </c>
      <c r="E740" t="s">
        <v>54</v>
      </c>
      <c r="F740" t="s">
        <v>67</v>
      </c>
      <c r="G740" t="s">
        <v>24</v>
      </c>
      <c r="H740" s="3">
        <v>40410.673774943643</v>
      </c>
      <c r="I740">
        <v>7</v>
      </c>
      <c r="J740" s="3">
        <v>26399.13065326757</v>
      </c>
      <c r="K740" s="3">
        <v>14011.54312167607</v>
      </c>
    </row>
    <row r="741" spans="1:11" x14ac:dyDescent="0.3">
      <c r="A741" t="s">
        <v>817</v>
      </c>
      <c r="B741" s="2">
        <v>44958</v>
      </c>
      <c r="C741">
        <v>2023</v>
      </c>
      <c r="D741">
        <v>2</v>
      </c>
      <c r="E741" t="s">
        <v>54</v>
      </c>
      <c r="F741" t="s">
        <v>48</v>
      </c>
      <c r="G741" t="s">
        <v>24</v>
      </c>
      <c r="H741" s="3">
        <v>86134.658426204202</v>
      </c>
      <c r="I741">
        <v>14</v>
      </c>
      <c r="J741" s="3">
        <v>57699.851171786227</v>
      </c>
      <c r="K741" s="3">
        <v>28434.80725441797</v>
      </c>
    </row>
    <row r="742" spans="1:11" x14ac:dyDescent="0.3">
      <c r="A742" t="s">
        <v>818</v>
      </c>
      <c r="B742" s="2">
        <v>44958</v>
      </c>
      <c r="C742">
        <v>2023</v>
      </c>
      <c r="D742">
        <v>2</v>
      </c>
      <c r="E742" t="s">
        <v>58</v>
      </c>
      <c r="F742" t="s">
        <v>67</v>
      </c>
      <c r="G742" t="s">
        <v>24</v>
      </c>
      <c r="H742" s="3">
        <v>28456.256379799859</v>
      </c>
      <c r="I742">
        <v>5</v>
      </c>
      <c r="J742" s="3">
        <v>18851.942735389559</v>
      </c>
      <c r="K742" s="3">
        <v>9604.3136444103075</v>
      </c>
    </row>
    <row r="743" spans="1:11" x14ac:dyDescent="0.3">
      <c r="A743" t="s">
        <v>819</v>
      </c>
      <c r="B743" s="2">
        <v>44958</v>
      </c>
      <c r="C743">
        <v>2023</v>
      </c>
      <c r="D743">
        <v>2</v>
      </c>
      <c r="E743" t="s">
        <v>58</v>
      </c>
      <c r="F743" t="s">
        <v>48</v>
      </c>
      <c r="G743" t="s">
        <v>24</v>
      </c>
      <c r="H743" s="3">
        <v>64710.4037643134</v>
      </c>
      <c r="I743">
        <v>11</v>
      </c>
      <c r="J743" s="3">
        <v>41951.996484841169</v>
      </c>
      <c r="K743" s="3">
        <v>22758.407279472231</v>
      </c>
    </row>
    <row r="744" spans="1:11" x14ac:dyDescent="0.3">
      <c r="A744" t="s">
        <v>820</v>
      </c>
      <c r="B744" s="2">
        <v>44958</v>
      </c>
      <c r="C744">
        <v>2023</v>
      </c>
      <c r="D744">
        <v>2</v>
      </c>
      <c r="E744" t="s">
        <v>62</v>
      </c>
      <c r="F744" t="s">
        <v>67</v>
      </c>
      <c r="G744" t="s">
        <v>24</v>
      </c>
      <c r="H744" s="3">
        <v>19301.853093346101</v>
      </c>
      <c r="I744">
        <v>3</v>
      </c>
      <c r="J744" s="3">
        <v>12737.857590969859</v>
      </c>
      <c r="K744" s="3">
        <v>6563.9955023762359</v>
      </c>
    </row>
    <row r="745" spans="1:11" x14ac:dyDescent="0.3">
      <c r="A745" t="s">
        <v>821</v>
      </c>
      <c r="B745" s="2">
        <v>44958</v>
      </c>
      <c r="C745">
        <v>2023</v>
      </c>
      <c r="D745">
        <v>2</v>
      </c>
      <c r="E745" t="s">
        <v>62</v>
      </c>
      <c r="F745" t="s">
        <v>48</v>
      </c>
      <c r="G745" t="s">
        <v>24</v>
      </c>
      <c r="H745" s="3">
        <v>43847.731261975481</v>
      </c>
      <c r="I745">
        <v>7</v>
      </c>
      <c r="J745" s="3">
        <v>29347.898341833032</v>
      </c>
      <c r="K745" s="3">
        <v>14499.832920142449</v>
      </c>
    </row>
    <row r="746" spans="1:11" x14ac:dyDescent="0.3">
      <c r="A746" t="s">
        <v>822</v>
      </c>
      <c r="B746" s="2">
        <v>44958</v>
      </c>
      <c r="C746">
        <v>2023</v>
      </c>
      <c r="D746">
        <v>2</v>
      </c>
      <c r="E746" t="s">
        <v>50</v>
      </c>
      <c r="F746" t="s">
        <v>67</v>
      </c>
      <c r="G746" t="s">
        <v>29</v>
      </c>
      <c r="H746" s="3">
        <v>34885.161547579592</v>
      </c>
      <c r="I746">
        <v>8</v>
      </c>
      <c r="J746" s="3">
        <v>22250.845478401221</v>
      </c>
      <c r="K746" s="3">
        <v>12634.316069178371</v>
      </c>
    </row>
    <row r="747" spans="1:11" x14ac:dyDescent="0.3">
      <c r="A747" t="s">
        <v>823</v>
      </c>
      <c r="B747" s="2">
        <v>44958</v>
      </c>
      <c r="C747">
        <v>2023</v>
      </c>
      <c r="D747">
        <v>2</v>
      </c>
      <c r="E747" t="s">
        <v>50</v>
      </c>
      <c r="F747" t="s">
        <v>48</v>
      </c>
      <c r="G747" t="s">
        <v>29</v>
      </c>
      <c r="H747" s="3">
        <v>69926.939216095881</v>
      </c>
      <c r="I747">
        <v>16</v>
      </c>
      <c r="J747" s="3">
        <v>45714.363182118534</v>
      </c>
      <c r="K747" s="3">
        <v>24212.576033977359</v>
      </c>
    </row>
    <row r="748" spans="1:11" x14ac:dyDescent="0.3">
      <c r="A748" t="s">
        <v>824</v>
      </c>
      <c r="B748" s="2">
        <v>44958</v>
      </c>
      <c r="C748">
        <v>2023</v>
      </c>
      <c r="D748">
        <v>2</v>
      </c>
      <c r="E748" t="s">
        <v>54</v>
      </c>
      <c r="F748" t="s">
        <v>67</v>
      </c>
      <c r="G748" t="s">
        <v>29</v>
      </c>
      <c r="H748" s="3">
        <v>27779.304304642301</v>
      </c>
      <c r="I748">
        <v>6</v>
      </c>
      <c r="J748" s="3">
        <v>18105.657644611609</v>
      </c>
      <c r="K748" s="3">
        <v>9673.6466600306885</v>
      </c>
    </row>
    <row r="749" spans="1:11" x14ac:dyDescent="0.3">
      <c r="A749" t="s">
        <v>825</v>
      </c>
      <c r="B749" s="2">
        <v>44958</v>
      </c>
      <c r="C749">
        <v>2023</v>
      </c>
      <c r="D749">
        <v>2</v>
      </c>
      <c r="E749" t="s">
        <v>54</v>
      </c>
      <c r="F749" t="s">
        <v>48</v>
      </c>
      <c r="G749" t="s">
        <v>29</v>
      </c>
      <c r="H749" s="3">
        <v>62872.740402348812</v>
      </c>
      <c r="I749">
        <v>15</v>
      </c>
      <c r="J749" s="3">
        <v>40904.118345156559</v>
      </c>
      <c r="K749" s="3">
        <v>21968.622057192249</v>
      </c>
    </row>
    <row r="750" spans="1:11" x14ac:dyDescent="0.3">
      <c r="A750" t="s">
        <v>826</v>
      </c>
      <c r="B750" s="2">
        <v>44958</v>
      </c>
      <c r="C750">
        <v>2023</v>
      </c>
      <c r="D750">
        <v>2</v>
      </c>
      <c r="E750" t="s">
        <v>58</v>
      </c>
      <c r="F750" t="s">
        <v>67</v>
      </c>
      <c r="G750" t="s">
        <v>29</v>
      </c>
      <c r="H750" s="3">
        <v>18622.973585762571</v>
      </c>
      <c r="I750">
        <v>4</v>
      </c>
      <c r="J750" s="3">
        <v>11820.089868191069</v>
      </c>
      <c r="K750" s="3">
        <v>6802.8837175714998</v>
      </c>
    </row>
    <row r="751" spans="1:11" x14ac:dyDescent="0.3">
      <c r="A751" t="s">
        <v>827</v>
      </c>
      <c r="B751" s="2">
        <v>44958</v>
      </c>
      <c r="C751">
        <v>2023</v>
      </c>
      <c r="D751">
        <v>2</v>
      </c>
      <c r="E751" t="s">
        <v>58</v>
      </c>
      <c r="F751" t="s">
        <v>48</v>
      </c>
      <c r="G751" t="s">
        <v>29</v>
      </c>
      <c r="H751" s="3">
        <v>39199.556518215271</v>
      </c>
      <c r="I751">
        <v>9</v>
      </c>
      <c r="J751" s="3">
        <v>24600.082116536869</v>
      </c>
      <c r="K751" s="3">
        <v>14599.474401678401</v>
      </c>
    </row>
    <row r="752" spans="1:11" x14ac:dyDescent="0.3">
      <c r="A752" t="s">
        <v>828</v>
      </c>
      <c r="B752" s="2">
        <v>44958</v>
      </c>
      <c r="C752">
        <v>2023</v>
      </c>
      <c r="D752">
        <v>2</v>
      </c>
      <c r="E752" t="s">
        <v>62</v>
      </c>
      <c r="F752" t="s">
        <v>67</v>
      </c>
      <c r="G752" t="s">
        <v>29</v>
      </c>
      <c r="H752" s="3">
        <v>14214.4109883282</v>
      </c>
      <c r="I752">
        <v>3</v>
      </c>
      <c r="J752" s="3">
        <v>8996.7480532023856</v>
      </c>
      <c r="K752" s="3">
        <v>5217.6629351258161</v>
      </c>
    </row>
    <row r="753" spans="1:11" x14ac:dyDescent="0.3">
      <c r="A753" t="s">
        <v>829</v>
      </c>
      <c r="B753" s="2">
        <v>44958</v>
      </c>
      <c r="C753">
        <v>2023</v>
      </c>
      <c r="D753">
        <v>2</v>
      </c>
      <c r="E753" t="s">
        <v>62</v>
      </c>
      <c r="F753" t="s">
        <v>48</v>
      </c>
      <c r="G753" t="s">
        <v>29</v>
      </c>
      <c r="H753" s="3">
        <v>29590.442057254018</v>
      </c>
      <c r="I753">
        <v>7</v>
      </c>
      <c r="J753" s="3">
        <v>19004.777899882942</v>
      </c>
      <c r="K753" s="3">
        <v>10585.66415737108</v>
      </c>
    </row>
    <row r="754" spans="1:11" x14ac:dyDescent="0.3">
      <c r="A754" t="s">
        <v>830</v>
      </c>
      <c r="B754" s="2">
        <v>44958</v>
      </c>
      <c r="C754">
        <v>2023</v>
      </c>
      <c r="D754">
        <v>2</v>
      </c>
      <c r="E754" t="s">
        <v>50</v>
      </c>
      <c r="F754" t="s">
        <v>67</v>
      </c>
      <c r="G754" t="s">
        <v>34</v>
      </c>
      <c r="H754" s="3">
        <v>32302.396933416181</v>
      </c>
      <c r="I754">
        <v>38</v>
      </c>
      <c r="J754" s="3">
        <v>15657.475620731189</v>
      </c>
      <c r="K754" s="3">
        <v>16644.92131268499</v>
      </c>
    </row>
    <row r="755" spans="1:11" x14ac:dyDescent="0.3">
      <c r="A755" t="s">
        <v>831</v>
      </c>
      <c r="B755" s="2">
        <v>44958</v>
      </c>
      <c r="C755">
        <v>2023</v>
      </c>
      <c r="D755">
        <v>2</v>
      </c>
      <c r="E755" t="s">
        <v>50</v>
      </c>
      <c r="F755" t="s">
        <v>48</v>
      </c>
      <c r="G755" t="s">
        <v>34</v>
      </c>
      <c r="H755" s="3">
        <v>63206.756281786467</v>
      </c>
      <c r="I755">
        <v>74</v>
      </c>
      <c r="J755" s="3">
        <v>29153.334028925299</v>
      </c>
      <c r="K755" s="3">
        <v>34053.422252861172</v>
      </c>
    </row>
    <row r="756" spans="1:11" x14ac:dyDescent="0.3">
      <c r="A756" t="s">
        <v>832</v>
      </c>
      <c r="B756" s="2">
        <v>44958</v>
      </c>
      <c r="C756">
        <v>2023</v>
      </c>
      <c r="D756">
        <v>2</v>
      </c>
      <c r="E756" t="s">
        <v>54</v>
      </c>
      <c r="F756" t="s">
        <v>67</v>
      </c>
      <c r="G756" t="s">
        <v>34</v>
      </c>
      <c r="H756" s="3">
        <v>26408.109925949211</v>
      </c>
      <c r="I756">
        <v>31</v>
      </c>
      <c r="J756" s="3">
        <v>12674.04160713069</v>
      </c>
      <c r="K756" s="3">
        <v>13734.06831881851</v>
      </c>
    </row>
    <row r="757" spans="1:11" x14ac:dyDescent="0.3">
      <c r="A757" t="s">
        <v>833</v>
      </c>
      <c r="B757" s="2">
        <v>44958</v>
      </c>
      <c r="C757">
        <v>2023</v>
      </c>
      <c r="D757">
        <v>2</v>
      </c>
      <c r="E757" t="s">
        <v>54</v>
      </c>
      <c r="F757" t="s">
        <v>48</v>
      </c>
      <c r="G757" t="s">
        <v>34</v>
      </c>
      <c r="H757" s="3">
        <v>59947.038652327632</v>
      </c>
      <c r="I757">
        <v>71</v>
      </c>
      <c r="J757" s="3">
        <v>28856.459668101601</v>
      </c>
      <c r="K757" s="3">
        <v>31090.578984226031</v>
      </c>
    </row>
    <row r="758" spans="1:11" x14ac:dyDescent="0.3">
      <c r="A758" t="s">
        <v>834</v>
      </c>
      <c r="B758" s="2">
        <v>44958</v>
      </c>
      <c r="C758">
        <v>2023</v>
      </c>
      <c r="D758">
        <v>2</v>
      </c>
      <c r="E758" t="s">
        <v>58</v>
      </c>
      <c r="F758" t="s">
        <v>67</v>
      </c>
      <c r="G758" t="s">
        <v>34</v>
      </c>
      <c r="H758" s="3">
        <v>17647.978189176949</v>
      </c>
      <c r="I758">
        <v>21</v>
      </c>
      <c r="J758" s="3">
        <v>8428.7099901605561</v>
      </c>
      <c r="K758" s="3">
        <v>9219.2681990163892</v>
      </c>
    </row>
    <row r="759" spans="1:11" x14ac:dyDescent="0.3">
      <c r="A759" t="s">
        <v>835</v>
      </c>
      <c r="B759" s="2">
        <v>44958</v>
      </c>
      <c r="C759">
        <v>2023</v>
      </c>
      <c r="D759">
        <v>2</v>
      </c>
      <c r="E759" t="s">
        <v>58</v>
      </c>
      <c r="F759" t="s">
        <v>48</v>
      </c>
      <c r="G759" t="s">
        <v>34</v>
      </c>
      <c r="H759" s="3">
        <v>37624.939199050277</v>
      </c>
      <c r="I759">
        <v>44</v>
      </c>
      <c r="J759" s="3">
        <v>18479.73743679918</v>
      </c>
      <c r="K759" s="3">
        <v>19145.201762251101</v>
      </c>
    </row>
    <row r="760" spans="1:11" x14ac:dyDescent="0.3">
      <c r="A760" t="s">
        <v>836</v>
      </c>
      <c r="B760" s="2">
        <v>44958</v>
      </c>
      <c r="C760">
        <v>2023</v>
      </c>
      <c r="D760">
        <v>2</v>
      </c>
      <c r="E760" t="s">
        <v>62</v>
      </c>
      <c r="F760" t="s">
        <v>67</v>
      </c>
      <c r="G760" t="s">
        <v>34</v>
      </c>
      <c r="H760" s="3">
        <v>13812.8096164285</v>
      </c>
      <c r="I760">
        <v>16</v>
      </c>
      <c r="J760" s="3">
        <v>6680.4849782447263</v>
      </c>
      <c r="K760" s="3">
        <v>7132.3246381837753</v>
      </c>
    </row>
    <row r="761" spans="1:11" x14ac:dyDescent="0.3">
      <c r="A761" t="s">
        <v>837</v>
      </c>
      <c r="B761" s="2">
        <v>44958</v>
      </c>
      <c r="C761">
        <v>2023</v>
      </c>
      <c r="D761">
        <v>2</v>
      </c>
      <c r="E761" t="s">
        <v>62</v>
      </c>
      <c r="F761" t="s">
        <v>48</v>
      </c>
      <c r="G761" t="s">
        <v>34</v>
      </c>
      <c r="H761" s="3">
        <v>28704.081769962271</v>
      </c>
      <c r="I761">
        <v>34</v>
      </c>
      <c r="J761" s="3">
        <v>14102.89112251796</v>
      </c>
      <c r="K761" s="3">
        <v>14601.190647444309</v>
      </c>
    </row>
    <row r="762" spans="1:11" x14ac:dyDescent="0.3">
      <c r="A762" t="s">
        <v>838</v>
      </c>
      <c r="B762" s="2">
        <v>44958</v>
      </c>
      <c r="C762">
        <v>2023</v>
      </c>
      <c r="D762">
        <v>2</v>
      </c>
      <c r="E762" t="s">
        <v>50</v>
      </c>
      <c r="F762" t="s">
        <v>67</v>
      </c>
      <c r="G762" t="s">
        <v>37</v>
      </c>
      <c r="H762" s="3">
        <v>26449.3841916274</v>
      </c>
      <c r="I762">
        <v>37</v>
      </c>
      <c r="J762" s="3">
        <v>14490.612279942699</v>
      </c>
      <c r="K762" s="3">
        <v>11958.7719116847</v>
      </c>
    </row>
    <row r="763" spans="1:11" x14ac:dyDescent="0.3">
      <c r="A763" t="s">
        <v>839</v>
      </c>
      <c r="B763" s="2">
        <v>44958</v>
      </c>
      <c r="C763">
        <v>2023</v>
      </c>
      <c r="D763">
        <v>2</v>
      </c>
      <c r="E763" t="s">
        <v>50</v>
      </c>
      <c r="F763" t="s">
        <v>48</v>
      </c>
      <c r="G763" t="s">
        <v>37</v>
      </c>
      <c r="H763" s="3">
        <v>60834.955192344511</v>
      </c>
      <c r="I763">
        <v>84</v>
      </c>
      <c r="J763" s="3">
        <v>34023.836228169333</v>
      </c>
      <c r="K763" s="3">
        <v>26811.118964175181</v>
      </c>
    </row>
    <row r="764" spans="1:11" x14ac:dyDescent="0.3">
      <c r="A764" t="s">
        <v>840</v>
      </c>
      <c r="B764" s="2">
        <v>44958</v>
      </c>
      <c r="C764">
        <v>2023</v>
      </c>
      <c r="D764">
        <v>2</v>
      </c>
      <c r="E764" t="s">
        <v>54</v>
      </c>
      <c r="F764" t="s">
        <v>67</v>
      </c>
      <c r="G764" t="s">
        <v>37</v>
      </c>
      <c r="H764" s="3">
        <v>20472.263599442889</v>
      </c>
      <c r="I764">
        <v>28</v>
      </c>
      <c r="J764" s="3">
        <v>11591.132730984031</v>
      </c>
      <c r="K764" s="3">
        <v>8881.130868458853</v>
      </c>
    </row>
    <row r="765" spans="1:11" x14ac:dyDescent="0.3">
      <c r="A765" t="s">
        <v>841</v>
      </c>
      <c r="B765" s="2">
        <v>44958</v>
      </c>
      <c r="C765">
        <v>2023</v>
      </c>
      <c r="D765">
        <v>2</v>
      </c>
      <c r="E765" t="s">
        <v>54</v>
      </c>
      <c r="F765" t="s">
        <v>48</v>
      </c>
      <c r="G765" t="s">
        <v>37</v>
      </c>
      <c r="H765" s="3">
        <v>46862.723944913159</v>
      </c>
      <c r="I765">
        <v>65</v>
      </c>
      <c r="J765" s="3">
        <v>26383.04649703703</v>
      </c>
      <c r="K765" s="3">
        <v>20479.677447876129</v>
      </c>
    </row>
    <row r="766" spans="1:11" x14ac:dyDescent="0.3">
      <c r="A766" t="s">
        <v>842</v>
      </c>
      <c r="B766" s="2">
        <v>44958</v>
      </c>
      <c r="C766">
        <v>2023</v>
      </c>
      <c r="D766">
        <v>2</v>
      </c>
      <c r="E766" t="s">
        <v>58</v>
      </c>
      <c r="F766" t="s">
        <v>67</v>
      </c>
      <c r="G766" t="s">
        <v>37</v>
      </c>
      <c r="H766" s="3">
        <v>16664.04536186011</v>
      </c>
      <c r="I766">
        <v>23</v>
      </c>
      <c r="J766" s="3">
        <v>8985.0499281838038</v>
      </c>
      <c r="K766" s="3">
        <v>7678.9954336763094</v>
      </c>
    </row>
    <row r="767" spans="1:11" x14ac:dyDescent="0.3">
      <c r="A767" t="s">
        <v>843</v>
      </c>
      <c r="B767" s="2">
        <v>44958</v>
      </c>
      <c r="C767">
        <v>2023</v>
      </c>
      <c r="D767">
        <v>2</v>
      </c>
      <c r="E767" t="s">
        <v>58</v>
      </c>
      <c r="F767" t="s">
        <v>48</v>
      </c>
      <c r="G767" t="s">
        <v>37</v>
      </c>
      <c r="H767" s="3">
        <v>32072.86649706087</v>
      </c>
      <c r="I767">
        <v>45</v>
      </c>
      <c r="J767" s="3">
        <v>17559.528995595181</v>
      </c>
      <c r="K767" s="3">
        <v>14513.337501465679</v>
      </c>
    </row>
    <row r="768" spans="1:11" x14ac:dyDescent="0.3">
      <c r="A768" t="s">
        <v>844</v>
      </c>
      <c r="B768" s="2">
        <v>44958</v>
      </c>
      <c r="C768">
        <v>2023</v>
      </c>
      <c r="D768">
        <v>2</v>
      </c>
      <c r="E768" t="s">
        <v>62</v>
      </c>
      <c r="F768" t="s">
        <v>67</v>
      </c>
      <c r="G768" t="s">
        <v>37</v>
      </c>
      <c r="H768" s="3">
        <v>11439.24254064444</v>
      </c>
      <c r="I768">
        <v>16</v>
      </c>
      <c r="J768" s="3">
        <v>6252.4940118115519</v>
      </c>
      <c r="K768" s="3">
        <v>5186.7485288328917</v>
      </c>
    </row>
    <row r="769" spans="1:11" x14ac:dyDescent="0.3">
      <c r="A769" t="s">
        <v>845</v>
      </c>
      <c r="B769" s="2">
        <v>44958</v>
      </c>
      <c r="C769">
        <v>2023</v>
      </c>
      <c r="D769">
        <v>2</v>
      </c>
      <c r="E769" t="s">
        <v>62</v>
      </c>
      <c r="F769" t="s">
        <v>48</v>
      </c>
      <c r="G769" t="s">
        <v>37</v>
      </c>
      <c r="H769" s="3">
        <v>24492.899785410362</v>
      </c>
      <c r="I769">
        <v>34</v>
      </c>
      <c r="J769" s="3">
        <v>13589.7291787178</v>
      </c>
      <c r="K769" s="3">
        <v>10903.17060669256</v>
      </c>
    </row>
    <row r="770" spans="1:11" x14ac:dyDescent="0.3">
      <c r="A770" t="s">
        <v>846</v>
      </c>
      <c r="B770" s="2">
        <v>44958</v>
      </c>
      <c r="C770">
        <v>2023</v>
      </c>
      <c r="D770">
        <v>2</v>
      </c>
      <c r="E770" t="s">
        <v>50</v>
      </c>
      <c r="F770" t="s">
        <v>67</v>
      </c>
      <c r="G770" t="s">
        <v>40</v>
      </c>
      <c r="H770" s="3">
        <v>27654.043331495341</v>
      </c>
      <c r="I770">
        <v>5</v>
      </c>
      <c r="J770" s="3">
        <v>19317.027099544419</v>
      </c>
      <c r="K770" s="3">
        <v>8337.0162319509218</v>
      </c>
    </row>
    <row r="771" spans="1:11" x14ac:dyDescent="0.3">
      <c r="A771" t="s">
        <v>847</v>
      </c>
      <c r="B771" s="2">
        <v>44958</v>
      </c>
      <c r="C771">
        <v>2023</v>
      </c>
      <c r="D771">
        <v>2</v>
      </c>
      <c r="E771" t="s">
        <v>50</v>
      </c>
      <c r="F771" t="s">
        <v>48</v>
      </c>
      <c r="G771" t="s">
        <v>40</v>
      </c>
      <c r="H771" s="3">
        <v>50707.33652858634</v>
      </c>
      <c r="I771">
        <v>9</v>
      </c>
      <c r="J771" s="3">
        <v>34459.740081610369</v>
      </c>
      <c r="K771" s="3">
        <v>16247.596446975969</v>
      </c>
    </row>
    <row r="772" spans="1:11" x14ac:dyDescent="0.3">
      <c r="A772" t="s">
        <v>848</v>
      </c>
      <c r="B772" s="2">
        <v>44958</v>
      </c>
      <c r="C772">
        <v>2023</v>
      </c>
      <c r="D772">
        <v>2</v>
      </c>
      <c r="E772" t="s">
        <v>54</v>
      </c>
      <c r="F772" t="s">
        <v>67</v>
      </c>
      <c r="G772" t="s">
        <v>40</v>
      </c>
      <c r="H772" s="3">
        <v>18298.804341029801</v>
      </c>
      <c r="I772">
        <v>3</v>
      </c>
      <c r="J772" s="3">
        <v>12641.592732377019</v>
      </c>
      <c r="K772" s="3">
        <v>5657.2116086527731</v>
      </c>
    </row>
    <row r="773" spans="1:11" x14ac:dyDescent="0.3">
      <c r="A773" t="s">
        <v>849</v>
      </c>
      <c r="B773" s="2">
        <v>44958</v>
      </c>
      <c r="C773">
        <v>2023</v>
      </c>
      <c r="D773">
        <v>2</v>
      </c>
      <c r="E773" t="s">
        <v>54</v>
      </c>
      <c r="F773" t="s">
        <v>48</v>
      </c>
      <c r="G773" t="s">
        <v>40</v>
      </c>
      <c r="H773" s="3">
        <v>41178.86258977418</v>
      </c>
      <c r="I773">
        <v>8</v>
      </c>
      <c r="J773" s="3">
        <v>27380.34057609602</v>
      </c>
      <c r="K773" s="3">
        <v>13798.522013678161</v>
      </c>
    </row>
    <row r="774" spans="1:11" x14ac:dyDescent="0.3">
      <c r="A774" t="s">
        <v>850</v>
      </c>
      <c r="B774" s="2">
        <v>44958</v>
      </c>
      <c r="C774">
        <v>2023</v>
      </c>
      <c r="D774">
        <v>2</v>
      </c>
      <c r="E774" t="s">
        <v>58</v>
      </c>
      <c r="F774" t="s">
        <v>67</v>
      </c>
      <c r="G774" t="s">
        <v>40</v>
      </c>
      <c r="H774" s="3">
        <v>14089.90449491847</v>
      </c>
      <c r="I774">
        <v>3</v>
      </c>
      <c r="J774" s="3">
        <v>9974.3695948336608</v>
      </c>
      <c r="K774" s="3">
        <v>4115.5349000848046</v>
      </c>
    </row>
    <row r="775" spans="1:11" x14ac:dyDescent="0.3">
      <c r="A775" t="s">
        <v>851</v>
      </c>
      <c r="B775" s="2">
        <v>44958</v>
      </c>
      <c r="C775">
        <v>2023</v>
      </c>
      <c r="D775">
        <v>2</v>
      </c>
      <c r="E775" t="s">
        <v>58</v>
      </c>
      <c r="F775" t="s">
        <v>48</v>
      </c>
      <c r="G775" t="s">
        <v>40</v>
      </c>
      <c r="H775" s="3">
        <v>29233.205335112649</v>
      </c>
      <c r="I775">
        <v>5</v>
      </c>
      <c r="J775" s="3">
        <v>19984.88068121206</v>
      </c>
      <c r="K775" s="3">
        <v>9248.3246539005886</v>
      </c>
    </row>
    <row r="776" spans="1:11" x14ac:dyDescent="0.3">
      <c r="A776" t="s">
        <v>852</v>
      </c>
      <c r="B776" s="2">
        <v>44958</v>
      </c>
      <c r="C776">
        <v>2023</v>
      </c>
      <c r="D776">
        <v>2</v>
      </c>
      <c r="E776" t="s">
        <v>62</v>
      </c>
      <c r="F776" t="s">
        <v>67</v>
      </c>
      <c r="G776" t="s">
        <v>40</v>
      </c>
      <c r="H776" s="3">
        <v>10804.753127538999</v>
      </c>
      <c r="I776">
        <v>2</v>
      </c>
      <c r="J776" s="3">
        <v>7462.7763213000017</v>
      </c>
      <c r="K776" s="3">
        <v>3341.9768062389981</v>
      </c>
    </row>
    <row r="777" spans="1:11" x14ac:dyDescent="0.3">
      <c r="A777" t="s">
        <v>853</v>
      </c>
      <c r="B777" s="2">
        <v>44958</v>
      </c>
      <c r="C777">
        <v>2023</v>
      </c>
      <c r="D777">
        <v>2</v>
      </c>
      <c r="E777" t="s">
        <v>62</v>
      </c>
      <c r="F777" t="s">
        <v>48</v>
      </c>
      <c r="G777" t="s">
        <v>40</v>
      </c>
      <c r="H777" s="3">
        <v>22568.08192752668</v>
      </c>
      <c r="I777">
        <v>4</v>
      </c>
      <c r="J777" s="3">
        <v>15485.183084576071</v>
      </c>
      <c r="K777" s="3">
        <v>7082.8988429506126</v>
      </c>
    </row>
    <row r="778" spans="1:11" x14ac:dyDescent="0.3">
      <c r="A778" t="s">
        <v>854</v>
      </c>
      <c r="B778" s="2">
        <v>44958</v>
      </c>
      <c r="C778">
        <v>2023</v>
      </c>
      <c r="D778">
        <v>2</v>
      </c>
      <c r="E778" t="s">
        <v>50</v>
      </c>
      <c r="F778" t="s">
        <v>67</v>
      </c>
      <c r="G778" t="s">
        <v>43</v>
      </c>
      <c r="H778" s="3">
        <v>53298.58499768874</v>
      </c>
      <c r="I778">
        <v>15</v>
      </c>
      <c r="J778" s="3">
        <v>32094.8522516341</v>
      </c>
      <c r="K778" s="3">
        <v>21203.73274605464</v>
      </c>
    </row>
    <row r="779" spans="1:11" x14ac:dyDescent="0.3">
      <c r="A779" t="s">
        <v>855</v>
      </c>
      <c r="B779" s="2">
        <v>44958</v>
      </c>
      <c r="C779">
        <v>2023</v>
      </c>
      <c r="D779">
        <v>2</v>
      </c>
      <c r="E779" t="s">
        <v>50</v>
      </c>
      <c r="F779" t="s">
        <v>48</v>
      </c>
      <c r="G779" t="s">
        <v>43</v>
      </c>
      <c r="H779" s="3">
        <v>107418.1656202248</v>
      </c>
      <c r="I779">
        <v>31</v>
      </c>
      <c r="J779" s="3">
        <v>60139.744510368168</v>
      </c>
      <c r="K779" s="3">
        <v>47278.421109856637</v>
      </c>
    </row>
    <row r="780" spans="1:11" x14ac:dyDescent="0.3">
      <c r="A780" t="s">
        <v>856</v>
      </c>
      <c r="B780" s="2">
        <v>44958</v>
      </c>
      <c r="C780">
        <v>2023</v>
      </c>
      <c r="D780">
        <v>2</v>
      </c>
      <c r="E780" t="s">
        <v>54</v>
      </c>
      <c r="F780" t="s">
        <v>67</v>
      </c>
      <c r="G780" t="s">
        <v>43</v>
      </c>
      <c r="H780" s="3">
        <v>42096.165736759998</v>
      </c>
      <c r="I780">
        <v>12</v>
      </c>
      <c r="J780" s="3">
        <v>24829.31194378488</v>
      </c>
      <c r="K780" s="3">
        <v>17266.853792975118</v>
      </c>
    </row>
    <row r="781" spans="1:11" x14ac:dyDescent="0.3">
      <c r="A781" t="s">
        <v>857</v>
      </c>
      <c r="B781" s="2">
        <v>44958</v>
      </c>
      <c r="C781">
        <v>2023</v>
      </c>
      <c r="D781">
        <v>2</v>
      </c>
      <c r="E781" t="s">
        <v>54</v>
      </c>
      <c r="F781" t="s">
        <v>48</v>
      </c>
      <c r="G781" t="s">
        <v>43</v>
      </c>
      <c r="H781" s="3">
        <v>88390.433590437271</v>
      </c>
      <c r="I781">
        <v>25</v>
      </c>
      <c r="J781" s="3">
        <v>52051.023072954289</v>
      </c>
      <c r="K781" s="3">
        <v>36339.410517482982</v>
      </c>
    </row>
    <row r="782" spans="1:11" x14ac:dyDescent="0.3">
      <c r="A782" t="s">
        <v>858</v>
      </c>
      <c r="B782" s="2">
        <v>44958</v>
      </c>
      <c r="C782">
        <v>2023</v>
      </c>
      <c r="D782">
        <v>2</v>
      </c>
      <c r="E782" t="s">
        <v>58</v>
      </c>
      <c r="F782" t="s">
        <v>67</v>
      </c>
      <c r="G782" t="s">
        <v>43</v>
      </c>
      <c r="H782" s="3">
        <v>30176.137525184731</v>
      </c>
      <c r="I782">
        <v>9</v>
      </c>
      <c r="J782" s="3">
        <v>17658.544023383642</v>
      </c>
      <c r="K782" s="3">
        <v>12517.59350180109</v>
      </c>
    </row>
    <row r="783" spans="1:11" x14ac:dyDescent="0.3">
      <c r="A783" t="s">
        <v>859</v>
      </c>
      <c r="B783" s="2">
        <v>44958</v>
      </c>
      <c r="C783">
        <v>2023</v>
      </c>
      <c r="D783">
        <v>2</v>
      </c>
      <c r="E783" t="s">
        <v>58</v>
      </c>
      <c r="F783" t="s">
        <v>48</v>
      </c>
      <c r="G783" t="s">
        <v>43</v>
      </c>
      <c r="H783" s="3">
        <v>60568.401175719453</v>
      </c>
      <c r="I783">
        <v>17</v>
      </c>
      <c r="J783" s="3">
        <v>36845.728477837292</v>
      </c>
      <c r="K783" s="3">
        <v>23722.67269788215</v>
      </c>
    </row>
    <row r="784" spans="1:11" x14ac:dyDescent="0.3">
      <c r="A784" t="s">
        <v>860</v>
      </c>
      <c r="B784" s="2">
        <v>44958</v>
      </c>
      <c r="C784">
        <v>2023</v>
      </c>
      <c r="D784">
        <v>2</v>
      </c>
      <c r="E784" t="s">
        <v>62</v>
      </c>
      <c r="F784" t="s">
        <v>67</v>
      </c>
      <c r="G784" t="s">
        <v>43</v>
      </c>
      <c r="H784" s="3">
        <v>22335.901154737781</v>
      </c>
      <c r="I784">
        <v>6</v>
      </c>
      <c r="J784" s="3">
        <v>12967.700682535889</v>
      </c>
      <c r="K784" s="3">
        <v>9368.2004722018883</v>
      </c>
    </row>
    <row r="785" spans="1:11" x14ac:dyDescent="0.3">
      <c r="A785" t="s">
        <v>861</v>
      </c>
      <c r="B785" s="2">
        <v>44958</v>
      </c>
      <c r="C785">
        <v>2023</v>
      </c>
      <c r="D785">
        <v>2</v>
      </c>
      <c r="E785" t="s">
        <v>62</v>
      </c>
      <c r="F785" t="s">
        <v>48</v>
      </c>
      <c r="G785" t="s">
        <v>43</v>
      </c>
      <c r="H785" s="3">
        <v>46446.954022980601</v>
      </c>
      <c r="I785">
        <v>13</v>
      </c>
      <c r="J785" s="3">
        <v>27784.404189717021</v>
      </c>
      <c r="K785" s="3">
        <v>18662.54983326358</v>
      </c>
    </row>
    <row r="786" spans="1:11" x14ac:dyDescent="0.3">
      <c r="A786" t="s">
        <v>862</v>
      </c>
      <c r="B786" s="2">
        <v>44986</v>
      </c>
      <c r="C786">
        <v>2023</v>
      </c>
      <c r="D786">
        <v>3</v>
      </c>
      <c r="E786" t="s">
        <v>50</v>
      </c>
      <c r="F786" t="s">
        <v>67</v>
      </c>
      <c r="G786" t="s">
        <v>19</v>
      </c>
      <c r="H786" s="3">
        <v>55414.236952712607</v>
      </c>
      <c r="I786">
        <v>11</v>
      </c>
      <c r="J786" s="3">
        <v>34577.141787846231</v>
      </c>
      <c r="K786" s="3">
        <v>20837.095164866379</v>
      </c>
    </row>
    <row r="787" spans="1:11" x14ac:dyDescent="0.3">
      <c r="A787" t="s">
        <v>863</v>
      </c>
      <c r="B787" s="2">
        <v>44986</v>
      </c>
      <c r="C787">
        <v>2023</v>
      </c>
      <c r="D787">
        <v>3</v>
      </c>
      <c r="E787" t="s">
        <v>50</v>
      </c>
      <c r="F787" t="s">
        <v>48</v>
      </c>
      <c r="G787" t="s">
        <v>19</v>
      </c>
      <c r="H787" s="3">
        <v>127624.4931079013</v>
      </c>
      <c r="I787">
        <v>25</v>
      </c>
      <c r="J787" s="3">
        <v>80923.95415438067</v>
      </c>
      <c r="K787" s="3">
        <v>46700.538953520627</v>
      </c>
    </row>
    <row r="788" spans="1:11" x14ac:dyDescent="0.3">
      <c r="A788" t="s">
        <v>864</v>
      </c>
      <c r="B788" s="2">
        <v>44986</v>
      </c>
      <c r="C788">
        <v>2023</v>
      </c>
      <c r="D788">
        <v>3</v>
      </c>
      <c r="E788" t="s">
        <v>54</v>
      </c>
      <c r="F788" t="s">
        <v>67</v>
      </c>
      <c r="G788" t="s">
        <v>19</v>
      </c>
      <c r="H788" s="3">
        <v>44293.787902356853</v>
      </c>
      <c r="I788">
        <v>9</v>
      </c>
      <c r="J788" s="3">
        <v>27132.344476440408</v>
      </c>
      <c r="K788" s="3">
        <v>17161.44342591643</v>
      </c>
    </row>
    <row r="789" spans="1:11" x14ac:dyDescent="0.3">
      <c r="A789" t="s">
        <v>865</v>
      </c>
      <c r="B789" s="2">
        <v>44986</v>
      </c>
      <c r="C789">
        <v>2023</v>
      </c>
      <c r="D789">
        <v>3</v>
      </c>
      <c r="E789" t="s">
        <v>54</v>
      </c>
      <c r="F789" t="s">
        <v>48</v>
      </c>
      <c r="G789" t="s">
        <v>19</v>
      </c>
      <c r="H789" s="3">
        <v>99005.466964654654</v>
      </c>
      <c r="I789">
        <v>19</v>
      </c>
      <c r="J789" s="3">
        <v>60573.531440173872</v>
      </c>
      <c r="K789" s="3">
        <v>38431.935524480781</v>
      </c>
    </row>
    <row r="790" spans="1:11" x14ac:dyDescent="0.3">
      <c r="A790" t="s">
        <v>866</v>
      </c>
      <c r="B790" s="2">
        <v>44986</v>
      </c>
      <c r="C790">
        <v>2023</v>
      </c>
      <c r="D790">
        <v>3</v>
      </c>
      <c r="E790" t="s">
        <v>58</v>
      </c>
      <c r="F790" t="s">
        <v>67</v>
      </c>
      <c r="G790" t="s">
        <v>19</v>
      </c>
      <c r="H790" s="3">
        <v>32637.794807671129</v>
      </c>
      <c r="I790">
        <v>6</v>
      </c>
      <c r="J790" s="3">
        <v>20634.662861599929</v>
      </c>
      <c r="K790" s="3">
        <v>12003.1319460712</v>
      </c>
    </row>
    <row r="791" spans="1:11" x14ac:dyDescent="0.3">
      <c r="A791" t="s">
        <v>867</v>
      </c>
      <c r="B791" s="2">
        <v>44986</v>
      </c>
      <c r="C791">
        <v>2023</v>
      </c>
      <c r="D791">
        <v>3</v>
      </c>
      <c r="E791" t="s">
        <v>58</v>
      </c>
      <c r="F791" t="s">
        <v>48</v>
      </c>
      <c r="G791" t="s">
        <v>19</v>
      </c>
      <c r="H791" s="3">
        <v>65028.461384487338</v>
      </c>
      <c r="I791">
        <v>13</v>
      </c>
      <c r="J791" s="3">
        <v>40626.309229848302</v>
      </c>
      <c r="K791" s="3">
        <v>24402.15215463904</v>
      </c>
    </row>
    <row r="792" spans="1:11" x14ac:dyDescent="0.3">
      <c r="A792" t="s">
        <v>868</v>
      </c>
      <c r="B792" s="2">
        <v>44986</v>
      </c>
      <c r="C792">
        <v>2023</v>
      </c>
      <c r="D792">
        <v>3</v>
      </c>
      <c r="E792" t="s">
        <v>62</v>
      </c>
      <c r="F792" t="s">
        <v>67</v>
      </c>
      <c r="G792" t="s">
        <v>19</v>
      </c>
      <c r="H792" s="3">
        <v>23255.946520190209</v>
      </c>
      <c r="I792">
        <v>4</v>
      </c>
      <c r="J792" s="3">
        <v>14017.719422243161</v>
      </c>
      <c r="K792" s="3">
        <v>9238.2270979470504</v>
      </c>
    </row>
    <row r="793" spans="1:11" x14ac:dyDescent="0.3">
      <c r="A793" t="s">
        <v>869</v>
      </c>
      <c r="B793" s="2">
        <v>44986</v>
      </c>
      <c r="C793">
        <v>2023</v>
      </c>
      <c r="D793">
        <v>3</v>
      </c>
      <c r="E793" t="s">
        <v>62</v>
      </c>
      <c r="F793" t="s">
        <v>48</v>
      </c>
      <c r="G793" t="s">
        <v>19</v>
      </c>
      <c r="H793" s="3">
        <v>50409.561231295433</v>
      </c>
      <c r="I793">
        <v>10</v>
      </c>
      <c r="J793" s="3">
        <v>30950.530762101091</v>
      </c>
      <c r="K793" s="3">
        <v>19459.030469194331</v>
      </c>
    </row>
    <row r="794" spans="1:11" x14ac:dyDescent="0.3">
      <c r="A794" t="s">
        <v>870</v>
      </c>
      <c r="B794" s="2">
        <v>44986</v>
      </c>
      <c r="C794">
        <v>2023</v>
      </c>
      <c r="D794">
        <v>3</v>
      </c>
      <c r="E794" t="s">
        <v>50</v>
      </c>
      <c r="F794" t="s">
        <v>67</v>
      </c>
      <c r="G794" t="s">
        <v>24</v>
      </c>
      <c r="H794" s="3">
        <v>59443.778178236353</v>
      </c>
      <c r="I794">
        <v>10</v>
      </c>
      <c r="J794" s="3">
        <v>39505.753969471058</v>
      </c>
      <c r="K794" s="3">
        <v>19938.024208765291</v>
      </c>
    </row>
    <row r="795" spans="1:11" x14ac:dyDescent="0.3">
      <c r="A795" t="s">
        <v>871</v>
      </c>
      <c r="B795" s="2">
        <v>44986</v>
      </c>
      <c r="C795">
        <v>2023</v>
      </c>
      <c r="D795">
        <v>3</v>
      </c>
      <c r="E795" t="s">
        <v>50</v>
      </c>
      <c r="F795" t="s">
        <v>48</v>
      </c>
      <c r="G795" t="s">
        <v>24</v>
      </c>
      <c r="H795" s="3">
        <v>123639.1462808295</v>
      </c>
      <c r="I795">
        <v>20</v>
      </c>
      <c r="J795" s="3">
        <v>82832.372328610785</v>
      </c>
      <c r="K795" s="3">
        <v>40806.773952218697</v>
      </c>
    </row>
    <row r="796" spans="1:11" x14ac:dyDescent="0.3">
      <c r="A796" t="s">
        <v>872</v>
      </c>
      <c r="B796" s="2">
        <v>44986</v>
      </c>
      <c r="C796">
        <v>2023</v>
      </c>
      <c r="D796">
        <v>3</v>
      </c>
      <c r="E796" t="s">
        <v>54</v>
      </c>
      <c r="F796" t="s">
        <v>67</v>
      </c>
      <c r="G796" t="s">
        <v>24</v>
      </c>
      <c r="H796" s="3">
        <v>47988.904046714597</v>
      </c>
      <c r="I796">
        <v>8</v>
      </c>
      <c r="J796" s="3">
        <v>31285.441719288661</v>
      </c>
      <c r="K796" s="3">
        <v>16703.462327425939</v>
      </c>
    </row>
    <row r="797" spans="1:11" x14ac:dyDescent="0.3">
      <c r="A797" t="s">
        <v>873</v>
      </c>
      <c r="B797" s="2">
        <v>44986</v>
      </c>
      <c r="C797">
        <v>2023</v>
      </c>
      <c r="D797">
        <v>3</v>
      </c>
      <c r="E797" t="s">
        <v>54</v>
      </c>
      <c r="F797" t="s">
        <v>48</v>
      </c>
      <c r="G797" t="s">
        <v>24</v>
      </c>
      <c r="H797" s="3">
        <v>106622.82910149269</v>
      </c>
      <c r="I797">
        <v>17</v>
      </c>
      <c r="J797" s="3">
        <v>66679.639732865355</v>
      </c>
      <c r="K797" s="3">
        <v>39943.189368627332</v>
      </c>
    </row>
    <row r="798" spans="1:11" x14ac:dyDescent="0.3">
      <c r="A798" t="s">
        <v>874</v>
      </c>
      <c r="B798" s="2">
        <v>44986</v>
      </c>
      <c r="C798">
        <v>2023</v>
      </c>
      <c r="D798">
        <v>3</v>
      </c>
      <c r="E798" t="s">
        <v>58</v>
      </c>
      <c r="F798" t="s">
        <v>67</v>
      </c>
      <c r="G798" t="s">
        <v>24</v>
      </c>
      <c r="H798" s="3">
        <v>31837.11445709438</v>
      </c>
      <c r="I798">
        <v>5</v>
      </c>
      <c r="J798" s="3">
        <v>21210.391589119161</v>
      </c>
      <c r="K798" s="3">
        <v>10626.722867975221</v>
      </c>
    </row>
    <row r="799" spans="1:11" x14ac:dyDescent="0.3">
      <c r="A799" t="s">
        <v>875</v>
      </c>
      <c r="B799" s="2">
        <v>44986</v>
      </c>
      <c r="C799">
        <v>2023</v>
      </c>
      <c r="D799">
        <v>3</v>
      </c>
      <c r="E799" t="s">
        <v>58</v>
      </c>
      <c r="F799" t="s">
        <v>48</v>
      </c>
      <c r="G799" t="s">
        <v>24</v>
      </c>
      <c r="H799" s="3">
        <v>68046.925886469122</v>
      </c>
      <c r="I799">
        <v>11</v>
      </c>
      <c r="J799" s="3">
        <v>43924.466915099067</v>
      </c>
      <c r="K799" s="3">
        <v>24122.458971370059</v>
      </c>
    </row>
    <row r="800" spans="1:11" x14ac:dyDescent="0.3">
      <c r="A800" t="s">
        <v>876</v>
      </c>
      <c r="B800" s="2">
        <v>44986</v>
      </c>
      <c r="C800">
        <v>2023</v>
      </c>
      <c r="D800">
        <v>3</v>
      </c>
      <c r="E800" t="s">
        <v>62</v>
      </c>
      <c r="F800" t="s">
        <v>67</v>
      </c>
      <c r="G800" t="s">
        <v>24</v>
      </c>
      <c r="H800" s="3">
        <v>24598.77434314277</v>
      </c>
      <c r="I800">
        <v>4</v>
      </c>
      <c r="J800" s="3">
        <v>15645.65721147431</v>
      </c>
      <c r="K800" s="3">
        <v>8953.1171316684631</v>
      </c>
    </row>
    <row r="801" spans="1:11" x14ac:dyDescent="0.3">
      <c r="A801" t="s">
        <v>877</v>
      </c>
      <c r="B801" s="2">
        <v>44986</v>
      </c>
      <c r="C801">
        <v>2023</v>
      </c>
      <c r="D801">
        <v>3</v>
      </c>
      <c r="E801" t="s">
        <v>62</v>
      </c>
      <c r="F801" t="s">
        <v>48</v>
      </c>
      <c r="G801" t="s">
        <v>24</v>
      </c>
      <c r="H801" s="3">
        <v>53848.557552102196</v>
      </c>
      <c r="I801">
        <v>9</v>
      </c>
      <c r="J801" s="3">
        <v>33728.149997322937</v>
      </c>
      <c r="K801" s="3">
        <v>20120.407554779249</v>
      </c>
    </row>
    <row r="802" spans="1:11" x14ac:dyDescent="0.3">
      <c r="A802" t="s">
        <v>878</v>
      </c>
      <c r="B802" s="2">
        <v>44986</v>
      </c>
      <c r="C802">
        <v>2023</v>
      </c>
      <c r="D802">
        <v>3</v>
      </c>
      <c r="E802" t="s">
        <v>50</v>
      </c>
      <c r="F802" t="s">
        <v>67</v>
      </c>
      <c r="G802" t="s">
        <v>29</v>
      </c>
      <c r="H802" s="3">
        <v>41302.476566718411</v>
      </c>
      <c r="I802">
        <v>10</v>
      </c>
      <c r="J802" s="3">
        <v>26820.880783354722</v>
      </c>
      <c r="K802" s="3">
        <v>14481.595783363689</v>
      </c>
    </row>
    <row r="803" spans="1:11" x14ac:dyDescent="0.3">
      <c r="A803" t="s">
        <v>879</v>
      </c>
      <c r="B803" s="2">
        <v>44986</v>
      </c>
      <c r="C803">
        <v>2023</v>
      </c>
      <c r="D803">
        <v>3</v>
      </c>
      <c r="E803" t="s">
        <v>50</v>
      </c>
      <c r="F803" t="s">
        <v>48</v>
      </c>
      <c r="G803" t="s">
        <v>29</v>
      </c>
      <c r="H803" s="3">
        <v>88661.616402350992</v>
      </c>
      <c r="I803">
        <v>21</v>
      </c>
      <c r="J803" s="3">
        <v>56874.802023205862</v>
      </c>
      <c r="K803" s="3">
        <v>31786.814379145129</v>
      </c>
    </row>
    <row r="804" spans="1:11" x14ac:dyDescent="0.3">
      <c r="A804" t="s">
        <v>880</v>
      </c>
      <c r="B804" s="2">
        <v>44986</v>
      </c>
      <c r="C804">
        <v>2023</v>
      </c>
      <c r="D804">
        <v>3</v>
      </c>
      <c r="E804" t="s">
        <v>54</v>
      </c>
      <c r="F804" t="s">
        <v>67</v>
      </c>
      <c r="G804" t="s">
        <v>29</v>
      </c>
      <c r="H804" s="3">
        <v>32080.57333267232</v>
      </c>
      <c r="I804">
        <v>7</v>
      </c>
      <c r="J804" s="3">
        <v>20448.171509390511</v>
      </c>
      <c r="K804" s="3">
        <v>11632.401823281811</v>
      </c>
    </row>
    <row r="805" spans="1:11" x14ac:dyDescent="0.3">
      <c r="A805" t="s">
        <v>881</v>
      </c>
      <c r="B805" s="2">
        <v>44986</v>
      </c>
      <c r="C805">
        <v>2023</v>
      </c>
      <c r="D805">
        <v>3</v>
      </c>
      <c r="E805" t="s">
        <v>54</v>
      </c>
      <c r="F805" t="s">
        <v>48</v>
      </c>
      <c r="G805" t="s">
        <v>29</v>
      </c>
      <c r="H805" s="3">
        <v>68829.863943070857</v>
      </c>
      <c r="I805">
        <v>16</v>
      </c>
      <c r="J805" s="3">
        <v>45152.498166761558</v>
      </c>
      <c r="K805" s="3">
        <v>23677.3657763093</v>
      </c>
    </row>
    <row r="806" spans="1:11" x14ac:dyDescent="0.3">
      <c r="A806" t="s">
        <v>882</v>
      </c>
      <c r="B806" s="2">
        <v>44986</v>
      </c>
      <c r="C806">
        <v>2023</v>
      </c>
      <c r="D806">
        <v>3</v>
      </c>
      <c r="E806" t="s">
        <v>58</v>
      </c>
      <c r="F806" t="s">
        <v>67</v>
      </c>
      <c r="G806" t="s">
        <v>29</v>
      </c>
      <c r="H806" s="3">
        <v>21977.235973720421</v>
      </c>
      <c r="I806">
        <v>5</v>
      </c>
      <c r="J806" s="3">
        <v>14226.787457812839</v>
      </c>
      <c r="K806" s="3">
        <v>7750.4485159075793</v>
      </c>
    </row>
    <row r="807" spans="1:11" x14ac:dyDescent="0.3">
      <c r="A807" t="s">
        <v>883</v>
      </c>
      <c r="B807" s="2">
        <v>44986</v>
      </c>
      <c r="C807">
        <v>2023</v>
      </c>
      <c r="D807">
        <v>3</v>
      </c>
      <c r="E807" t="s">
        <v>58</v>
      </c>
      <c r="F807" t="s">
        <v>48</v>
      </c>
      <c r="G807" t="s">
        <v>29</v>
      </c>
      <c r="H807" s="3">
        <v>51377.468369457747</v>
      </c>
      <c r="I807">
        <v>12</v>
      </c>
      <c r="J807" s="3">
        <v>33838.216734225098</v>
      </c>
      <c r="K807" s="3">
        <v>17539.251635232649</v>
      </c>
    </row>
    <row r="808" spans="1:11" x14ac:dyDescent="0.3">
      <c r="A808" t="s">
        <v>884</v>
      </c>
      <c r="B808" s="2">
        <v>44986</v>
      </c>
      <c r="C808">
        <v>2023</v>
      </c>
      <c r="D808">
        <v>3</v>
      </c>
      <c r="E808" t="s">
        <v>62</v>
      </c>
      <c r="F808" t="s">
        <v>67</v>
      </c>
      <c r="G808" t="s">
        <v>29</v>
      </c>
      <c r="H808" s="3">
        <v>16220.7172915144</v>
      </c>
      <c r="I808">
        <v>4</v>
      </c>
      <c r="J808" s="3">
        <v>10121.00880710942</v>
      </c>
      <c r="K808" s="3">
        <v>6099.708484404975</v>
      </c>
    </row>
    <row r="809" spans="1:11" x14ac:dyDescent="0.3">
      <c r="A809" t="s">
        <v>885</v>
      </c>
      <c r="B809" s="2">
        <v>44986</v>
      </c>
      <c r="C809">
        <v>2023</v>
      </c>
      <c r="D809">
        <v>3</v>
      </c>
      <c r="E809" t="s">
        <v>62</v>
      </c>
      <c r="F809" t="s">
        <v>48</v>
      </c>
      <c r="G809" t="s">
        <v>29</v>
      </c>
      <c r="H809" s="3">
        <v>37049.607270980567</v>
      </c>
      <c r="I809">
        <v>9</v>
      </c>
      <c r="J809" s="3">
        <v>23697.002050629289</v>
      </c>
      <c r="K809" s="3">
        <v>13352.60522035129</v>
      </c>
    </row>
    <row r="810" spans="1:11" x14ac:dyDescent="0.3">
      <c r="A810" t="s">
        <v>886</v>
      </c>
      <c r="B810" s="2">
        <v>44986</v>
      </c>
      <c r="C810">
        <v>2023</v>
      </c>
      <c r="D810">
        <v>3</v>
      </c>
      <c r="E810" t="s">
        <v>50</v>
      </c>
      <c r="F810" t="s">
        <v>67</v>
      </c>
      <c r="G810" t="s">
        <v>34</v>
      </c>
      <c r="H810" s="3">
        <v>34872.751420551722</v>
      </c>
      <c r="I810">
        <v>41</v>
      </c>
      <c r="J810" s="3">
        <v>16251.80401679066</v>
      </c>
      <c r="K810" s="3">
        <v>18620.94740376106</v>
      </c>
    </row>
    <row r="811" spans="1:11" x14ac:dyDescent="0.3">
      <c r="A811" t="s">
        <v>887</v>
      </c>
      <c r="B811" s="2">
        <v>44986</v>
      </c>
      <c r="C811">
        <v>2023</v>
      </c>
      <c r="D811">
        <v>3</v>
      </c>
      <c r="E811" t="s">
        <v>50</v>
      </c>
      <c r="F811" t="s">
        <v>48</v>
      </c>
      <c r="G811" t="s">
        <v>34</v>
      </c>
      <c r="H811" s="3">
        <v>78861.4693154095</v>
      </c>
      <c r="I811">
        <v>93</v>
      </c>
      <c r="J811" s="3">
        <v>37697.212615851553</v>
      </c>
      <c r="K811" s="3">
        <v>41164.256699557947</v>
      </c>
    </row>
    <row r="812" spans="1:11" x14ac:dyDescent="0.3">
      <c r="A812" t="s">
        <v>888</v>
      </c>
      <c r="B812" s="2">
        <v>44986</v>
      </c>
      <c r="C812">
        <v>2023</v>
      </c>
      <c r="D812">
        <v>3</v>
      </c>
      <c r="E812" t="s">
        <v>54</v>
      </c>
      <c r="F812" t="s">
        <v>67</v>
      </c>
      <c r="G812" t="s">
        <v>34</v>
      </c>
      <c r="H812" s="3">
        <v>33190.398751189758</v>
      </c>
      <c r="I812">
        <v>39</v>
      </c>
      <c r="J812" s="3">
        <v>15860.097064025689</v>
      </c>
      <c r="K812" s="3">
        <v>17330.301687164068</v>
      </c>
    </row>
    <row r="813" spans="1:11" x14ac:dyDescent="0.3">
      <c r="A813" t="s">
        <v>889</v>
      </c>
      <c r="B813" s="2">
        <v>44986</v>
      </c>
      <c r="C813">
        <v>2023</v>
      </c>
      <c r="D813">
        <v>3</v>
      </c>
      <c r="E813" t="s">
        <v>54</v>
      </c>
      <c r="F813" t="s">
        <v>48</v>
      </c>
      <c r="G813" t="s">
        <v>34</v>
      </c>
      <c r="H813" s="3">
        <v>64865.965781391184</v>
      </c>
      <c r="I813">
        <v>76</v>
      </c>
      <c r="J813" s="3">
        <v>31486.844140292469</v>
      </c>
      <c r="K813" s="3">
        <v>33379.121641098711</v>
      </c>
    </row>
    <row r="814" spans="1:11" x14ac:dyDescent="0.3">
      <c r="A814" t="s">
        <v>890</v>
      </c>
      <c r="B814" s="2">
        <v>44986</v>
      </c>
      <c r="C814">
        <v>2023</v>
      </c>
      <c r="D814">
        <v>3</v>
      </c>
      <c r="E814" t="s">
        <v>58</v>
      </c>
      <c r="F814" t="s">
        <v>67</v>
      </c>
      <c r="G814" t="s">
        <v>34</v>
      </c>
      <c r="H814" s="3">
        <v>20421.38196520973</v>
      </c>
      <c r="I814">
        <v>24</v>
      </c>
      <c r="J814" s="3">
        <v>9810.302668214792</v>
      </c>
      <c r="K814" s="3">
        <v>10611.079296994931</v>
      </c>
    </row>
    <row r="815" spans="1:11" x14ac:dyDescent="0.3">
      <c r="A815" t="s">
        <v>891</v>
      </c>
      <c r="B815" s="2">
        <v>44986</v>
      </c>
      <c r="C815">
        <v>2023</v>
      </c>
      <c r="D815">
        <v>3</v>
      </c>
      <c r="E815" t="s">
        <v>58</v>
      </c>
      <c r="F815" t="s">
        <v>48</v>
      </c>
      <c r="G815" t="s">
        <v>34</v>
      </c>
      <c r="H815" s="3">
        <v>46168.921330966878</v>
      </c>
      <c r="I815">
        <v>54</v>
      </c>
      <c r="J815" s="3">
        <v>22409.759022338989</v>
      </c>
      <c r="K815" s="3">
        <v>23759.162308627889</v>
      </c>
    </row>
    <row r="816" spans="1:11" x14ac:dyDescent="0.3">
      <c r="A816" t="s">
        <v>892</v>
      </c>
      <c r="B816" s="2">
        <v>44986</v>
      </c>
      <c r="C816">
        <v>2023</v>
      </c>
      <c r="D816">
        <v>3</v>
      </c>
      <c r="E816" t="s">
        <v>62</v>
      </c>
      <c r="F816" t="s">
        <v>67</v>
      </c>
      <c r="G816" t="s">
        <v>34</v>
      </c>
      <c r="H816" s="3">
        <v>15647.580290084279</v>
      </c>
      <c r="I816">
        <v>18</v>
      </c>
      <c r="J816" s="3">
        <v>7605.9401939569607</v>
      </c>
      <c r="K816" s="3">
        <v>8041.6400961273239</v>
      </c>
    </row>
    <row r="817" spans="1:11" x14ac:dyDescent="0.3">
      <c r="A817" t="s">
        <v>893</v>
      </c>
      <c r="B817" s="2">
        <v>44986</v>
      </c>
      <c r="C817">
        <v>2023</v>
      </c>
      <c r="D817">
        <v>3</v>
      </c>
      <c r="E817" t="s">
        <v>62</v>
      </c>
      <c r="F817" t="s">
        <v>48</v>
      </c>
      <c r="G817" t="s">
        <v>34</v>
      </c>
      <c r="H817" s="3">
        <v>37706.182034918616</v>
      </c>
      <c r="I817">
        <v>44</v>
      </c>
      <c r="J817" s="3">
        <v>18801.003085722608</v>
      </c>
      <c r="K817" s="3">
        <v>18905.178949196012</v>
      </c>
    </row>
    <row r="818" spans="1:11" x14ac:dyDescent="0.3">
      <c r="A818" t="s">
        <v>894</v>
      </c>
      <c r="B818" s="2">
        <v>44986</v>
      </c>
      <c r="C818">
        <v>2023</v>
      </c>
      <c r="D818">
        <v>3</v>
      </c>
      <c r="E818" t="s">
        <v>50</v>
      </c>
      <c r="F818" t="s">
        <v>67</v>
      </c>
      <c r="G818" t="s">
        <v>37</v>
      </c>
      <c r="H818" s="3">
        <v>28681.530461979521</v>
      </c>
      <c r="I818">
        <v>40</v>
      </c>
      <c r="J818" s="3">
        <v>15685.314166919559</v>
      </c>
      <c r="K818" s="3">
        <v>12996.21629505996</v>
      </c>
    </row>
    <row r="819" spans="1:11" x14ac:dyDescent="0.3">
      <c r="A819" t="s">
        <v>895</v>
      </c>
      <c r="B819" s="2">
        <v>44986</v>
      </c>
      <c r="C819">
        <v>2023</v>
      </c>
      <c r="D819">
        <v>3</v>
      </c>
      <c r="E819" t="s">
        <v>50</v>
      </c>
      <c r="F819" t="s">
        <v>48</v>
      </c>
      <c r="G819" t="s">
        <v>37</v>
      </c>
      <c r="H819" s="3">
        <v>64601.086817177762</v>
      </c>
      <c r="I819">
        <v>90</v>
      </c>
      <c r="J819" s="3">
        <v>34928.765966539198</v>
      </c>
      <c r="K819" s="3">
        <v>29672.32085063856</v>
      </c>
    </row>
    <row r="820" spans="1:11" x14ac:dyDescent="0.3">
      <c r="A820" t="s">
        <v>896</v>
      </c>
      <c r="B820" s="2">
        <v>44986</v>
      </c>
      <c r="C820">
        <v>2023</v>
      </c>
      <c r="D820">
        <v>3</v>
      </c>
      <c r="E820" t="s">
        <v>54</v>
      </c>
      <c r="F820" t="s">
        <v>67</v>
      </c>
      <c r="G820" t="s">
        <v>37</v>
      </c>
      <c r="H820" s="3">
        <v>23236.450134059</v>
      </c>
      <c r="I820">
        <v>32</v>
      </c>
      <c r="J820" s="3">
        <v>12836.65685932793</v>
      </c>
      <c r="K820" s="3">
        <v>10399.793274731081</v>
      </c>
    </row>
    <row r="821" spans="1:11" x14ac:dyDescent="0.3">
      <c r="A821" t="s">
        <v>897</v>
      </c>
      <c r="B821" s="2">
        <v>44986</v>
      </c>
      <c r="C821">
        <v>2023</v>
      </c>
      <c r="D821">
        <v>3</v>
      </c>
      <c r="E821" t="s">
        <v>54</v>
      </c>
      <c r="F821" t="s">
        <v>48</v>
      </c>
      <c r="G821" t="s">
        <v>37</v>
      </c>
      <c r="H821" s="3">
        <v>48123.013644998769</v>
      </c>
      <c r="I821">
        <v>67</v>
      </c>
      <c r="J821" s="3">
        <v>26085.436991087179</v>
      </c>
      <c r="K821" s="3">
        <v>22037.57665391159</v>
      </c>
    </row>
    <row r="822" spans="1:11" x14ac:dyDescent="0.3">
      <c r="A822" t="s">
        <v>898</v>
      </c>
      <c r="B822" s="2">
        <v>44986</v>
      </c>
      <c r="C822">
        <v>2023</v>
      </c>
      <c r="D822">
        <v>3</v>
      </c>
      <c r="E822" t="s">
        <v>58</v>
      </c>
      <c r="F822" t="s">
        <v>67</v>
      </c>
      <c r="G822" t="s">
        <v>37</v>
      </c>
      <c r="H822" s="3">
        <v>15778.52667473781</v>
      </c>
      <c r="I822">
        <v>22</v>
      </c>
      <c r="J822" s="3">
        <v>8909.6829305111369</v>
      </c>
      <c r="K822" s="3">
        <v>6868.8437442266732</v>
      </c>
    </row>
    <row r="823" spans="1:11" x14ac:dyDescent="0.3">
      <c r="A823" t="s">
        <v>899</v>
      </c>
      <c r="B823" s="2">
        <v>44986</v>
      </c>
      <c r="C823">
        <v>2023</v>
      </c>
      <c r="D823">
        <v>3</v>
      </c>
      <c r="E823" t="s">
        <v>58</v>
      </c>
      <c r="F823" t="s">
        <v>48</v>
      </c>
      <c r="G823" t="s">
        <v>37</v>
      </c>
      <c r="H823" s="3">
        <v>35694.649371925327</v>
      </c>
      <c r="I823">
        <v>50</v>
      </c>
      <c r="J823" s="3">
        <v>19531.97440545899</v>
      </c>
      <c r="K823" s="3">
        <v>16162.674966466349</v>
      </c>
    </row>
    <row r="824" spans="1:11" x14ac:dyDescent="0.3">
      <c r="A824" t="s">
        <v>900</v>
      </c>
      <c r="B824" s="2">
        <v>44986</v>
      </c>
      <c r="C824">
        <v>2023</v>
      </c>
      <c r="D824">
        <v>3</v>
      </c>
      <c r="E824" t="s">
        <v>62</v>
      </c>
      <c r="F824" t="s">
        <v>67</v>
      </c>
      <c r="G824" t="s">
        <v>37</v>
      </c>
      <c r="H824" s="3">
        <v>11995.83303854692</v>
      </c>
      <c r="I824">
        <v>17</v>
      </c>
      <c r="J824" s="3">
        <v>6530.5410303731214</v>
      </c>
      <c r="K824" s="3">
        <v>5465.2920081737984</v>
      </c>
    </row>
    <row r="825" spans="1:11" x14ac:dyDescent="0.3">
      <c r="A825" t="s">
        <v>901</v>
      </c>
      <c r="B825" s="2">
        <v>44986</v>
      </c>
      <c r="C825">
        <v>2023</v>
      </c>
      <c r="D825">
        <v>3</v>
      </c>
      <c r="E825" t="s">
        <v>62</v>
      </c>
      <c r="F825" t="s">
        <v>48</v>
      </c>
      <c r="G825" t="s">
        <v>37</v>
      </c>
      <c r="H825" s="3">
        <v>24567.14617164855</v>
      </c>
      <c r="I825">
        <v>34</v>
      </c>
      <c r="J825" s="3">
        <v>13397.299460483</v>
      </c>
      <c r="K825" s="3">
        <v>11169.84671116555</v>
      </c>
    </row>
    <row r="826" spans="1:11" x14ac:dyDescent="0.3">
      <c r="A826" t="s">
        <v>902</v>
      </c>
      <c r="B826" s="2">
        <v>44986</v>
      </c>
      <c r="C826">
        <v>2023</v>
      </c>
      <c r="D826">
        <v>3</v>
      </c>
      <c r="E826" t="s">
        <v>50</v>
      </c>
      <c r="F826" t="s">
        <v>67</v>
      </c>
      <c r="G826" t="s">
        <v>40</v>
      </c>
      <c r="H826" s="3">
        <v>30364.52223706228</v>
      </c>
      <c r="I826">
        <v>6</v>
      </c>
      <c r="J826" s="3">
        <v>21222.455214307749</v>
      </c>
      <c r="K826" s="3">
        <v>9142.0670227545306</v>
      </c>
    </row>
    <row r="827" spans="1:11" x14ac:dyDescent="0.3">
      <c r="A827" t="s">
        <v>903</v>
      </c>
      <c r="B827" s="2">
        <v>44986</v>
      </c>
      <c r="C827">
        <v>2023</v>
      </c>
      <c r="D827">
        <v>3</v>
      </c>
      <c r="E827" t="s">
        <v>50</v>
      </c>
      <c r="F827" t="s">
        <v>48</v>
      </c>
      <c r="G827" t="s">
        <v>40</v>
      </c>
      <c r="H827" s="3">
        <v>58239.392764564021</v>
      </c>
      <c r="I827">
        <v>11</v>
      </c>
      <c r="J827" s="3">
        <v>40071.077368207239</v>
      </c>
      <c r="K827" s="3">
        <v>18168.315396356778</v>
      </c>
    </row>
    <row r="828" spans="1:11" x14ac:dyDescent="0.3">
      <c r="A828" t="s">
        <v>904</v>
      </c>
      <c r="B828" s="2">
        <v>44986</v>
      </c>
      <c r="C828">
        <v>2023</v>
      </c>
      <c r="D828">
        <v>3</v>
      </c>
      <c r="E828" t="s">
        <v>54</v>
      </c>
      <c r="F828" t="s">
        <v>67</v>
      </c>
      <c r="G828" t="s">
        <v>40</v>
      </c>
      <c r="H828" s="3">
        <v>20138.981760349579</v>
      </c>
      <c r="I828">
        <v>4</v>
      </c>
      <c r="J828" s="3">
        <v>13735.39976111682</v>
      </c>
      <c r="K828" s="3">
        <v>6403.581999232767</v>
      </c>
    </row>
    <row r="829" spans="1:11" x14ac:dyDescent="0.3">
      <c r="A829" t="s">
        <v>905</v>
      </c>
      <c r="B829" s="2">
        <v>44986</v>
      </c>
      <c r="C829">
        <v>2023</v>
      </c>
      <c r="D829">
        <v>3</v>
      </c>
      <c r="E829" t="s">
        <v>54</v>
      </c>
      <c r="F829" t="s">
        <v>48</v>
      </c>
      <c r="G829" t="s">
        <v>40</v>
      </c>
      <c r="H829" s="3">
        <v>48802.481144663609</v>
      </c>
      <c r="I829">
        <v>9</v>
      </c>
      <c r="J829" s="3">
        <v>34683.126444861307</v>
      </c>
      <c r="K829" s="3">
        <v>14119.354699802299</v>
      </c>
    </row>
    <row r="830" spans="1:11" x14ac:dyDescent="0.3">
      <c r="A830" t="s">
        <v>906</v>
      </c>
      <c r="B830" s="2">
        <v>44986</v>
      </c>
      <c r="C830">
        <v>2023</v>
      </c>
      <c r="D830">
        <v>3</v>
      </c>
      <c r="E830" t="s">
        <v>58</v>
      </c>
      <c r="F830" t="s">
        <v>67</v>
      </c>
      <c r="G830" t="s">
        <v>40</v>
      </c>
      <c r="H830" s="3">
        <v>15149.9310382898</v>
      </c>
      <c r="I830">
        <v>3</v>
      </c>
      <c r="J830" s="3">
        <v>10292.35366400479</v>
      </c>
      <c r="K830" s="3">
        <v>4857.5773742850051</v>
      </c>
    </row>
    <row r="831" spans="1:11" x14ac:dyDescent="0.3">
      <c r="A831" t="s">
        <v>907</v>
      </c>
      <c r="B831" s="2">
        <v>44986</v>
      </c>
      <c r="C831">
        <v>2023</v>
      </c>
      <c r="D831">
        <v>3</v>
      </c>
      <c r="E831" t="s">
        <v>58</v>
      </c>
      <c r="F831" t="s">
        <v>48</v>
      </c>
      <c r="G831" t="s">
        <v>40</v>
      </c>
      <c r="H831" s="3">
        <v>33049.718130662499</v>
      </c>
      <c r="I831">
        <v>6</v>
      </c>
      <c r="J831" s="3">
        <v>22818.904583281939</v>
      </c>
      <c r="K831" s="3">
        <v>10230.81354738056</v>
      </c>
    </row>
    <row r="832" spans="1:11" x14ac:dyDescent="0.3">
      <c r="A832" t="s">
        <v>908</v>
      </c>
      <c r="B832" s="2">
        <v>44986</v>
      </c>
      <c r="C832">
        <v>2023</v>
      </c>
      <c r="D832">
        <v>3</v>
      </c>
      <c r="E832" t="s">
        <v>62</v>
      </c>
      <c r="F832" t="s">
        <v>67</v>
      </c>
      <c r="G832" t="s">
        <v>40</v>
      </c>
      <c r="H832" s="3">
        <v>11633.964049207811</v>
      </c>
      <c r="I832">
        <v>2</v>
      </c>
      <c r="J832" s="3">
        <v>8121.6894104094199</v>
      </c>
      <c r="K832" s="3">
        <v>3512.2746387983939</v>
      </c>
    </row>
    <row r="833" spans="1:11" x14ac:dyDescent="0.3">
      <c r="A833" t="s">
        <v>909</v>
      </c>
      <c r="B833" s="2">
        <v>44986</v>
      </c>
      <c r="C833">
        <v>2023</v>
      </c>
      <c r="D833">
        <v>3</v>
      </c>
      <c r="E833" t="s">
        <v>62</v>
      </c>
      <c r="F833" t="s">
        <v>48</v>
      </c>
      <c r="G833" t="s">
        <v>40</v>
      </c>
      <c r="H833" s="3">
        <v>25728.453358792649</v>
      </c>
      <c r="I833">
        <v>5</v>
      </c>
      <c r="J833" s="3">
        <v>17231.34393964941</v>
      </c>
      <c r="K833" s="3">
        <v>8497.1094191432312</v>
      </c>
    </row>
    <row r="834" spans="1:11" x14ac:dyDescent="0.3">
      <c r="A834" t="s">
        <v>910</v>
      </c>
      <c r="B834" s="2">
        <v>44986</v>
      </c>
      <c r="C834">
        <v>2023</v>
      </c>
      <c r="D834">
        <v>3</v>
      </c>
      <c r="E834" t="s">
        <v>50</v>
      </c>
      <c r="F834" t="s">
        <v>67</v>
      </c>
      <c r="G834" t="s">
        <v>43</v>
      </c>
      <c r="H834" s="3">
        <v>59980.631307071941</v>
      </c>
      <c r="I834">
        <v>17</v>
      </c>
      <c r="J834" s="3">
        <v>35694.495675235259</v>
      </c>
      <c r="K834" s="3">
        <v>24286.135631836682</v>
      </c>
    </row>
    <row r="835" spans="1:11" x14ac:dyDescent="0.3">
      <c r="A835" t="s">
        <v>911</v>
      </c>
      <c r="B835" s="2">
        <v>44986</v>
      </c>
      <c r="C835">
        <v>2023</v>
      </c>
      <c r="D835">
        <v>3</v>
      </c>
      <c r="E835" t="s">
        <v>50</v>
      </c>
      <c r="F835" t="s">
        <v>48</v>
      </c>
      <c r="G835" t="s">
        <v>43</v>
      </c>
      <c r="H835" s="3">
        <v>118185.0563280176</v>
      </c>
      <c r="I835">
        <v>34</v>
      </c>
      <c r="J835" s="3">
        <v>68404.890897706136</v>
      </c>
      <c r="K835" s="3">
        <v>49780.165430311463</v>
      </c>
    </row>
    <row r="836" spans="1:11" x14ac:dyDescent="0.3">
      <c r="A836" t="s">
        <v>912</v>
      </c>
      <c r="B836" s="2">
        <v>44986</v>
      </c>
      <c r="C836">
        <v>2023</v>
      </c>
      <c r="D836">
        <v>3</v>
      </c>
      <c r="E836" t="s">
        <v>54</v>
      </c>
      <c r="F836" t="s">
        <v>67</v>
      </c>
      <c r="G836" t="s">
        <v>43</v>
      </c>
      <c r="H836" s="3">
        <v>49652.983890510171</v>
      </c>
      <c r="I836">
        <v>14</v>
      </c>
      <c r="J836" s="3">
        <v>29729.125941522929</v>
      </c>
      <c r="K836" s="3">
        <v>19923.857948987239</v>
      </c>
    </row>
    <row r="837" spans="1:11" x14ac:dyDescent="0.3">
      <c r="A837" t="s">
        <v>913</v>
      </c>
      <c r="B837" s="2">
        <v>44986</v>
      </c>
      <c r="C837">
        <v>2023</v>
      </c>
      <c r="D837">
        <v>3</v>
      </c>
      <c r="E837" t="s">
        <v>54</v>
      </c>
      <c r="F837" t="s">
        <v>48</v>
      </c>
      <c r="G837" t="s">
        <v>43</v>
      </c>
      <c r="H837" s="3">
        <v>100012.6421082321</v>
      </c>
      <c r="I837">
        <v>29</v>
      </c>
      <c r="J837" s="3">
        <v>57984.994224454451</v>
      </c>
      <c r="K837" s="3">
        <v>42027.647883777681</v>
      </c>
    </row>
    <row r="838" spans="1:11" x14ac:dyDescent="0.3">
      <c r="A838" t="s">
        <v>914</v>
      </c>
      <c r="B838" s="2">
        <v>44986</v>
      </c>
      <c r="C838">
        <v>2023</v>
      </c>
      <c r="D838">
        <v>3</v>
      </c>
      <c r="E838" t="s">
        <v>58</v>
      </c>
      <c r="F838" t="s">
        <v>67</v>
      </c>
      <c r="G838" t="s">
        <v>43</v>
      </c>
      <c r="H838" s="3">
        <v>33716.181597922638</v>
      </c>
      <c r="I838">
        <v>10</v>
      </c>
      <c r="J838" s="3">
        <v>20140.604074026291</v>
      </c>
      <c r="K838" s="3">
        <v>13575.57752389634</v>
      </c>
    </row>
    <row r="839" spans="1:11" x14ac:dyDescent="0.3">
      <c r="A839" t="s">
        <v>915</v>
      </c>
      <c r="B839" s="2">
        <v>44986</v>
      </c>
      <c r="C839">
        <v>2023</v>
      </c>
      <c r="D839">
        <v>3</v>
      </c>
      <c r="E839" t="s">
        <v>58</v>
      </c>
      <c r="F839" t="s">
        <v>48</v>
      </c>
      <c r="G839" t="s">
        <v>43</v>
      </c>
      <c r="H839" s="3">
        <v>71040.834382249785</v>
      </c>
      <c r="I839">
        <v>20</v>
      </c>
      <c r="J839" s="3">
        <v>42748.392091002541</v>
      </c>
      <c r="K839" s="3">
        <v>28292.44229124724</v>
      </c>
    </row>
    <row r="840" spans="1:11" x14ac:dyDescent="0.3">
      <c r="A840" t="s">
        <v>916</v>
      </c>
      <c r="B840" s="2">
        <v>44986</v>
      </c>
      <c r="C840">
        <v>2023</v>
      </c>
      <c r="D840">
        <v>3</v>
      </c>
      <c r="E840" t="s">
        <v>62</v>
      </c>
      <c r="F840" t="s">
        <v>67</v>
      </c>
      <c r="G840" t="s">
        <v>43</v>
      </c>
      <c r="H840" s="3">
        <v>25474.95480697239</v>
      </c>
      <c r="I840">
        <v>7</v>
      </c>
      <c r="J840" s="3">
        <v>15263.27983677635</v>
      </c>
      <c r="K840" s="3">
        <v>10211.674970196031</v>
      </c>
    </row>
    <row r="841" spans="1:11" x14ac:dyDescent="0.3">
      <c r="A841" t="s">
        <v>917</v>
      </c>
      <c r="B841" s="2">
        <v>44986</v>
      </c>
      <c r="C841">
        <v>2023</v>
      </c>
      <c r="D841">
        <v>3</v>
      </c>
      <c r="E841" t="s">
        <v>62</v>
      </c>
      <c r="F841" t="s">
        <v>48</v>
      </c>
      <c r="G841" t="s">
        <v>43</v>
      </c>
      <c r="H841" s="3">
        <v>53709.742976120498</v>
      </c>
      <c r="I841">
        <v>15</v>
      </c>
      <c r="J841" s="3">
        <v>31832.098736337131</v>
      </c>
      <c r="K841" s="3">
        <v>21877.644239783371</v>
      </c>
    </row>
    <row r="842" spans="1:11" x14ac:dyDescent="0.3">
      <c r="A842" t="s">
        <v>918</v>
      </c>
      <c r="B842" s="2">
        <v>45017</v>
      </c>
      <c r="C842">
        <v>2023</v>
      </c>
      <c r="D842">
        <v>4</v>
      </c>
      <c r="E842" t="s">
        <v>50</v>
      </c>
      <c r="F842" t="s">
        <v>67</v>
      </c>
      <c r="G842" t="s">
        <v>19</v>
      </c>
      <c r="H842" s="3">
        <v>63046.747415768987</v>
      </c>
      <c r="I842">
        <v>12</v>
      </c>
      <c r="J842" s="3">
        <v>38926.239660851526</v>
      </c>
      <c r="K842" s="3">
        <v>24120.50775491746</v>
      </c>
    </row>
    <row r="843" spans="1:11" x14ac:dyDescent="0.3">
      <c r="A843" t="s">
        <v>919</v>
      </c>
      <c r="B843" s="2">
        <v>45017</v>
      </c>
      <c r="C843">
        <v>2023</v>
      </c>
      <c r="D843">
        <v>4</v>
      </c>
      <c r="E843" t="s">
        <v>50</v>
      </c>
      <c r="F843" t="s">
        <v>48</v>
      </c>
      <c r="G843" t="s">
        <v>19</v>
      </c>
      <c r="H843" s="3">
        <v>130564.9236364033</v>
      </c>
      <c r="I843">
        <v>25</v>
      </c>
      <c r="J843" s="3">
        <v>80110.349068461815</v>
      </c>
      <c r="K843" s="3">
        <v>50454.574567941469</v>
      </c>
    </row>
    <row r="844" spans="1:11" x14ac:dyDescent="0.3">
      <c r="A844" t="s">
        <v>920</v>
      </c>
      <c r="B844" s="2">
        <v>45017</v>
      </c>
      <c r="C844">
        <v>2023</v>
      </c>
      <c r="D844">
        <v>4</v>
      </c>
      <c r="E844" t="s">
        <v>54</v>
      </c>
      <c r="F844" t="s">
        <v>67</v>
      </c>
      <c r="G844" t="s">
        <v>19</v>
      </c>
      <c r="H844" s="3">
        <v>51975.694176454679</v>
      </c>
      <c r="I844">
        <v>10</v>
      </c>
      <c r="J844" s="3">
        <v>33078.20221861748</v>
      </c>
      <c r="K844" s="3">
        <v>18897.491957837199</v>
      </c>
    </row>
    <row r="845" spans="1:11" x14ac:dyDescent="0.3">
      <c r="A845" t="s">
        <v>921</v>
      </c>
      <c r="B845" s="2">
        <v>45017</v>
      </c>
      <c r="C845">
        <v>2023</v>
      </c>
      <c r="D845">
        <v>4</v>
      </c>
      <c r="E845" t="s">
        <v>54</v>
      </c>
      <c r="F845" t="s">
        <v>48</v>
      </c>
      <c r="G845" t="s">
        <v>19</v>
      </c>
      <c r="H845" s="3">
        <v>102437.3262709034</v>
      </c>
      <c r="I845">
        <v>20</v>
      </c>
      <c r="J845" s="3">
        <v>62711.478959719418</v>
      </c>
      <c r="K845" s="3">
        <v>39725.847311183963</v>
      </c>
    </row>
    <row r="846" spans="1:11" x14ac:dyDescent="0.3">
      <c r="A846" t="s">
        <v>922</v>
      </c>
      <c r="B846" s="2">
        <v>45017</v>
      </c>
      <c r="C846">
        <v>2023</v>
      </c>
      <c r="D846">
        <v>4</v>
      </c>
      <c r="E846" t="s">
        <v>58</v>
      </c>
      <c r="F846" t="s">
        <v>67</v>
      </c>
      <c r="G846" t="s">
        <v>19</v>
      </c>
      <c r="H846" s="3">
        <v>35671.474901538968</v>
      </c>
      <c r="I846">
        <v>7</v>
      </c>
      <c r="J846" s="3">
        <v>21703.46501016734</v>
      </c>
      <c r="K846" s="3">
        <v>13968.00989137163</v>
      </c>
    </row>
    <row r="847" spans="1:11" x14ac:dyDescent="0.3">
      <c r="A847" t="s">
        <v>923</v>
      </c>
      <c r="B847" s="2">
        <v>45017</v>
      </c>
      <c r="C847">
        <v>2023</v>
      </c>
      <c r="D847">
        <v>4</v>
      </c>
      <c r="E847" t="s">
        <v>58</v>
      </c>
      <c r="F847" t="s">
        <v>48</v>
      </c>
      <c r="G847" t="s">
        <v>19</v>
      </c>
      <c r="H847" s="3">
        <v>68626.781293925829</v>
      </c>
      <c r="I847">
        <v>13</v>
      </c>
      <c r="J847" s="3">
        <v>43058.193755002467</v>
      </c>
      <c r="K847" s="3">
        <v>25568.587538923359</v>
      </c>
    </row>
    <row r="848" spans="1:11" x14ac:dyDescent="0.3">
      <c r="A848" t="s">
        <v>924</v>
      </c>
      <c r="B848" s="2">
        <v>45017</v>
      </c>
      <c r="C848">
        <v>2023</v>
      </c>
      <c r="D848">
        <v>4</v>
      </c>
      <c r="E848" t="s">
        <v>62</v>
      </c>
      <c r="F848" t="s">
        <v>67</v>
      </c>
      <c r="G848" t="s">
        <v>19</v>
      </c>
      <c r="H848" s="3">
        <v>23485.368387183938</v>
      </c>
      <c r="I848">
        <v>5</v>
      </c>
      <c r="J848" s="3">
        <v>14352.263562272799</v>
      </c>
      <c r="K848" s="3">
        <v>9133.1048249111336</v>
      </c>
    </row>
    <row r="849" spans="1:11" x14ac:dyDescent="0.3">
      <c r="A849" t="s">
        <v>925</v>
      </c>
      <c r="B849" s="2">
        <v>45017</v>
      </c>
      <c r="C849">
        <v>2023</v>
      </c>
      <c r="D849">
        <v>4</v>
      </c>
      <c r="E849" t="s">
        <v>62</v>
      </c>
      <c r="F849" t="s">
        <v>48</v>
      </c>
      <c r="G849" t="s">
        <v>19</v>
      </c>
      <c r="H849" s="3">
        <v>56522.461968004158</v>
      </c>
      <c r="I849">
        <v>11</v>
      </c>
      <c r="J849" s="3">
        <v>34444.635224768237</v>
      </c>
      <c r="K849" s="3">
        <v>22077.82674323591</v>
      </c>
    </row>
    <row r="850" spans="1:11" x14ac:dyDescent="0.3">
      <c r="A850" t="s">
        <v>926</v>
      </c>
      <c r="B850" s="2">
        <v>45017</v>
      </c>
      <c r="C850">
        <v>2023</v>
      </c>
      <c r="D850">
        <v>4</v>
      </c>
      <c r="E850" t="s">
        <v>50</v>
      </c>
      <c r="F850" t="s">
        <v>67</v>
      </c>
      <c r="G850" t="s">
        <v>24</v>
      </c>
      <c r="H850" s="3">
        <v>63024.141162668559</v>
      </c>
      <c r="I850">
        <v>10</v>
      </c>
      <c r="J850" s="3">
        <v>40515.067971993281</v>
      </c>
      <c r="K850" s="3">
        <v>22509.073190675281</v>
      </c>
    </row>
    <row r="851" spans="1:11" x14ac:dyDescent="0.3">
      <c r="A851" t="s">
        <v>927</v>
      </c>
      <c r="B851" s="2">
        <v>45017</v>
      </c>
      <c r="C851">
        <v>2023</v>
      </c>
      <c r="D851">
        <v>4</v>
      </c>
      <c r="E851" t="s">
        <v>50</v>
      </c>
      <c r="F851" t="s">
        <v>48</v>
      </c>
      <c r="G851" t="s">
        <v>24</v>
      </c>
      <c r="H851" s="3">
        <v>129351.57347322709</v>
      </c>
      <c r="I851">
        <v>21</v>
      </c>
      <c r="J851" s="3">
        <v>84629.95253908039</v>
      </c>
      <c r="K851" s="3">
        <v>44721.620934146667</v>
      </c>
    </row>
    <row r="852" spans="1:11" x14ac:dyDescent="0.3">
      <c r="A852" t="s">
        <v>928</v>
      </c>
      <c r="B852" s="2">
        <v>45017</v>
      </c>
      <c r="C852">
        <v>2023</v>
      </c>
      <c r="D852">
        <v>4</v>
      </c>
      <c r="E852" t="s">
        <v>54</v>
      </c>
      <c r="F852" t="s">
        <v>67</v>
      </c>
      <c r="G852" t="s">
        <v>24</v>
      </c>
      <c r="H852" s="3">
        <v>47826.865003281353</v>
      </c>
      <c r="I852">
        <v>8</v>
      </c>
      <c r="J852" s="3">
        <v>31518.733618819799</v>
      </c>
      <c r="K852" s="3">
        <v>16308.13138446156</v>
      </c>
    </row>
    <row r="853" spans="1:11" x14ac:dyDescent="0.3">
      <c r="A853" t="s">
        <v>929</v>
      </c>
      <c r="B853" s="2">
        <v>45017</v>
      </c>
      <c r="C853">
        <v>2023</v>
      </c>
      <c r="D853">
        <v>4</v>
      </c>
      <c r="E853" t="s">
        <v>54</v>
      </c>
      <c r="F853" t="s">
        <v>48</v>
      </c>
      <c r="G853" t="s">
        <v>24</v>
      </c>
      <c r="H853" s="3">
        <v>107300.4154472964</v>
      </c>
      <c r="I853">
        <v>18</v>
      </c>
      <c r="J853" s="3">
        <v>71128.150254448803</v>
      </c>
      <c r="K853" s="3">
        <v>36172.265192847641</v>
      </c>
    </row>
    <row r="854" spans="1:11" x14ac:dyDescent="0.3">
      <c r="A854" t="s">
        <v>930</v>
      </c>
      <c r="B854" s="2">
        <v>45017</v>
      </c>
      <c r="C854">
        <v>2023</v>
      </c>
      <c r="D854">
        <v>4</v>
      </c>
      <c r="E854" t="s">
        <v>58</v>
      </c>
      <c r="F854" t="s">
        <v>67</v>
      </c>
      <c r="G854" t="s">
        <v>24</v>
      </c>
      <c r="H854" s="3">
        <v>31513.326835498359</v>
      </c>
      <c r="I854">
        <v>5</v>
      </c>
      <c r="J854" s="3">
        <v>21154.944147644372</v>
      </c>
      <c r="K854" s="3">
        <v>10358.382687853989</v>
      </c>
    </row>
    <row r="855" spans="1:11" x14ac:dyDescent="0.3">
      <c r="A855" t="s">
        <v>931</v>
      </c>
      <c r="B855" s="2">
        <v>45017</v>
      </c>
      <c r="C855">
        <v>2023</v>
      </c>
      <c r="D855">
        <v>4</v>
      </c>
      <c r="E855" t="s">
        <v>58</v>
      </c>
      <c r="F855" t="s">
        <v>48</v>
      </c>
      <c r="G855" t="s">
        <v>24</v>
      </c>
      <c r="H855" s="3">
        <v>70731.162903415869</v>
      </c>
      <c r="I855">
        <v>12</v>
      </c>
      <c r="J855" s="3">
        <v>47125.31257837711</v>
      </c>
      <c r="K855" s="3">
        <v>23605.850325038758</v>
      </c>
    </row>
    <row r="856" spans="1:11" x14ac:dyDescent="0.3">
      <c r="A856" t="s">
        <v>932</v>
      </c>
      <c r="B856" s="2">
        <v>45017</v>
      </c>
      <c r="C856">
        <v>2023</v>
      </c>
      <c r="D856">
        <v>4</v>
      </c>
      <c r="E856" t="s">
        <v>62</v>
      </c>
      <c r="F856" t="s">
        <v>67</v>
      </c>
      <c r="G856" t="s">
        <v>24</v>
      </c>
      <c r="H856" s="3">
        <v>21886.121538755029</v>
      </c>
      <c r="I856">
        <v>4</v>
      </c>
      <c r="J856" s="3">
        <v>14395.212078743631</v>
      </c>
      <c r="K856" s="3">
        <v>7490.909460011404</v>
      </c>
    </row>
    <row r="857" spans="1:11" x14ac:dyDescent="0.3">
      <c r="A857" t="s">
        <v>933</v>
      </c>
      <c r="B857" s="2">
        <v>45017</v>
      </c>
      <c r="C857">
        <v>2023</v>
      </c>
      <c r="D857">
        <v>4</v>
      </c>
      <c r="E857" t="s">
        <v>62</v>
      </c>
      <c r="F857" t="s">
        <v>48</v>
      </c>
      <c r="G857" t="s">
        <v>24</v>
      </c>
      <c r="H857" s="3">
        <v>53261.564218361629</v>
      </c>
      <c r="I857">
        <v>9</v>
      </c>
      <c r="J857" s="3">
        <v>35027.224588584497</v>
      </c>
      <c r="K857" s="3">
        <v>18234.339629777129</v>
      </c>
    </row>
    <row r="858" spans="1:11" x14ac:dyDescent="0.3">
      <c r="A858" t="s">
        <v>934</v>
      </c>
      <c r="B858" s="2">
        <v>45017</v>
      </c>
      <c r="C858">
        <v>2023</v>
      </c>
      <c r="D858">
        <v>4</v>
      </c>
      <c r="E858" t="s">
        <v>50</v>
      </c>
      <c r="F858" t="s">
        <v>67</v>
      </c>
      <c r="G858" t="s">
        <v>29</v>
      </c>
      <c r="H858" s="3">
        <v>45228.479080103847</v>
      </c>
      <c r="I858">
        <v>11</v>
      </c>
      <c r="J858" s="3">
        <v>29212.03501791415</v>
      </c>
      <c r="K858" s="3">
        <v>16016.444062189699</v>
      </c>
    </row>
    <row r="859" spans="1:11" x14ac:dyDescent="0.3">
      <c r="A859" t="s">
        <v>935</v>
      </c>
      <c r="B859" s="2">
        <v>45017</v>
      </c>
      <c r="C859">
        <v>2023</v>
      </c>
      <c r="D859">
        <v>4</v>
      </c>
      <c r="E859" t="s">
        <v>50</v>
      </c>
      <c r="F859" t="s">
        <v>48</v>
      </c>
      <c r="G859" t="s">
        <v>29</v>
      </c>
      <c r="H859" s="3">
        <v>95502.794918526619</v>
      </c>
      <c r="I859">
        <v>22</v>
      </c>
      <c r="J859" s="3">
        <v>62521.860511833263</v>
      </c>
      <c r="K859" s="3">
        <v>32980.934406693363</v>
      </c>
    </row>
    <row r="860" spans="1:11" x14ac:dyDescent="0.3">
      <c r="A860" t="s">
        <v>936</v>
      </c>
      <c r="B860" s="2">
        <v>45017</v>
      </c>
      <c r="C860">
        <v>2023</v>
      </c>
      <c r="D860">
        <v>4</v>
      </c>
      <c r="E860" t="s">
        <v>54</v>
      </c>
      <c r="F860" t="s">
        <v>67</v>
      </c>
      <c r="G860" t="s">
        <v>29</v>
      </c>
      <c r="H860" s="3">
        <v>33502.16891742462</v>
      </c>
      <c r="I860">
        <v>8</v>
      </c>
      <c r="J860" s="3">
        <v>21490.138439093898</v>
      </c>
      <c r="K860" s="3">
        <v>12012.03047833072</v>
      </c>
    </row>
    <row r="861" spans="1:11" x14ac:dyDescent="0.3">
      <c r="A861" t="s">
        <v>937</v>
      </c>
      <c r="B861" s="2">
        <v>45017</v>
      </c>
      <c r="C861">
        <v>2023</v>
      </c>
      <c r="D861">
        <v>4</v>
      </c>
      <c r="E861" t="s">
        <v>54</v>
      </c>
      <c r="F861" t="s">
        <v>48</v>
      </c>
      <c r="G861" t="s">
        <v>29</v>
      </c>
      <c r="H861" s="3">
        <v>73096.11090739214</v>
      </c>
      <c r="I861">
        <v>17</v>
      </c>
      <c r="J861" s="3">
        <v>46386.471276993383</v>
      </c>
      <c r="K861" s="3">
        <v>26709.63963039876</v>
      </c>
    </row>
    <row r="862" spans="1:11" x14ac:dyDescent="0.3">
      <c r="A862" t="s">
        <v>938</v>
      </c>
      <c r="B862" s="2">
        <v>45017</v>
      </c>
      <c r="C862">
        <v>2023</v>
      </c>
      <c r="D862">
        <v>4</v>
      </c>
      <c r="E862" t="s">
        <v>58</v>
      </c>
      <c r="F862" t="s">
        <v>67</v>
      </c>
      <c r="G862" t="s">
        <v>29</v>
      </c>
      <c r="H862" s="3">
        <v>22643.7823669149</v>
      </c>
      <c r="I862">
        <v>5</v>
      </c>
      <c r="J862" s="3">
        <v>14233.025291039539</v>
      </c>
      <c r="K862" s="3">
        <v>8410.7570758753627</v>
      </c>
    </row>
    <row r="863" spans="1:11" x14ac:dyDescent="0.3">
      <c r="A863" t="s">
        <v>939</v>
      </c>
      <c r="B863" s="2">
        <v>45017</v>
      </c>
      <c r="C863">
        <v>2023</v>
      </c>
      <c r="D863">
        <v>4</v>
      </c>
      <c r="E863" t="s">
        <v>58</v>
      </c>
      <c r="F863" t="s">
        <v>48</v>
      </c>
      <c r="G863" t="s">
        <v>29</v>
      </c>
      <c r="H863" s="3">
        <v>53437.924986380232</v>
      </c>
      <c r="I863">
        <v>12</v>
      </c>
      <c r="J863" s="3">
        <v>33310.596555012948</v>
      </c>
      <c r="K863" s="3">
        <v>20127.32843136727</v>
      </c>
    </row>
    <row r="864" spans="1:11" x14ac:dyDescent="0.3">
      <c r="A864" t="s">
        <v>940</v>
      </c>
      <c r="B864" s="2">
        <v>45017</v>
      </c>
      <c r="C864">
        <v>2023</v>
      </c>
      <c r="D864">
        <v>4</v>
      </c>
      <c r="E864" t="s">
        <v>62</v>
      </c>
      <c r="F864" t="s">
        <v>67</v>
      </c>
      <c r="G864" t="s">
        <v>29</v>
      </c>
      <c r="H864" s="3">
        <v>19713.04325290741</v>
      </c>
      <c r="I864">
        <v>5</v>
      </c>
      <c r="J864" s="3">
        <v>12767.653698843589</v>
      </c>
      <c r="K864" s="3">
        <v>6945.3895540638187</v>
      </c>
    </row>
    <row r="865" spans="1:11" x14ac:dyDescent="0.3">
      <c r="A865" t="s">
        <v>941</v>
      </c>
      <c r="B865" s="2">
        <v>45017</v>
      </c>
      <c r="C865">
        <v>2023</v>
      </c>
      <c r="D865">
        <v>4</v>
      </c>
      <c r="E865" t="s">
        <v>62</v>
      </c>
      <c r="F865" t="s">
        <v>48</v>
      </c>
      <c r="G865" t="s">
        <v>29</v>
      </c>
      <c r="H865" s="3">
        <v>40358.31571952653</v>
      </c>
      <c r="I865">
        <v>9</v>
      </c>
      <c r="J865" s="3">
        <v>26098.040342257442</v>
      </c>
      <c r="K865" s="3">
        <v>14260.27537726909</v>
      </c>
    </row>
    <row r="866" spans="1:11" x14ac:dyDescent="0.3">
      <c r="A866" t="s">
        <v>942</v>
      </c>
      <c r="B866" s="2">
        <v>45017</v>
      </c>
      <c r="C866">
        <v>2023</v>
      </c>
      <c r="D866">
        <v>4</v>
      </c>
      <c r="E866" t="s">
        <v>50</v>
      </c>
      <c r="F866" t="s">
        <v>67</v>
      </c>
      <c r="G866" t="s">
        <v>34</v>
      </c>
      <c r="H866" s="3">
        <v>39288.76384150848</v>
      </c>
      <c r="I866">
        <v>46</v>
      </c>
      <c r="J866" s="3">
        <v>19054.595532913721</v>
      </c>
      <c r="K866" s="3">
        <v>20234.168308594759</v>
      </c>
    </row>
    <row r="867" spans="1:11" x14ac:dyDescent="0.3">
      <c r="A867" t="s">
        <v>943</v>
      </c>
      <c r="B867" s="2">
        <v>45017</v>
      </c>
      <c r="C867">
        <v>2023</v>
      </c>
      <c r="D867">
        <v>4</v>
      </c>
      <c r="E867" t="s">
        <v>50</v>
      </c>
      <c r="F867" t="s">
        <v>48</v>
      </c>
      <c r="G867" t="s">
        <v>34</v>
      </c>
      <c r="H867" s="3">
        <v>84211.973884976862</v>
      </c>
      <c r="I867">
        <v>99</v>
      </c>
      <c r="J867" s="3">
        <v>40328.135951099663</v>
      </c>
      <c r="K867" s="3">
        <v>43883.837933877207</v>
      </c>
    </row>
    <row r="868" spans="1:11" x14ac:dyDescent="0.3">
      <c r="A868" t="s">
        <v>944</v>
      </c>
      <c r="B868" s="2">
        <v>45017</v>
      </c>
      <c r="C868">
        <v>2023</v>
      </c>
      <c r="D868">
        <v>4</v>
      </c>
      <c r="E868" t="s">
        <v>54</v>
      </c>
      <c r="F868" t="s">
        <v>67</v>
      </c>
      <c r="G868" t="s">
        <v>34</v>
      </c>
      <c r="H868" s="3">
        <v>28729.31568173716</v>
      </c>
      <c r="I868">
        <v>34</v>
      </c>
      <c r="J868" s="3">
        <v>14139.302681273801</v>
      </c>
      <c r="K868" s="3">
        <v>14590.013000463359</v>
      </c>
    </row>
    <row r="869" spans="1:11" x14ac:dyDescent="0.3">
      <c r="A869" t="s">
        <v>945</v>
      </c>
      <c r="B869" s="2">
        <v>45017</v>
      </c>
      <c r="C869">
        <v>2023</v>
      </c>
      <c r="D869">
        <v>4</v>
      </c>
      <c r="E869" t="s">
        <v>54</v>
      </c>
      <c r="F869" t="s">
        <v>48</v>
      </c>
      <c r="G869" t="s">
        <v>34</v>
      </c>
      <c r="H869" s="3">
        <v>63561.152338869717</v>
      </c>
      <c r="I869">
        <v>75</v>
      </c>
      <c r="J869" s="3">
        <v>30243.490564776512</v>
      </c>
      <c r="K869" s="3">
        <v>33317.661774093212</v>
      </c>
    </row>
    <row r="870" spans="1:11" x14ac:dyDescent="0.3">
      <c r="A870" t="s">
        <v>946</v>
      </c>
      <c r="B870" s="2">
        <v>45017</v>
      </c>
      <c r="C870">
        <v>2023</v>
      </c>
      <c r="D870">
        <v>4</v>
      </c>
      <c r="E870" t="s">
        <v>58</v>
      </c>
      <c r="F870" t="s">
        <v>67</v>
      </c>
      <c r="G870" t="s">
        <v>34</v>
      </c>
      <c r="H870" s="3">
        <v>20071.62557363437</v>
      </c>
      <c r="I870">
        <v>24</v>
      </c>
      <c r="J870" s="3">
        <v>9800.041963083162</v>
      </c>
      <c r="K870" s="3">
        <v>10271.583610551201</v>
      </c>
    </row>
    <row r="871" spans="1:11" x14ac:dyDescent="0.3">
      <c r="A871" t="s">
        <v>947</v>
      </c>
      <c r="B871" s="2">
        <v>45017</v>
      </c>
      <c r="C871">
        <v>2023</v>
      </c>
      <c r="D871">
        <v>4</v>
      </c>
      <c r="E871" t="s">
        <v>58</v>
      </c>
      <c r="F871" t="s">
        <v>48</v>
      </c>
      <c r="G871" t="s">
        <v>34</v>
      </c>
      <c r="H871" s="3">
        <v>46839.212816160267</v>
      </c>
      <c r="I871">
        <v>55</v>
      </c>
      <c r="J871" s="3">
        <v>22467.143258638429</v>
      </c>
      <c r="K871" s="3">
        <v>24372.069557521831</v>
      </c>
    </row>
    <row r="872" spans="1:11" x14ac:dyDescent="0.3">
      <c r="A872" t="s">
        <v>948</v>
      </c>
      <c r="B872" s="2">
        <v>45017</v>
      </c>
      <c r="C872">
        <v>2023</v>
      </c>
      <c r="D872">
        <v>4</v>
      </c>
      <c r="E872" t="s">
        <v>62</v>
      </c>
      <c r="F872" t="s">
        <v>67</v>
      </c>
      <c r="G872" t="s">
        <v>34</v>
      </c>
      <c r="H872" s="3">
        <v>17407.5598657431</v>
      </c>
      <c r="I872">
        <v>20</v>
      </c>
      <c r="J872" s="3">
        <v>8264.1319792049417</v>
      </c>
      <c r="K872" s="3">
        <v>9143.4278865381584</v>
      </c>
    </row>
    <row r="873" spans="1:11" x14ac:dyDescent="0.3">
      <c r="A873" t="s">
        <v>949</v>
      </c>
      <c r="B873" s="2">
        <v>45017</v>
      </c>
      <c r="C873">
        <v>2023</v>
      </c>
      <c r="D873">
        <v>4</v>
      </c>
      <c r="E873" t="s">
        <v>62</v>
      </c>
      <c r="F873" t="s">
        <v>48</v>
      </c>
      <c r="G873" t="s">
        <v>34</v>
      </c>
      <c r="H873" s="3">
        <v>33496.903167502809</v>
      </c>
      <c r="I873">
        <v>39</v>
      </c>
      <c r="J873" s="3">
        <v>16249.99963843556</v>
      </c>
      <c r="K873" s="3">
        <v>17246.903529067251</v>
      </c>
    </row>
    <row r="874" spans="1:11" x14ac:dyDescent="0.3">
      <c r="A874" t="s">
        <v>950</v>
      </c>
      <c r="B874" s="2">
        <v>45017</v>
      </c>
      <c r="C874">
        <v>2023</v>
      </c>
      <c r="D874">
        <v>4</v>
      </c>
      <c r="E874" t="s">
        <v>50</v>
      </c>
      <c r="F874" t="s">
        <v>67</v>
      </c>
      <c r="G874" t="s">
        <v>37</v>
      </c>
      <c r="H874" s="3">
        <v>33312.837701862867</v>
      </c>
      <c r="I874">
        <v>46</v>
      </c>
      <c r="J874" s="3">
        <v>18457.157537256131</v>
      </c>
      <c r="K874" s="3">
        <v>14855.68016460674</v>
      </c>
    </row>
    <row r="875" spans="1:11" x14ac:dyDescent="0.3">
      <c r="A875" t="s">
        <v>951</v>
      </c>
      <c r="B875" s="2">
        <v>45017</v>
      </c>
      <c r="C875">
        <v>2023</v>
      </c>
      <c r="D875">
        <v>4</v>
      </c>
      <c r="E875" t="s">
        <v>50</v>
      </c>
      <c r="F875" t="s">
        <v>48</v>
      </c>
      <c r="G875" t="s">
        <v>37</v>
      </c>
      <c r="H875" s="3">
        <v>69635.236216768943</v>
      </c>
      <c r="I875">
        <v>97</v>
      </c>
      <c r="J875" s="3">
        <v>38545.472955126512</v>
      </c>
      <c r="K875" s="3">
        <v>31089.763261642431</v>
      </c>
    </row>
    <row r="876" spans="1:11" x14ac:dyDescent="0.3">
      <c r="A876" t="s">
        <v>952</v>
      </c>
      <c r="B876" s="2">
        <v>45017</v>
      </c>
      <c r="C876">
        <v>2023</v>
      </c>
      <c r="D876">
        <v>4</v>
      </c>
      <c r="E876" t="s">
        <v>54</v>
      </c>
      <c r="F876" t="s">
        <v>67</v>
      </c>
      <c r="G876" t="s">
        <v>37</v>
      </c>
      <c r="H876" s="3">
        <v>29192.650588298569</v>
      </c>
      <c r="I876">
        <v>41</v>
      </c>
      <c r="J876" s="3">
        <v>16079.44787606122</v>
      </c>
      <c r="K876" s="3">
        <v>13113.202712237349</v>
      </c>
    </row>
    <row r="877" spans="1:11" x14ac:dyDescent="0.3">
      <c r="A877" t="s">
        <v>953</v>
      </c>
      <c r="B877" s="2">
        <v>45017</v>
      </c>
      <c r="C877">
        <v>2023</v>
      </c>
      <c r="D877">
        <v>4</v>
      </c>
      <c r="E877" t="s">
        <v>54</v>
      </c>
      <c r="F877" t="s">
        <v>48</v>
      </c>
      <c r="G877" t="s">
        <v>37</v>
      </c>
      <c r="H877" s="3">
        <v>59574.018631052983</v>
      </c>
      <c r="I877">
        <v>83</v>
      </c>
      <c r="J877" s="3">
        <v>32743.361559832891</v>
      </c>
      <c r="K877" s="3">
        <v>26830.657071220081</v>
      </c>
    </row>
    <row r="878" spans="1:11" x14ac:dyDescent="0.3">
      <c r="A878" t="s">
        <v>954</v>
      </c>
      <c r="B878" s="2">
        <v>45017</v>
      </c>
      <c r="C878">
        <v>2023</v>
      </c>
      <c r="D878">
        <v>4</v>
      </c>
      <c r="E878" t="s">
        <v>58</v>
      </c>
      <c r="F878" t="s">
        <v>67</v>
      </c>
      <c r="G878" t="s">
        <v>37</v>
      </c>
      <c r="H878" s="3">
        <v>17854.277062254419</v>
      </c>
      <c r="I878">
        <v>25</v>
      </c>
      <c r="J878" s="3">
        <v>10242.01467159546</v>
      </c>
      <c r="K878" s="3">
        <v>7612.2623906589561</v>
      </c>
    </row>
    <row r="879" spans="1:11" x14ac:dyDescent="0.3">
      <c r="A879" t="s">
        <v>955</v>
      </c>
      <c r="B879" s="2">
        <v>45017</v>
      </c>
      <c r="C879">
        <v>2023</v>
      </c>
      <c r="D879">
        <v>4</v>
      </c>
      <c r="E879" t="s">
        <v>58</v>
      </c>
      <c r="F879" t="s">
        <v>48</v>
      </c>
      <c r="G879" t="s">
        <v>37</v>
      </c>
      <c r="H879" s="3">
        <v>40627.589990554043</v>
      </c>
      <c r="I879">
        <v>56</v>
      </c>
      <c r="J879" s="3">
        <v>22821.49807970845</v>
      </c>
      <c r="K879" s="3">
        <v>17806.091910845589</v>
      </c>
    </row>
    <row r="880" spans="1:11" x14ac:dyDescent="0.3">
      <c r="A880" t="s">
        <v>956</v>
      </c>
      <c r="B880" s="2">
        <v>45017</v>
      </c>
      <c r="C880">
        <v>2023</v>
      </c>
      <c r="D880">
        <v>4</v>
      </c>
      <c r="E880" t="s">
        <v>62</v>
      </c>
      <c r="F880" t="s">
        <v>67</v>
      </c>
      <c r="G880" t="s">
        <v>37</v>
      </c>
      <c r="H880" s="3">
        <v>14389.1600275244</v>
      </c>
      <c r="I880">
        <v>20</v>
      </c>
      <c r="J880" s="3">
        <v>8017.0066465934588</v>
      </c>
      <c r="K880" s="3">
        <v>6372.1533809309449</v>
      </c>
    </row>
    <row r="881" spans="1:11" x14ac:dyDescent="0.3">
      <c r="A881" t="s">
        <v>957</v>
      </c>
      <c r="B881" s="2">
        <v>45017</v>
      </c>
      <c r="C881">
        <v>2023</v>
      </c>
      <c r="D881">
        <v>4</v>
      </c>
      <c r="E881" t="s">
        <v>62</v>
      </c>
      <c r="F881" t="s">
        <v>48</v>
      </c>
      <c r="G881" t="s">
        <v>37</v>
      </c>
      <c r="H881" s="3">
        <v>30450.53382722157</v>
      </c>
      <c r="I881">
        <v>42</v>
      </c>
      <c r="J881" s="3">
        <v>16781.496611054259</v>
      </c>
      <c r="K881" s="3">
        <v>13669.0372161673</v>
      </c>
    </row>
    <row r="882" spans="1:11" x14ac:dyDescent="0.3">
      <c r="A882" t="s">
        <v>958</v>
      </c>
      <c r="B882" s="2">
        <v>45017</v>
      </c>
      <c r="C882">
        <v>2023</v>
      </c>
      <c r="D882">
        <v>4</v>
      </c>
      <c r="E882" t="s">
        <v>50</v>
      </c>
      <c r="F882" t="s">
        <v>67</v>
      </c>
      <c r="G882" t="s">
        <v>40</v>
      </c>
      <c r="H882" s="3">
        <v>32164.769410347781</v>
      </c>
      <c r="I882">
        <v>6</v>
      </c>
      <c r="J882" s="3">
        <v>22596.036533775139</v>
      </c>
      <c r="K882" s="3">
        <v>9568.7328765726452</v>
      </c>
    </row>
    <row r="883" spans="1:11" x14ac:dyDescent="0.3">
      <c r="A883" t="s">
        <v>959</v>
      </c>
      <c r="B883" s="2">
        <v>45017</v>
      </c>
      <c r="C883">
        <v>2023</v>
      </c>
      <c r="D883">
        <v>4</v>
      </c>
      <c r="E883" t="s">
        <v>50</v>
      </c>
      <c r="F883" t="s">
        <v>48</v>
      </c>
      <c r="G883" t="s">
        <v>40</v>
      </c>
      <c r="H883" s="3">
        <v>65085.183383481337</v>
      </c>
      <c r="I883">
        <v>12</v>
      </c>
      <c r="J883" s="3">
        <v>45327.501744465102</v>
      </c>
      <c r="K883" s="3">
        <v>19757.681639016231</v>
      </c>
    </row>
    <row r="884" spans="1:11" x14ac:dyDescent="0.3">
      <c r="A884" t="s">
        <v>960</v>
      </c>
      <c r="B884" s="2">
        <v>45017</v>
      </c>
      <c r="C884">
        <v>2023</v>
      </c>
      <c r="D884">
        <v>4</v>
      </c>
      <c r="E884" t="s">
        <v>54</v>
      </c>
      <c r="F884" t="s">
        <v>67</v>
      </c>
      <c r="G884" t="s">
        <v>40</v>
      </c>
      <c r="H884" s="3">
        <v>25174.31577921538</v>
      </c>
      <c r="I884">
        <v>5</v>
      </c>
      <c r="J884" s="3">
        <v>17378.47119673654</v>
      </c>
      <c r="K884" s="3">
        <v>7795.8445824788469</v>
      </c>
    </row>
    <row r="885" spans="1:11" x14ac:dyDescent="0.3">
      <c r="A885" t="s">
        <v>961</v>
      </c>
      <c r="B885" s="2">
        <v>45017</v>
      </c>
      <c r="C885">
        <v>2023</v>
      </c>
      <c r="D885">
        <v>4</v>
      </c>
      <c r="E885" t="s">
        <v>54</v>
      </c>
      <c r="F885" t="s">
        <v>48</v>
      </c>
      <c r="G885" t="s">
        <v>40</v>
      </c>
      <c r="H885" s="3">
        <v>50026.566262773908</v>
      </c>
      <c r="I885">
        <v>9</v>
      </c>
      <c r="J885" s="3">
        <v>34329.717113369014</v>
      </c>
      <c r="K885" s="3">
        <v>15696.849149404899</v>
      </c>
    </row>
    <row r="886" spans="1:11" x14ac:dyDescent="0.3">
      <c r="A886" t="s">
        <v>962</v>
      </c>
      <c r="B886" s="2">
        <v>45017</v>
      </c>
      <c r="C886">
        <v>2023</v>
      </c>
      <c r="D886">
        <v>4</v>
      </c>
      <c r="E886" t="s">
        <v>58</v>
      </c>
      <c r="F886" t="s">
        <v>67</v>
      </c>
      <c r="G886" t="s">
        <v>40</v>
      </c>
      <c r="H886" s="3">
        <v>18420.395725567931</v>
      </c>
      <c r="I886">
        <v>3</v>
      </c>
      <c r="J886" s="3">
        <v>12691.56067573226</v>
      </c>
      <c r="K886" s="3">
        <v>5728.835049835674</v>
      </c>
    </row>
    <row r="887" spans="1:11" x14ac:dyDescent="0.3">
      <c r="A887" t="s">
        <v>963</v>
      </c>
      <c r="B887" s="2">
        <v>45017</v>
      </c>
      <c r="C887">
        <v>2023</v>
      </c>
      <c r="D887">
        <v>4</v>
      </c>
      <c r="E887" t="s">
        <v>58</v>
      </c>
      <c r="F887" t="s">
        <v>48</v>
      </c>
      <c r="G887" t="s">
        <v>40</v>
      </c>
      <c r="H887" s="3">
        <v>34797.914068769693</v>
      </c>
      <c r="I887">
        <v>6</v>
      </c>
      <c r="J887" s="3">
        <v>22640.334114655299</v>
      </c>
      <c r="K887" s="3">
        <v>12157.579954114381</v>
      </c>
    </row>
    <row r="888" spans="1:11" x14ac:dyDescent="0.3">
      <c r="A888" t="s">
        <v>964</v>
      </c>
      <c r="B888" s="2">
        <v>45017</v>
      </c>
      <c r="C888">
        <v>2023</v>
      </c>
      <c r="D888">
        <v>4</v>
      </c>
      <c r="E888" t="s">
        <v>62</v>
      </c>
      <c r="F888" t="s">
        <v>67</v>
      </c>
      <c r="G888" t="s">
        <v>40</v>
      </c>
      <c r="H888" s="3">
        <v>13192.571305270531</v>
      </c>
      <c r="I888">
        <v>2</v>
      </c>
      <c r="J888" s="3">
        <v>9137.3815136768117</v>
      </c>
      <c r="K888" s="3">
        <v>4055.1897915937152</v>
      </c>
    </row>
    <row r="889" spans="1:11" x14ac:dyDescent="0.3">
      <c r="A889" t="s">
        <v>965</v>
      </c>
      <c r="B889" s="2">
        <v>45017</v>
      </c>
      <c r="C889">
        <v>2023</v>
      </c>
      <c r="D889">
        <v>4</v>
      </c>
      <c r="E889" t="s">
        <v>62</v>
      </c>
      <c r="F889" t="s">
        <v>48</v>
      </c>
      <c r="G889" t="s">
        <v>40</v>
      </c>
      <c r="H889" s="3">
        <v>25490.845034539929</v>
      </c>
      <c r="I889">
        <v>5</v>
      </c>
      <c r="J889" s="3">
        <v>17434.03335651278</v>
      </c>
      <c r="K889" s="3">
        <v>8056.8116780271448</v>
      </c>
    </row>
    <row r="890" spans="1:11" x14ac:dyDescent="0.3">
      <c r="A890" t="s">
        <v>966</v>
      </c>
      <c r="B890" s="2">
        <v>45017</v>
      </c>
      <c r="C890">
        <v>2023</v>
      </c>
      <c r="D890">
        <v>4</v>
      </c>
      <c r="E890" t="s">
        <v>50</v>
      </c>
      <c r="F890" t="s">
        <v>67</v>
      </c>
      <c r="G890" t="s">
        <v>43</v>
      </c>
      <c r="H890" s="3">
        <v>59368.030862765729</v>
      </c>
      <c r="I890">
        <v>17</v>
      </c>
      <c r="J890" s="3">
        <v>36031.298307753983</v>
      </c>
      <c r="K890" s="3">
        <v>23336.732555011749</v>
      </c>
    </row>
    <row r="891" spans="1:11" x14ac:dyDescent="0.3">
      <c r="A891" t="s">
        <v>967</v>
      </c>
      <c r="B891" s="2">
        <v>45017</v>
      </c>
      <c r="C891">
        <v>2023</v>
      </c>
      <c r="D891">
        <v>4</v>
      </c>
      <c r="E891" t="s">
        <v>50</v>
      </c>
      <c r="F891" t="s">
        <v>48</v>
      </c>
      <c r="G891" t="s">
        <v>43</v>
      </c>
      <c r="H891" s="3">
        <v>133547.09391042229</v>
      </c>
      <c r="I891">
        <v>38</v>
      </c>
      <c r="J891" s="3">
        <v>78820.220525115845</v>
      </c>
      <c r="K891" s="3">
        <v>54726.873385306448</v>
      </c>
    </row>
    <row r="892" spans="1:11" x14ac:dyDescent="0.3">
      <c r="A892" t="s">
        <v>968</v>
      </c>
      <c r="B892" s="2">
        <v>45017</v>
      </c>
      <c r="C892">
        <v>2023</v>
      </c>
      <c r="D892">
        <v>4</v>
      </c>
      <c r="E892" t="s">
        <v>54</v>
      </c>
      <c r="F892" t="s">
        <v>67</v>
      </c>
      <c r="G892" t="s">
        <v>43</v>
      </c>
      <c r="H892" s="3">
        <v>50533.159664624967</v>
      </c>
      <c r="I892">
        <v>14</v>
      </c>
      <c r="J892" s="3">
        <v>29176.492530426</v>
      </c>
      <c r="K892" s="3">
        <v>21356.667134198971</v>
      </c>
    </row>
    <row r="893" spans="1:11" x14ac:dyDescent="0.3">
      <c r="A893" t="s">
        <v>969</v>
      </c>
      <c r="B893" s="2">
        <v>45017</v>
      </c>
      <c r="C893">
        <v>2023</v>
      </c>
      <c r="D893">
        <v>4</v>
      </c>
      <c r="E893" t="s">
        <v>54</v>
      </c>
      <c r="F893" t="s">
        <v>48</v>
      </c>
      <c r="G893" t="s">
        <v>43</v>
      </c>
      <c r="H893" s="3">
        <v>106713.44304574961</v>
      </c>
      <c r="I893">
        <v>30</v>
      </c>
      <c r="J893" s="3">
        <v>62904.402379673877</v>
      </c>
      <c r="K893" s="3">
        <v>43809.040666075693</v>
      </c>
    </row>
    <row r="894" spans="1:11" x14ac:dyDescent="0.3">
      <c r="A894" t="s">
        <v>970</v>
      </c>
      <c r="B894" s="2">
        <v>45017</v>
      </c>
      <c r="C894">
        <v>2023</v>
      </c>
      <c r="D894">
        <v>4</v>
      </c>
      <c r="E894" t="s">
        <v>58</v>
      </c>
      <c r="F894" t="s">
        <v>67</v>
      </c>
      <c r="G894" t="s">
        <v>43</v>
      </c>
      <c r="H894" s="3">
        <v>34218.938714945027</v>
      </c>
      <c r="I894">
        <v>10</v>
      </c>
      <c r="J894" s="3">
        <v>19809.00807379105</v>
      </c>
      <c r="K894" s="3">
        <v>14409.93064115398</v>
      </c>
    </row>
    <row r="895" spans="1:11" x14ac:dyDescent="0.3">
      <c r="A895" t="s">
        <v>971</v>
      </c>
      <c r="B895" s="2">
        <v>45017</v>
      </c>
      <c r="C895">
        <v>2023</v>
      </c>
      <c r="D895">
        <v>4</v>
      </c>
      <c r="E895" t="s">
        <v>58</v>
      </c>
      <c r="F895" t="s">
        <v>48</v>
      </c>
      <c r="G895" t="s">
        <v>43</v>
      </c>
      <c r="H895" s="3">
        <v>77463.675436232894</v>
      </c>
      <c r="I895">
        <v>22</v>
      </c>
      <c r="J895" s="3">
        <v>46093.023855983891</v>
      </c>
      <c r="K895" s="3">
        <v>31370.651580248999</v>
      </c>
    </row>
    <row r="896" spans="1:11" x14ac:dyDescent="0.3">
      <c r="A896" t="s">
        <v>972</v>
      </c>
      <c r="B896" s="2">
        <v>45017</v>
      </c>
      <c r="C896">
        <v>2023</v>
      </c>
      <c r="D896">
        <v>4</v>
      </c>
      <c r="E896" t="s">
        <v>62</v>
      </c>
      <c r="F896" t="s">
        <v>67</v>
      </c>
      <c r="G896" t="s">
        <v>43</v>
      </c>
      <c r="H896" s="3">
        <v>28529.770663746611</v>
      </c>
      <c r="I896">
        <v>8</v>
      </c>
      <c r="J896" s="3">
        <v>16920.717717588261</v>
      </c>
      <c r="K896" s="3">
        <v>11609.05294615835</v>
      </c>
    </row>
    <row r="897" spans="1:11" x14ac:dyDescent="0.3">
      <c r="A897" t="s">
        <v>973</v>
      </c>
      <c r="B897" s="2">
        <v>45017</v>
      </c>
      <c r="C897">
        <v>2023</v>
      </c>
      <c r="D897">
        <v>4</v>
      </c>
      <c r="E897" t="s">
        <v>62</v>
      </c>
      <c r="F897" t="s">
        <v>48</v>
      </c>
      <c r="G897" t="s">
        <v>43</v>
      </c>
      <c r="H897" s="3">
        <v>53656.837713190813</v>
      </c>
      <c r="I897">
        <v>15</v>
      </c>
      <c r="J897" s="3">
        <v>32203.345387496789</v>
      </c>
      <c r="K897" s="3">
        <v>21453.49232569402</v>
      </c>
    </row>
    <row r="898" spans="1:11" x14ac:dyDescent="0.3">
      <c r="A898" t="s">
        <v>974</v>
      </c>
      <c r="B898" s="2">
        <v>45047</v>
      </c>
      <c r="C898">
        <v>2023</v>
      </c>
      <c r="D898">
        <v>5</v>
      </c>
      <c r="E898" t="s">
        <v>50</v>
      </c>
      <c r="F898" t="s">
        <v>67</v>
      </c>
      <c r="G898" t="s">
        <v>19</v>
      </c>
      <c r="H898" s="3">
        <v>63937.244615755633</v>
      </c>
      <c r="I898">
        <v>12</v>
      </c>
      <c r="J898" s="3">
        <v>39076.7661450011</v>
      </c>
      <c r="K898" s="3">
        <v>24860.47847075453</v>
      </c>
    </row>
    <row r="899" spans="1:11" x14ac:dyDescent="0.3">
      <c r="A899" t="s">
        <v>975</v>
      </c>
      <c r="B899" s="2">
        <v>45047</v>
      </c>
      <c r="C899">
        <v>2023</v>
      </c>
      <c r="D899">
        <v>5</v>
      </c>
      <c r="E899" t="s">
        <v>50</v>
      </c>
      <c r="F899" t="s">
        <v>48</v>
      </c>
      <c r="G899" t="s">
        <v>19</v>
      </c>
      <c r="H899" s="3">
        <v>137884.56655700429</v>
      </c>
      <c r="I899">
        <v>27</v>
      </c>
      <c r="J899" s="3">
        <v>85540.762643686248</v>
      </c>
      <c r="K899" s="3">
        <v>52343.803913318072</v>
      </c>
    </row>
    <row r="900" spans="1:11" x14ac:dyDescent="0.3">
      <c r="A900" t="s">
        <v>976</v>
      </c>
      <c r="B900" s="2">
        <v>45047</v>
      </c>
      <c r="C900">
        <v>2023</v>
      </c>
      <c r="D900">
        <v>5</v>
      </c>
      <c r="E900" t="s">
        <v>54</v>
      </c>
      <c r="F900" t="s">
        <v>67</v>
      </c>
      <c r="G900" t="s">
        <v>19</v>
      </c>
      <c r="H900" s="3">
        <v>49698.044482627789</v>
      </c>
      <c r="I900">
        <v>10</v>
      </c>
      <c r="J900" s="3">
        <v>30055.705300006251</v>
      </c>
      <c r="K900" s="3">
        <v>19642.339182621541</v>
      </c>
    </row>
    <row r="901" spans="1:11" x14ac:dyDescent="0.3">
      <c r="A901" t="s">
        <v>977</v>
      </c>
      <c r="B901" s="2">
        <v>45047</v>
      </c>
      <c r="C901">
        <v>2023</v>
      </c>
      <c r="D901">
        <v>5</v>
      </c>
      <c r="E901" t="s">
        <v>54</v>
      </c>
      <c r="F901" t="s">
        <v>48</v>
      </c>
      <c r="G901" t="s">
        <v>19</v>
      </c>
      <c r="H901" s="3">
        <v>116151.11017633141</v>
      </c>
      <c r="I901">
        <v>22</v>
      </c>
      <c r="J901" s="3">
        <v>72922.998387696047</v>
      </c>
      <c r="K901" s="3">
        <v>43228.111788635317</v>
      </c>
    </row>
    <row r="902" spans="1:11" x14ac:dyDescent="0.3">
      <c r="A902" t="s">
        <v>978</v>
      </c>
      <c r="B902" s="2">
        <v>45047</v>
      </c>
      <c r="C902">
        <v>2023</v>
      </c>
      <c r="D902">
        <v>5</v>
      </c>
      <c r="E902" t="s">
        <v>58</v>
      </c>
      <c r="F902" t="s">
        <v>67</v>
      </c>
      <c r="G902" t="s">
        <v>19</v>
      </c>
      <c r="H902" s="3">
        <v>32176.83383337222</v>
      </c>
      <c r="I902">
        <v>6</v>
      </c>
      <c r="J902" s="3">
        <v>20135.960227064828</v>
      </c>
      <c r="K902" s="3">
        <v>12040.87360630739</v>
      </c>
    </row>
    <row r="903" spans="1:11" x14ac:dyDescent="0.3">
      <c r="A903" t="s">
        <v>979</v>
      </c>
      <c r="B903" s="2">
        <v>45047</v>
      </c>
      <c r="C903">
        <v>2023</v>
      </c>
      <c r="D903">
        <v>5</v>
      </c>
      <c r="E903" t="s">
        <v>58</v>
      </c>
      <c r="F903" t="s">
        <v>48</v>
      </c>
      <c r="G903" t="s">
        <v>19</v>
      </c>
      <c r="H903" s="3">
        <v>78788.770742930865</v>
      </c>
      <c r="I903">
        <v>15</v>
      </c>
      <c r="J903" s="3">
        <v>49284.990629003012</v>
      </c>
      <c r="K903" s="3">
        <v>29503.780113927849</v>
      </c>
    </row>
    <row r="904" spans="1:11" x14ac:dyDescent="0.3">
      <c r="A904" t="s">
        <v>980</v>
      </c>
      <c r="B904" s="2">
        <v>45047</v>
      </c>
      <c r="C904">
        <v>2023</v>
      </c>
      <c r="D904">
        <v>5</v>
      </c>
      <c r="E904" t="s">
        <v>62</v>
      </c>
      <c r="F904" t="s">
        <v>67</v>
      </c>
      <c r="G904" t="s">
        <v>19</v>
      </c>
      <c r="H904" s="3">
        <v>27650.23286550332</v>
      </c>
      <c r="I904">
        <v>5</v>
      </c>
      <c r="J904" s="3">
        <v>17143.643971801499</v>
      </c>
      <c r="K904" s="3">
        <v>10506.588893701821</v>
      </c>
    </row>
    <row r="905" spans="1:11" x14ac:dyDescent="0.3">
      <c r="A905" t="s">
        <v>981</v>
      </c>
      <c r="B905" s="2">
        <v>45047</v>
      </c>
      <c r="C905">
        <v>2023</v>
      </c>
      <c r="D905">
        <v>5</v>
      </c>
      <c r="E905" t="s">
        <v>62</v>
      </c>
      <c r="F905" t="s">
        <v>48</v>
      </c>
      <c r="G905" t="s">
        <v>19</v>
      </c>
      <c r="H905" s="3">
        <v>57503.930418960103</v>
      </c>
      <c r="I905">
        <v>11</v>
      </c>
      <c r="J905" s="3">
        <v>35918.614817155001</v>
      </c>
      <c r="K905" s="3">
        <v>21585.315601805101</v>
      </c>
    </row>
    <row r="906" spans="1:11" x14ac:dyDescent="0.3">
      <c r="A906" t="s">
        <v>982</v>
      </c>
      <c r="B906" s="2">
        <v>45047</v>
      </c>
      <c r="C906">
        <v>2023</v>
      </c>
      <c r="D906">
        <v>5</v>
      </c>
      <c r="E906" t="s">
        <v>50</v>
      </c>
      <c r="F906" t="s">
        <v>67</v>
      </c>
      <c r="G906" t="s">
        <v>24</v>
      </c>
      <c r="H906" s="3">
        <v>65067.245148050417</v>
      </c>
      <c r="I906">
        <v>11</v>
      </c>
      <c r="J906" s="3">
        <v>44184.534119317002</v>
      </c>
      <c r="K906" s="3">
        <v>20882.711028733411</v>
      </c>
    </row>
    <row r="907" spans="1:11" x14ac:dyDescent="0.3">
      <c r="A907" t="s">
        <v>983</v>
      </c>
      <c r="B907" s="2">
        <v>45047</v>
      </c>
      <c r="C907">
        <v>2023</v>
      </c>
      <c r="D907">
        <v>5</v>
      </c>
      <c r="E907" t="s">
        <v>50</v>
      </c>
      <c r="F907" t="s">
        <v>48</v>
      </c>
      <c r="G907" t="s">
        <v>24</v>
      </c>
      <c r="H907" s="3">
        <v>154299.84989477971</v>
      </c>
      <c r="I907">
        <v>25</v>
      </c>
      <c r="J907" s="3">
        <v>101315.29971787331</v>
      </c>
      <c r="K907" s="3">
        <v>52984.550176906378</v>
      </c>
    </row>
    <row r="908" spans="1:11" x14ac:dyDescent="0.3">
      <c r="A908" t="s">
        <v>984</v>
      </c>
      <c r="B908" s="2">
        <v>45047</v>
      </c>
      <c r="C908">
        <v>2023</v>
      </c>
      <c r="D908">
        <v>5</v>
      </c>
      <c r="E908" t="s">
        <v>54</v>
      </c>
      <c r="F908" t="s">
        <v>67</v>
      </c>
      <c r="G908" t="s">
        <v>24</v>
      </c>
      <c r="H908" s="3">
        <v>50588.961788135581</v>
      </c>
      <c r="I908">
        <v>8</v>
      </c>
      <c r="J908" s="3">
        <v>33472.040101071201</v>
      </c>
      <c r="K908" s="3">
        <v>17116.92168706438</v>
      </c>
    </row>
    <row r="909" spans="1:11" x14ac:dyDescent="0.3">
      <c r="A909" t="s">
        <v>985</v>
      </c>
      <c r="B909" s="2">
        <v>45047</v>
      </c>
      <c r="C909">
        <v>2023</v>
      </c>
      <c r="D909">
        <v>5</v>
      </c>
      <c r="E909" t="s">
        <v>54</v>
      </c>
      <c r="F909" t="s">
        <v>48</v>
      </c>
      <c r="G909" t="s">
        <v>24</v>
      </c>
      <c r="H909" s="3">
        <v>108312.5486665733</v>
      </c>
      <c r="I909">
        <v>18</v>
      </c>
      <c r="J909" s="3">
        <v>70088.705761197343</v>
      </c>
      <c r="K909" s="3">
        <v>38223.842905375932</v>
      </c>
    </row>
    <row r="910" spans="1:11" x14ac:dyDescent="0.3">
      <c r="A910" t="s">
        <v>986</v>
      </c>
      <c r="B910" s="2">
        <v>45047</v>
      </c>
      <c r="C910">
        <v>2023</v>
      </c>
      <c r="D910">
        <v>5</v>
      </c>
      <c r="E910" t="s">
        <v>58</v>
      </c>
      <c r="F910" t="s">
        <v>67</v>
      </c>
      <c r="G910" t="s">
        <v>24</v>
      </c>
      <c r="H910" s="3">
        <v>40742.781504099337</v>
      </c>
      <c r="I910">
        <v>7</v>
      </c>
      <c r="J910" s="3">
        <v>26469.976436939909</v>
      </c>
      <c r="K910" s="3">
        <v>14272.805067159419</v>
      </c>
    </row>
    <row r="911" spans="1:11" x14ac:dyDescent="0.3">
      <c r="A911" t="s">
        <v>987</v>
      </c>
      <c r="B911" s="2">
        <v>45047</v>
      </c>
      <c r="C911">
        <v>2023</v>
      </c>
      <c r="D911">
        <v>5</v>
      </c>
      <c r="E911" t="s">
        <v>58</v>
      </c>
      <c r="F911" t="s">
        <v>48</v>
      </c>
      <c r="G911" t="s">
        <v>24</v>
      </c>
      <c r="H911" s="3">
        <v>78997.744499669468</v>
      </c>
      <c r="I911">
        <v>13</v>
      </c>
      <c r="J911" s="3">
        <v>52230.308480674947</v>
      </c>
      <c r="K911" s="3">
        <v>26767.436018994518</v>
      </c>
    </row>
    <row r="912" spans="1:11" x14ac:dyDescent="0.3">
      <c r="A912" t="s">
        <v>988</v>
      </c>
      <c r="B912" s="2">
        <v>45047</v>
      </c>
      <c r="C912">
        <v>2023</v>
      </c>
      <c r="D912">
        <v>5</v>
      </c>
      <c r="E912" t="s">
        <v>62</v>
      </c>
      <c r="F912" t="s">
        <v>67</v>
      </c>
      <c r="G912" t="s">
        <v>24</v>
      </c>
      <c r="H912" s="3">
        <v>28229.520672685361</v>
      </c>
      <c r="I912">
        <v>5</v>
      </c>
      <c r="J912" s="3">
        <v>19001.706200721699</v>
      </c>
      <c r="K912" s="3">
        <v>9227.8144719636657</v>
      </c>
    </row>
    <row r="913" spans="1:11" x14ac:dyDescent="0.3">
      <c r="A913" t="s">
        <v>989</v>
      </c>
      <c r="B913" s="2">
        <v>45047</v>
      </c>
      <c r="C913">
        <v>2023</v>
      </c>
      <c r="D913">
        <v>5</v>
      </c>
      <c r="E913" t="s">
        <v>62</v>
      </c>
      <c r="F913" t="s">
        <v>48</v>
      </c>
      <c r="G913" t="s">
        <v>24</v>
      </c>
      <c r="H913" s="3">
        <v>57009.631930854033</v>
      </c>
      <c r="I913">
        <v>9</v>
      </c>
      <c r="J913" s="3">
        <v>37452.78462588082</v>
      </c>
      <c r="K913" s="3">
        <v>19556.847304973209</v>
      </c>
    </row>
    <row r="914" spans="1:11" x14ac:dyDescent="0.3">
      <c r="A914" t="s">
        <v>990</v>
      </c>
      <c r="B914" s="2">
        <v>45047</v>
      </c>
      <c r="C914">
        <v>2023</v>
      </c>
      <c r="D914">
        <v>5</v>
      </c>
      <c r="E914" t="s">
        <v>50</v>
      </c>
      <c r="F914" t="s">
        <v>67</v>
      </c>
      <c r="G914" t="s">
        <v>29</v>
      </c>
      <c r="H914" s="3">
        <v>46936.527988879126</v>
      </c>
      <c r="I914">
        <v>11</v>
      </c>
      <c r="J914" s="3">
        <v>29911.815768844401</v>
      </c>
      <c r="K914" s="3">
        <v>17024.712220034729</v>
      </c>
    </row>
    <row r="915" spans="1:11" x14ac:dyDescent="0.3">
      <c r="A915" t="s">
        <v>991</v>
      </c>
      <c r="B915" s="2">
        <v>45047</v>
      </c>
      <c r="C915">
        <v>2023</v>
      </c>
      <c r="D915">
        <v>5</v>
      </c>
      <c r="E915" t="s">
        <v>50</v>
      </c>
      <c r="F915" t="s">
        <v>48</v>
      </c>
      <c r="G915" t="s">
        <v>29</v>
      </c>
      <c r="H915" s="3">
        <v>96051.522221366016</v>
      </c>
      <c r="I915">
        <v>22</v>
      </c>
      <c r="J915" s="3">
        <v>61022.750191035513</v>
      </c>
      <c r="K915" s="3">
        <v>35028.77203033051</v>
      </c>
    </row>
    <row r="916" spans="1:11" x14ac:dyDescent="0.3">
      <c r="A916" t="s">
        <v>992</v>
      </c>
      <c r="B916" s="2">
        <v>45047</v>
      </c>
      <c r="C916">
        <v>2023</v>
      </c>
      <c r="D916">
        <v>5</v>
      </c>
      <c r="E916" t="s">
        <v>54</v>
      </c>
      <c r="F916" t="s">
        <v>67</v>
      </c>
      <c r="G916" t="s">
        <v>29</v>
      </c>
      <c r="H916" s="3">
        <v>34534.435261226849</v>
      </c>
      <c r="I916">
        <v>8</v>
      </c>
      <c r="J916" s="3">
        <v>21889.292741050089</v>
      </c>
      <c r="K916" s="3">
        <v>12645.14252017676</v>
      </c>
    </row>
    <row r="917" spans="1:11" x14ac:dyDescent="0.3">
      <c r="A917" t="s">
        <v>993</v>
      </c>
      <c r="B917" s="2">
        <v>45047</v>
      </c>
      <c r="C917">
        <v>2023</v>
      </c>
      <c r="D917">
        <v>5</v>
      </c>
      <c r="E917" t="s">
        <v>54</v>
      </c>
      <c r="F917" t="s">
        <v>48</v>
      </c>
      <c r="G917" t="s">
        <v>29</v>
      </c>
      <c r="H917" s="3">
        <v>83996.359979763249</v>
      </c>
      <c r="I917">
        <v>20</v>
      </c>
      <c r="J917" s="3">
        <v>54043.095996260963</v>
      </c>
      <c r="K917" s="3">
        <v>29953.263983502289</v>
      </c>
    </row>
    <row r="918" spans="1:11" x14ac:dyDescent="0.3">
      <c r="A918" t="s">
        <v>994</v>
      </c>
      <c r="B918" s="2">
        <v>45047</v>
      </c>
      <c r="C918">
        <v>2023</v>
      </c>
      <c r="D918">
        <v>5</v>
      </c>
      <c r="E918" t="s">
        <v>58</v>
      </c>
      <c r="F918" t="s">
        <v>67</v>
      </c>
      <c r="G918" t="s">
        <v>29</v>
      </c>
      <c r="H918" s="3">
        <v>28216.001244664909</v>
      </c>
      <c r="I918">
        <v>7</v>
      </c>
      <c r="J918" s="3">
        <v>17571.559692944578</v>
      </c>
      <c r="K918" s="3">
        <v>10644.441551720331</v>
      </c>
    </row>
    <row r="919" spans="1:11" x14ac:dyDescent="0.3">
      <c r="A919" t="s">
        <v>995</v>
      </c>
      <c r="B919" s="2">
        <v>45047</v>
      </c>
      <c r="C919">
        <v>2023</v>
      </c>
      <c r="D919">
        <v>5</v>
      </c>
      <c r="E919" t="s">
        <v>58</v>
      </c>
      <c r="F919" t="s">
        <v>48</v>
      </c>
      <c r="G919" t="s">
        <v>29</v>
      </c>
      <c r="H919" s="3">
        <v>55834.8955938652</v>
      </c>
      <c r="I919">
        <v>13</v>
      </c>
      <c r="J919" s="3">
        <v>36558.256569164463</v>
      </c>
      <c r="K919" s="3">
        <v>19276.63902470074</v>
      </c>
    </row>
    <row r="920" spans="1:11" x14ac:dyDescent="0.3">
      <c r="A920" t="s">
        <v>996</v>
      </c>
      <c r="B920" s="2">
        <v>45047</v>
      </c>
      <c r="C920">
        <v>2023</v>
      </c>
      <c r="D920">
        <v>5</v>
      </c>
      <c r="E920" t="s">
        <v>62</v>
      </c>
      <c r="F920" t="s">
        <v>67</v>
      </c>
      <c r="G920" t="s">
        <v>29</v>
      </c>
      <c r="H920" s="3">
        <v>18815.940213933329</v>
      </c>
      <c r="I920">
        <v>4</v>
      </c>
      <c r="J920" s="3">
        <v>11897.96504493961</v>
      </c>
      <c r="K920" s="3">
        <v>6917.9751689937257</v>
      </c>
    </row>
    <row r="921" spans="1:11" x14ac:dyDescent="0.3">
      <c r="A921" t="s">
        <v>997</v>
      </c>
      <c r="B921" s="2">
        <v>45047</v>
      </c>
      <c r="C921">
        <v>2023</v>
      </c>
      <c r="D921">
        <v>5</v>
      </c>
      <c r="E921" t="s">
        <v>62</v>
      </c>
      <c r="F921" t="s">
        <v>48</v>
      </c>
      <c r="G921" t="s">
        <v>29</v>
      </c>
      <c r="H921" s="3">
        <v>39812.192742225532</v>
      </c>
      <c r="I921">
        <v>9</v>
      </c>
      <c r="J921" s="3">
        <v>25810.894614329209</v>
      </c>
      <c r="K921" s="3">
        <v>14001.29812789632</v>
      </c>
    </row>
    <row r="922" spans="1:11" x14ac:dyDescent="0.3">
      <c r="A922" t="s">
        <v>998</v>
      </c>
      <c r="B922" s="2">
        <v>45047</v>
      </c>
      <c r="C922">
        <v>2023</v>
      </c>
      <c r="D922">
        <v>5</v>
      </c>
      <c r="E922" t="s">
        <v>50</v>
      </c>
      <c r="F922" t="s">
        <v>67</v>
      </c>
      <c r="G922" t="s">
        <v>34</v>
      </c>
      <c r="H922" s="3">
        <v>41652.525947600217</v>
      </c>
      <c r="I922">
        <v>49</v>
      </c>
      <c r="J922" s="3">
        <v>19536.168122897121</v>
      </c>
      <c r="K922" s="3">
        <v>22116.3578247031</v>
      </c>
    </row>
    <row r="923" spans="1:11" x14ac:dyDescent="0.3">
      <c r="A923" t="s">
        <v>999</v>
      </c>
      <c r="B923" s="2">
        <v>45047</v>
      </c>
      <c r="C923">
        <v>2023</v>
      </c>
      <c r="D923">
        <v>5</v>
      </c>
      <c r="E923" t="s">
        <v>50</v>
      </c>
      <c r="F923" t="s">
        <v>48</v>
      </c>
      <c r="G923" t="s">
        <v>34</v>
      </c>
      <c r="H923" s="3">
        <v>94136.055939014681</v>
      </c>
      <c r="I923">
        <v>111</v>
      </c>
      <c r="J923" s="3">
        <v>45729.298288317637</v>
      </c>
      <c r="K923" s="3">
        <v>48406.757650697044</v>
      </c>
    </row>
    <row r="924" spans="1:11" x14ac:dyDescent="0.3">
      <c r="A924" t="s">
        <v>1000</v>
      </c>
      <c r="B924" s="2">
        <v>45047</v>
      </c>
      <c r="C924">
        <v>2023</v>
      </c>
      <c r="D924">
        <v>5</v>
      </c>
      <c r="E924" t="s">
        <v>54</v>
      </c>
      <c r="F924" t="s">
        <v>67</v>
      </c>
      <c r="G924" t="s">
        <v>34</v>
      </c>
      <c r="H924" s="3">
        <v>33301.620421109968</v>
      </c>
      <c r="I924">
        <v>39</v>
      </c>
      <c r="J924" s="3">
        <v>16178.11373665539</v>
      </c>
      <c r="K924" s="3">
        <v>17123.506684454569</v>
      </c>
    </row>
    <row r="925" spans="1:11" x14ac:dyDescent="0.3">
      <c r="A925" t="s">
        <v>1001</v>
      </c>
      <c r="B925" s="2">
        <v>45047</v>
      </c>
      <c r="C925">
        <v>2023</v>
      </c>
      <c r="D925">
        <v>5</v>
      </c>
      <c r="E925" t="s">
        <v>54</v>
      </c>
      <c r="F925" t="s">
        <v>48</v>
      </c>
      <c r="G925" t="s">
        <v>34</v>
      </c>
      <c r="H925" s="3">
        <v>72546.612022708388</v>
      </c>
      <c r="I925">
        <v>85</v>
      </c>
      <c r="J925" s="3">
        <v>35063.19267768901</v>
      </c>
      <c r="K925" s="3">
        <v>37483.419345019378</v>
      </c>
    </row>
    <row r="926" spans="1:11" x14ac:dyDescent="0.3">
      <c r="A926" t="s">
        <v>1002</v>
      </c>
      <c r="B926" s="2">
        <v>45047</v>
      </c>
      <c r="C926">
        <v>2023</v>
      </c>
      <c r="D926">
        <v>5</v>
      </c>
      <c r="E926" t="s">
        <v>58</v>
      </c>
      <c r="F926" t="s">
        <v>67</v>
      </c>
      <c r="G926" t="s">
        <v>34</v>
      </c>
      <c r="H926" s="3">
        <v>25149.285400659672</v>
      </c>
      <c r="I926">
        <v>30</v>
      </c>
      <c r="J926" s="3">
        <v>11855.57779198286</v>
      </c>
      <c r="K926" s="3">
        <v>13293.70760867681</v>
      </c>
    </row>
    <row r="927" spans="1:11" x14ac:dyDescent="0.3">
      <c r="A927" t="s">
        <v>1003</v>
      </c>
      <c r="B927" s="2">
        <v>45047</v>
      </c>
      <c r="C927">
        <v>2023</v>
      </c>
      <c r="D927">
        <v>5</v>
      </c>
      <c r="E927" t="s">
        <v>58</v>
      </c>
      <c r="F927" t="s">
        <v>48</v>
      </c>
      <c r="G927" t="s">
        <v>34</v>
      </c>
      <c r="H927" s="3">
        <v>52675.173588525802</v>
      </c>
      <c r="I927">
        <v>62</v>
      </c>
      <c r="J927" s="3">
        <v>25397.656072430331</v>
      </c>
      <c r="K927" s="3">
        <v>27277.517516095471</v>
      </c>
    </row>
    <row r="928" spans="1:11" x14ac:dyDescent="0.3">
      <c r="A928" t="s">
        <v>1004</v>
      </c>
      <c r="B928" s="2">
        <v>45047</v>
      </c>
      <c r="C928">
        <v>2023</v>
      </c>
      <c r="D928">
        <v>5</v>
      </c>
      <c r="E928" t="s">
        <v>62</v>
      </c>
      <c r="F928" t="s">
        <v>67</v>
      </c>
      <c r="G928" t="s">
        <v>34</v>
      </c>
      <c r="H928" s="3">
        <v>18072.611916103699</v>
      </c>
      <c r="I928">
        <v>21</v>
      </c>
      <c r="J928" s="3">
        <v>8490.1226115235131</v>
      </c>
      <c r="K928" s="3">
        <v>9582.4893045801891</v>
      </c>
    </row>
    <row r="929" spans="1:11" x14ac:dyDescent="0.3">
      <c r="A929" t="s">
        <v>1005</v>
      </c>
      <c r="B929" s="2">
        <v>45047</v>
      </c>
      <c r="C929">
        <v>2023</v>
      </c>
      <c r="D929">
        <v>5</v>
      </c>
      <c r="E929" t="s">
        <v>62</v>
      </c>
      <c r="F929" t="s">
        <v>48</v>
      </c>
      <c r="G929" t="s">
        <v>34</v>
      </c>
      <c r="H929" s="3">
        <v>37267.157865738642</v>
      </c>
      <c r="I929">
        <v>44</v>
      </c>
      <c r="J929" s="3">
        <v>17806.848978908522</v>
      </c>
      <c r="K929" s="3">
        <v>19460.30888683012</v>
      </c>
    </row>
    <row r="930" spans="1:11" x14ac:dyDescent="0.3">
      <c r="A930" t="s">
        <v>1006</v>
      </c>
      <c r="B930" s="2">
        <v>45047</v>
      </c>
      <c r="C930">
        <v>2023</v>
      </c>
      <c r="D930">
        <v>5</v>
      </c>
      <c r="E930" t="s">
        <v>50</v>
      </c>
      <c r="F930" t="s">
        <v>67</v>
      </c>
      <c r="G930" t="s">
        <v>37</v>
      </c>
      <c r="H930" s="3">
        <v>30916.917592489881</v>
      </c>
      <c r="I930">
        <v>43</v>
      </c>
      <c r="J930" s="3">
        <v>17319.384847976999</v>
      </c>
      <c r="K930" s="3">
        <v>13597.532744512881</v>
      </c>
    </row>
    <row r="931" spans="1:11" x14ac:dyDescent="0.3">
      <c r="A931" t="s">
        <v>1007</v>
      </c>
      <c r="B931" s="2">
        <v>45047</v>
      </c>
      <c r="C931">
        <v>2023</v>
      </c>
      <c r="D931">
        <v>5</v>
      </c>
      <c r="E931" t="s">
        <v>50</v>
      </c>
      <c r="F931" t="s">
        <v>48</v>
      </c>
      <c r="G931" t="s">
        <v>37</v>
      </c>
      <c r="H931" s="3">
        <v>76097.475434975946</v>
      </c>
      <c r="I931">
        <v>106</v>
      </c>
      <c r="J931" s="3">
        <v>42453.818841946988</v>
      </c>
      <c r="K931" s="3">
        <v>33643.656593028958</v>
      </c>
    </row>
    <row r="932" spans="1:11" x14ac:dyDescent="0.3">
      <c r="A932" t="s">
        <v>1008</v>
      </c>
      <c r="B932" s="2">
        <v>45047</v>
      </c>
      <c r="C932">
        <v>2023</v>
      </c>
      <c r="D932">
        <v>5</v>
      </c>
      <c r="E932" t="s">
        <v>54</v>
      </c>
      <c r="F932" t="s">
        <v>67</v>
      </c>
      <c r="G932" t="s">
        <v>37</v>
      </c>
      <c r="H932" s="3">
        <v>24399.919673328659</v>
      </c>
      <c r="I932">
        <v>34</v>
      </c>
      <c r="J932" s="3">
        <v>13423.62339985684</v>
      </c>
      <c r="K932" s="3">
        <v>10976.29627347182</v>
      </c>
    </row>
    <row r="933" spans="1:11" x14ac:dyDescent="0.3">
      <c r="A933" t="s">
        <v>1009</v>
      </c>
      <c r="B933" s="2">
        <v>45047</v>
      </c>
      <c r="C933">
        <v>2023</v>
      </c>
      <c r="D933">
        <v>5</v>
      </c>
      <c r="E933" t="s">
        <v>54</v>
      </c>
      <c r="F933" t="s">
        <v>48</v>
      </c>
      <c r="G933" t="s">
        <v>37</v>
      </c>
      <c r="H933" s="3">
        <v>57422.731305466717</v>
      </c>
      <c r="I933">
        <v>80</v>
      </c>
      <c r="J933" s="3">
        <v>31028.339262774909</v>
      </c>
      <c r="K933" s="3">
        <v>26394.392042691808</v>
      </c>
    </row>
    <row r="934" spans="1:11" x14ac:dyDescent="0.3">
      <c r="A934" t="s">
        <v>1010</v>
      </c>
      <c r="B934" s="2">
        <v>45047</v>
      </c>
      <c r="C934">
        <v>2023</v>
      </c>
      <c r="D934">
        <v>5</v>
      </c>
      <c r="E934" t="s">
        <v>58</v>
      </c>
      <c r="F934" t="s">
        <v>67</v>
      </c>
      <c r="G934" t="s">
        <v>37</v>
      </c>
      <c r="H934" s="3">
        <v>18137.934901162589</v>
      </c>
      <c r="I934">
        <v>25</v>
      </c>
      <c r="J934" s="3">
        <v>10091.78951181384</v>
      </c>
      <c r="K934" s="3">
        <v>8046.1453893487451</v>
      </c>
    </row>
    <row r="935" spans="1:11" x14ac:dyDescent="0.3">
      <c r="A935" t="s">
        <v>1011</v>
      </c>
      <c r="B935" s="2">
        <v>45047</v>
      </c>
      <c r="C935">
        <v>2023</v>
      </c>
      <c r="D935">
        <v>5</v>
      </c>
      <c r="E935" t="s">
        <v>58</v>
      </c>
      <c r="F935" t="s">
        <v>48</v>
      </c>
      <c r="G935" t="s">
        <v>37</v>
      </c>
      <c r="H935" s="3">
        <v>36426.620459479069</v>
      </c>
      <c r="I935">
        <v>51</v>
      </c>
      <c r="J935" s="3">
        <v>20041.630583311129</v>
      </c>
      <c r="K935" s="3">
        <v>16384.98987616794</v>
      </c>
    </row>
    <row r="936" spans="1:11" x14ac:dyDescent="0.3">
      <c r="A936" t="s">
        <v>1012</v>
      </c>
      <c r="B936" s="2">
        <v>45047</v>
      </c>
      <c r="C936">
        <v>2023</v>
      </c>
      <c r="D936">
        <v>5</v>
      </c>
      <c r="E936" t="s">
        <v>62</v>
      </c>
      <c r="F936" t="s">
        <v>67</v>
      </c>
      <c r="G936" t="s">
        <v>37</v>
      </c>
      <c r="H936" s="3">
        <v>13500.85417564335</v>
      </c>
      <c r="I936">
        <v>19</v>
      </c>
      <c r="J936" s="3">
        <v>7115.3399955253653</v>
      </c>
      <c r="K936" s="3">
        <v>6385.5141801179843</v>
      </c>
    </row>
    <row r="937" spans="1:11" x14ac:dyDescent="0.3">
      <c r="A937" t="s">
        <v>1013</v>
      </c>
      <c r="B937" s="2">
        <v>45047</v>
      </c>
      <c r="C937">
        <v>2023</v>
      </c>
      <c r="D937">
        <v>5</v>
      </c>
      <c r="E937" t="s">
        <v>62</v>
      </c>
      <c r="F937" t="s">
        <v>48</v>
      </c>
      <c r="G937" t="s">
        <v>37</v>
      </c>
      <c r="H937" s="3">
        <v>28663.284272020599</v>
      </c>
      <c r="I937">
        <v>40</v>
      </c>
      <c r="J937" s="3">
        <v>15986.89048740691</v>
      </c>
      <c r="K937" s="3">
        <v>12676.393784613691</v>
      </c>
    </row>
    <row r="938" spans="1:11" x14ac:dyDescent="0.3">
      <c r="A938" t="s">
        <v>1014</v>
      </c>
      <c r="B938" s="2">
        <v>45047</v>
      </c>
      <c r="C938">
        <v>2023</v>
      </c>
      <c r="D938">
        <v>5</v>
      </c>
      <c r="E938" t="s">
        <v>50</v>
      </c>
      <c r="F938" t="s">
        <v>67</v>
      </c>
      <c r="G938" t="s">
        <v>40</v>
      </c>
      <c r="H938" s="3">
        <v>32005.683046829909</v>
      </c>
      <c r="I938">
        <v>6</v>
      </c>
      <c r="J938" s="3">
        <v>22074.28849438265</v>
      </c>
      <c r="K938" s="3">
        <v>9931.3945524472583</v>
      </c>
    </row>
    <row r="939" spans="1:11" x14ac:dyDescent="0.3">
      <c r="A939" t="s">
        <v>1015</v>
      </c>
      <c r="B939" s="2">
        <v>45047</v>
      </c>
      <c r="C939">
        <v>2023</v>
      </c>
      <c r="D939">
        <v>5</v>
      </c>
      <c r="E939" t="s">
        <v>50</v>
      </c>
      <c r="F939" t="s">
        <v>48</v>
      </c>
      <c r="G939" t="s">
        <v>40</v>
      </c>
      <c r="H939" s="3">
        <v>69229.323547167485</v>
      </c>
      <c r="I939">
        <v>13</v>
      </c>
      <c r="J939" s="3">
        <v>48802.134737829801</v>
      </c>
      <c r="K939" s="3">
        <v>20427.18880933768</v>
      </c>
    </row>
    <row r="940" spans="1:11" x14ac:dyDescent="0.3">
      <c r="A940" t="s">
        <v>1016</v>
      </c>
      <c r="B940" s="2">
        <v>45047</v>
      </c>
      <c r="C940">
        <v>2023</v>
      </c>
      <c r="D940">
        <v>5</v>
      </c>
      <c r="E940" t="s">
        <v>54</v>
      </c>
      <c r="F940" t="s">
        <v>67</v>
      </c>
      <c r="G940" t="s">
        <v>40</v>
      </c>
      <c r="H940" s="3">
        <v>25276.785785168238</v>
      </c>
      <c r="I940">
        <v>5</v>
      </c>
      <c r="J940" s="3">
        <v>17097.135506708619</v>
      </c>
      <c r="K940" s="3">
        <v>8179.6502784596232</v>
      </c>
    </row>
    <row r="941" spans="1:11" x14ac:dyDescent="0.3">
      <c r="A941" t="s">
        <v>1017</v>
      </c>
      <c r="B941" s="2">
        <v>45047</v>
      </c>
      <c r="C941">
        <v>2023</v>
      </c>
      <c r="D941">
        <v>5</v>
      </c>
      <c r="E941" t="s">
        <v>54</v>
      </c>
      <c r="F941" t="s">
        <v>48</v>
      </c>
      <c r="G941" t="s">
        <v>40</v>
      </c>
      <c r="H941" s="3">
        <v>51332.534613451258</v>
      </c>
      <c r="I941">
        <v>10</v>
      </c>
      <c r="J941" s="3">
        <v>33394.141113362602</v>
      </c>
      <c r="K941" s="3">
        <v>17938.393500088659</v>
      </c>
    </row>
    <row r="942" spans="1:11" x14ac:dyDescent="0.3">
      <c r="A942" t="s">
        <v>1018</v>
      </c>
      <c r="B942" s="2">
        <v>45047</v>
      </c>
      <c r="C942">
        <v>2023</v>
      </c>
      <c r="D942">
        <v>5</v>
      </c>
      <c r="E942" t="s">
        <v>58</v>
      </c>
      <c r="F942" t="s">
        <v>67</v>
      </c>
      <c r="G942" t="s">
        <v>40</v>
      </c>
      <c r="H942" s="3">
        <v>15854.76929535021</v>
      </c>
      <c r="I942">
        <v>3</v>
      </c>
      <c r="J942" s="3">
        <v>10994.746956328079</v>
      </c>
      <c r="K942" s="3">
        <v>4860.0223390221254</v>
      </c>
    </row>
    <row r="943" spans="1:11" x14ac:dyDescent="0.3">
      <c r="A943" t="s">
        <v>1019</v>
      </c>
      <c r="B943" s="2">
        <v>45047</v>
      </c>
      <c r="C943">
        <v>2023</v>
      </c>
      <c r="D943">
        <v>5</v>
      </c>
      <c r="E943" t="s">
        <v>58</v>
      </c>
      <c r="F943" t="s">
        <v>48</v>
      </c>
      <c r="G943" t="s">
        <v>40</v>
      </c>
      <c r="H943" s="3">
        <v>38507.309130415619</v>
      </c>
      <c r="I943">
        <v>7</v>
      </c>
      <c r="J943" s="3">
        <v>26709.486771241351</v>
      </c>
      <c r="K943" s="3">
        <v>11797.822359174261</v>
      </c>
    </row>
    <row r="944" spans="1:11" x14ac:dyDescent="0.3">
      <c r="A944" t="s">
        <v>1020</v>
      </c>
      <c r="B944" s="2">
        <v>45047</v>
      </c>
      <c r="C944">
        <v>2023</v>
      </c>
      <c r="D944">
        <v>5</v>
      </c>
      <c r="E944" t="s">
        <v>62</v>
      </c>
      <c r="F944" t="s">
        <v>67</v>
      </c>
      <c r="G944" t="s">
        <v>40</v>
      </c>
      <c r="H944" s="3">
        <v>13793.03662729379</v>
      </c>
      <c r="I944">
        <v>3</v>
      </c>
      <c r="J944" s="3">
        <v>9227.5671364336795</v>
      </c>
      <c r="K944" s="3">
        <v>4565.4694908601068</v>
      </c>
    </row>
    <row r="945" spans="1:11" x14ac:dyDescent="0.3">
      <c r="A945" t="s">
        <v>1021</v>
      </c>
      <c r="B945" s="2">
        <v>45047</v>
      </c>
      <c r="C945">
        <v>2023</v>
      </c>
      <c r="D945">
        <v>5</v>
      </c>
      <c r="E945" t="s">
        <v>62</v>
      </c>
      <c r="F945" t="s">
        <v>48</v>
      </c>
      <c r="G945" t="s">
        <v>40</v>
      </c>
      <c r="H945" s="3">
        <v>27073.840034163011</v>
      </c>
      <c r="I945">
        <v>5</v>
      </c>
      <c r="J945" s="3">
        <v>18351.92221055807</v>
      </c>
      <c r="K945" s="3">
        <v>8721.9178236049411</v>
      </c>
    </row>
    <row r="946" spans="1:11" x14ac:dyDescent="0.3">
      <c r="A946" t="s">
        <v>1022</v>
      </c>
      <c r="B946" s="2">
        <v>45047</v>
      </c>
      <c r="C946">
        <v>2023</v>
      </c>
      <c r="D946">
        <v>5</v>
      </c>
      <c r="E946" t="s">
        <v>50</v>
      </c>
      <c r="F946" t="s">
        <v>67</v>
      </c>
      <c r="G946" t="s">
        <v>43</v>
      </c>
      <c r="H946" s="3">
        <v>65764.174740641742</v>
      </c>
      <c r="I946">
        <v>19</v>
      </c>
      <c r="J946" s="3">
        <v>40725.149973554588</v>
      </c>
      <c r="K946" s="3">
        <v>25039.02476708715</v>
      </c>
    </row>
    <row r="947" spans="1:11" x14ac:dyDescent="0.3">
      <c r="A947" t="s">
        <v>1023</v>
      </c>
      <c r="B947" s="2">
        <v>45047</v>
      </c>
      <c r="C947">
        <v>2023</v>
      </c>
      <c r="D947">
        <v>5</v>
      </c>
      <c r="E947" t="s">
        <v>50</v>
      </c>
      <c r="F947" t="s">
        <v>48</v>
      </c>
      <c r="G947" t="s">
        <v>43</v>
      </c>
      <c r="H947" s="3">
        <v>146541.9134990827</v>
      </c>
      <c r="I947">
        <v>42</v>
      </c>
      <c r="J947" s="3">
        <v>85984.114768827625</v>
      </c>
      <c r="K947" s="3">
        <v>60557.798730255097</v>
      </c>
    </row>
    <row r="948" spans="1:11" x14ac:dyDescent="0.3">
      <c r="A948" t="s">
        <v>1024</v>
      </c>
      <c r="B948" s="2">
        <v>45047</v>
      </c>
      <c r="C948">
        <v>2023</v>
      </c>
      <c r="D948">
        <v>5</v>
      </c>
      <c r="E948" t="s">
        <v>54</v>
      </c>
      <c r="F948" t="s">
        <v>67</v>
      </c>
      <c r="G948" t="s">
        <v>43</v>
      </c>
      <c r="H948" s="3">
        <v>59256.958181992348</v>
      </c>
      <c r="I948">
        <v>17</v>
      </c>
      <c r="J948" s="3">
        <v>35421.604313741707</v>
      </c>
      <c r="K948" s="3">
        <v>23835.353868250641</v>
      </c>
    </row>
    <row r="949" spans="1:11" x14ac:dyDescent="0.3">
      <c r="A949" t="s">
        <v>1025</v>
      </c>
      <c r="B949" s="2">
        <v>45047</v>
      </c>
      <c r="C949">
        <v>2023</v>
      </c>
      <c r="D949">
        <v>5</v>
      </c>
      <c r="E949" t="s">
        <v>54</v>
      </c>
      <c r="F949" t="s">
        <v>48</v>
      </c>
      <c r="G949" t="s">
        <v>43</v>
      </c>
      <c r="H949" s="3">
        <v>111931.1087680683</v>
      </c>
      <c r="I949">
        <v>32</v>
      </c>
      <c r="J949" s="3">
        <v>65265.909387015367</v>
      </c>
      <c r="K949" s="3">
        <v>46665.19938105288</v>
      </c>
    </row>
    <row r="950" spans="1:11" x14ac:dyDescent="0.3">
      <c r="A950" t="s">
        <v>1026</v>
      </c>
      <c r="B950" s="2">
        <v>45047</v>
      </c>
      <c r="C950">
        <v>2023</v>
      </c>
      <c r="D950">
        <v>5</v>
      </c>
      <c r="E950" t="s">
        <v>58</v>
      </c>
      <c r="F950" t="s">
        <v>67</v>
      </c>
      <c r="G950" t="s">
        <v>43</v>
      </c>
      <c r="H950" s="3">
        <v>38895.872023481192</v>
      </c>
      <c r="I950">
        <v>11</v>
      </c>
      <c r="J950" s="3">
        <v>22085.11437790552</v>
      </c>
      <c r="K950" s="3">
        <v>16810.757645575679</v>
      </c>
    </row>
    <row r="951" spans="1:11" x14ac:dyDescent="0.3">
      <c r="A951" t="s">
        <v>1027</v>
      </c>
      <c r="B951" s="2">
        <v>45047</v>
      </c>
      <c r="C951">
        <v>2023</v>
      </c>
      <c r="D951">
        <v>5</v>
      </c>
      <c r="E951" t="s">
        <v>58</v>
      </c>
      <c r="F951" t="s">
        <v>48</v>
      </c>
      <c r="G951" t="s">
        <v>43</v>
      </c>
      <c r="H951" s="3">
        <v>82105.205696712103</v>
      </c>
      <c r="I951">
        <v>23</v>
      </c>
      <c r="J951" s="3">
        <v>48293.613442520407</v>
      </c>
      <c r="K951" s="3">
        <v>33811.592254191703</v>
      </c>
    </row>
    <row r="952" spans="1:11" x14ac:dyDescent="0.3">
      <c r="A952" t="s">
        <v>1028</v>
      </c>
      <c r="B952" s="2">
        <v>45047</v>
      </c>
      <c r="C952">
        <v>2023</v>
      </c>
      <c r="D952">
        <v>5</v>
      </c>
      <c r="E952" t="s">
        <v>62</v>
      </c>
      <c r="F952" t="s">
        <v>67</v>
      </c>
      <c r="G952" t="s">
        <v>43</v>
      </c>
      <c r="H952" s="3">
        <v>29558.971123527601</v>
      </c>
      <c r="I952">
        <v>8</v>
      </c>
      <c r="J952" s="3">
        <v>17356.415369136321</v>
      </c>
      <c r="K952" s="3">
        <v>12202.55575439128</v>
      </c>
    </row>
    <row r="953" spans="1:11" x14ac:dyDescent="0.3">
      <c r="A953" t="s">
        <v>1029</v>
      </c>
      <c r="B953" s="2">
        <v>45047</v>
      </c>
      <c r="C953">
        <v>2023</v>
      </c>
      <c r="D953">
        <v>5</v>
      </c>
      <c r="E953" t="s">
        <v>62</v>
      </c>
      <c r="F953" t="s">
        <v>48</v>
      </c>
      <c r="G953" t="s">
        <v>43</v>
      </c>
      <c r="H953" s="3">
        <v>63224.005351585292</v>
      </c>
      <c r="I953">
        <v>18</v>
      </c>
      <c r="J953" s="3">
        <v>37033.669338000851</v>
      </c>
      <c r="K953" s="3">
        <v>26190.336013584441</v>
      </c>
    </row>
    <row r="954" spans="1:11" x14ac:dyDescent="0.3">
      <c r="A954" t="s">
        <v>1030</v>
      </c>
      <c r="B954" s="2">
        <v>45078</v>
      </c>
      <c r="C954">
        <v>2023</v>
      </c>
      <c r="D954">
        <v>6</v>
      </c>
      <c r="E954" t="s">
        <v>50</v>
      </c>
      <c r="F954" t="s">
        <v>67</v>
      </c>
      <c r="G954" t="s">
        <v>19</v>
      </c>
      <c r="H954" s="3">
        <v>60623.251543850893</v>
      </c>
      <c r="I954">
        <v>12</v>
      </c>
      <c r="J954" s="3">
        <v>37508.855070865138</v>
      </c>
      <c r="K954" s="3">
        <v>23114.396472985751</v>
      </c>
    </row>
    <row r="955" spans="1:11" x14ac:dyDescent="0.3">
      <c r="A955" t="s">
        <v>1031</v>
      </c>
      <c r="B955" s="2">
        <v>45078</v>
      </c>
      <c r="C955">
        <v>2023</v>
      </c>
      <c r="D955">
        <v>6</v>
      </c>
      <c r="E955" t="s">
        <v>50</v>
      </c>
      <c r="F955" t="s">
        <v>48</v>
      </c>
      <c r="G955" t="s">
        <v>19</v>
      </c>
      <c r="H955" s="3">
        <v>132173.24463245081</v>
      </c>
      <c r="I955">
        <v>25</v>
      </c>
      <c r="J955" s="3">
        <v>82337.221487391114</v>
      </c>
      <c r="K955" s="3">
        <v>49836.023145059662</v>
      </c>
    </row>
    <row r="956" spans="1:11" x14ac:dyDescent="0.3">
      <c r="A956" t="s">
        <v>1032</v>
      </c>
      <c r="B956" s="2">
        <v>45078</v>
      </c>
      <c r="C956">
        <v>2023</v>
      </c>
      <c r="D956">
        <v>6</v>
      </c>
      <c r="E956" t="s">
        <v>54</v>
      </c>
      <c r="F956" t="s">
        <v>67</v>
      </c>
      <c r="G956" t="s">
        <v>19</v>
      </c>
      <c r="H956" s="3">
        <v>50418.459126008223</v>
      </c>
      <c r="I956">
        <v>10</v>
      </c>
      <c r="J956" s="3">
        <v>31174.97835258572</v>
      </c>
      <c r="K956" s="3">
        <v>19243.480773422489</v>
      </c>
    </row>
    <row r="957" spans="1:11" x14ac:dyDescent="0.3">
      <c r="A957" t="s">
        <v>1033</v>
      </c>
      <c r="B957" s="2">
        <v>45078</v>
      </c>
      <c r="C957">
        <v>2023</v>
      </c>
      <c r="D957">
        <v>6</v>
      </c>
      <c r="E957" t="s">
        <v>54</v>
      </c>
      <c r="F957" t="s">
        <v>48</v>
      </c>
      <c r="G957" t="s">
        <v>19</v>
      </c>
      <c r="H957" s="3">
        <v>109245.1950859573</v>
      </c>
      <c r="I957">
        <v>21</v>
      </c>
      <c r="J957" s="3">
        <v>66190.974492748486</v>
      </c>
      <c r="K957" s="3">
        <v>43054.22059320884</v>
      </c>
    </row>
    <row r="958" spans="1:11" x14ac:dyDescent="0.3">
      <c r="A958" t="s">
        <v>1034</v>
      </c>
      <c r="B958" s="2">
        <v>45078</v>
      </c>
      <c r="C958">
        <v>2023</v>
      </c>
      <c r="D958">
        <v>6</v>
      </c>
      <c r="E958" t="s">
        <v>58</v>
      </c>
      <c r="F958" t="s">
        <v>67</v>
      </c>
      <c r="G958" t="s">
        <v>19</v>
      </c>
      <c r="H958" s="3">
        <v>34558.142355757212</v>
      </c>
      <c r="I958">
        <v>7</v>
      </c>
      <c r="J958" s="3">
        <v>21613.55459910557</v>
      </c>
      <c r="K958" s="3">
        <v>12944.587756651639</v>
      </c>
    </row>
    <row r="959" spans="1:11" x14ac:dyDescent="0.3">
      <c r="A959" t="s">
        <v>1035</v>
      </c>
      <c r="B959" s="2">
        <v>45078</v>
      </c>
      <c r="C959">
        <v>2023</v>
      </c>
      <c r="D959">
        <v>6</v>
      </c>
      <c r="E959" t="s">
        <v>58</v>
      </c>
      <c r="F959" t="s">
        <v>48</v>
      </c>
      <c r="G959" t="s">
        <v>19</v>
      </c>
      <c r="H959" s="3">
        <v>75573.553401077603</v>
      </c>
      <c r="I959">
        <v>15</v>
      </c>
      <c r="J959" s="3">
        <v>45211.501301652679</v>
      </c>
      <c r="K959" s="3">
        <v>30362.05209942492</v>
      </c>
    </row>
    <row r="960" spans="1:11" x14ac:dyDescent="0.3">
      <c r="A960" t="s">
        <v>1036</v>
      </c>
      <c r="B960" s="2">
        <v>45078</v>
      </c>
      <c r="C960">
        <v>2023</v>
      </c>
      <c r="D960">
        <v>6</v>
      </c>
      <c r="E960" t="s">
        <v>62</v>
      </c>
      <c r="F960" t="s">
        <v>67</v>
      </c>
      <c r="G960" t="s">
        <v>19</v>
      </c>
      <c r="H960" s="3">
        <v>23017.451971856561</v>
      </c>
      <c r="I960">
        <v>4</v>
      </c>
      <c r="J960" s="3">
        <v>13744.135134583419</v>
      </c>
      <c r="K960" s="3">
        <v>9273.3168372731488</v>
      </c>
    </row>
    <row r="961" spans="1:11" x14ac:dyDescent="0.3">
      <c r="A961" t="s">
        <v>1037</v>
      </c>
      <c r="B961" s="2">
        <v>45078</v>
      </c>
      <c r="C961">
        <v>2023</v>
      </c>
      <c r="D961">
        <v>6</v>
      </c>
      <c r="E961" t="s">
        <v>62</v>
      </c>
      <c r="F961" t="s">
        <v>48</v>
      </c>
      <c r="G961" t="s">
        <v>19</v>
      </c>
      <c r="H961" s="3">
        <v>57737.889806469429</v>
      </c>
      <c r="I961">
        <v>11</v>
      </c>
      <c r="J961" s="3">
        <v>36273.78621697495</v>
      </c>
      <c r="K961" s="3">
        <v>21464.10358949448</v>
      </c>
    </row>
    <row r="962" spans="1:11" x14ac:dyDescent="0.3">
      <c r="A962" t="s">
        <v>1038</v>
      </c>
      <c r="B962" s="2">
        <v>45078</v>
      </c>
      <c r="C962">
        <v>2023</v>
      </c>
      <c r="D962">
        <v>6</v>
      </c>
      <c r="E962" t="s">
        <v>50</v>
      </c>
      <c r="F962" t="s">
        <v>67</v>
      </c>
      <c r="G962" t="s">
        <v>24</v>
      </c>
      <c r="H962" s="3">
        <v>70041.173808927531</v>
      </c>
      <c r="I962">
        <v>11</v>
      </c>
      <c r="J962" s="3">
        <v>46649.060778554907</v>
      </c>
      <c r="K962" s="3">
        <v>23392.11303037262</v>
      </c>
    </row>
    <row r="963" spans="1:11" x14ac:dyDescent="0.3">
      <c r="A963" t="s">
        <v>1039</v>
      </c>
      <c r="B963" s="2">
        <v>45078</v>
      </c>
      <c r="C963">
        <v>2023</v>
      </c>
      <c r="D963">
        <v>6</v>
      </c>
      <c r="E963" t="s">
        <v>50</v>
      </c>
      <c r="F963" t="s">
        <v>48</v>
      </c>
      <c r="G963" t="s">
        <v>24</v>
      </c>
      <c r="H963" s="3">
        <v>142224.00672069559</v>
      </c>
      <c r="I963">
        <v>23</v>
      </c>
      <c r="J963" s="3">
        <v>93770.868010057369</v>
      </c>
      <c r="K963" s="3">
        <v>48453.138710638283</v>
      </c>
    </row>
    <row r="964" spans="1:11" x14ac:dyDescent="0.3">
      <c r="A964" t="s">
        <v>1040</v>
      </c>
      <c r="B964" s="2">
        <v>45078</v>
      </c>
      <c r="C964">
        <v>2023</v>
      </c>
      <c r="D964">
        <v>6</v>
      </c>
      <c r="E964" t="s">
        <v>54</v>
      </c>
      <c r="F964" t="s">
        <v>67</v>
      </c>
      <c r="G964" t="s">
        <v>24</v>
      </c>
      <c r="H964" s="3">
        <v>52578.144041082793</v>
      </c>
      <c r="I964">
        <v>9</v>
      </c>
      <c r="J964" s="3">
        <v>33829.938368393712</v>
      </c>
      <c r="K964" s="3">
        <v>18748.20567268907</v>
      </c>
    </row>
    <row r="965" spans="1:11" x14ac:dyDescent="0.3">
      <c r="A965" t="s">
        <v>1041</v>
      </c>
      <c r="B965" s="2">
        <v>45078</v>
      </c>
      <c r="C965">
        <v>2023</v>
      </c>
      <c r="D965">
        <v>6</v>
      </c>
      <c r="E965" t="s">
        <v>54</v>
      </c>
      <c r="F965" t="s">
        <v>48</v>
      </c>
      <c r="G965" t="s">
        <v>24</v>
      </c>
      <c r="H965" s="3">
        <v>99238.934794399553</v>
      </c>
      <c r="I965">
        <v>16</v>
      </c>
      <c r="J965" s="3">
        <v>64663.099311443963</v>
      </c>
      <c r="K965" s="3">
        <v>34575.835482955597</v>
      </c>
    </row>
    <row r="966" spans="1:11" x14ac:dyDescent="0.3">
      <c r="A966" t="s">
        <v>1042</v>
      </c>
      <c r="B966" s="2">
        <v>45078</v>
      </c>
      <c r="C966">
        <v>2023</v>
      </c>
      <c r="D966">
        <v>6</v>
      </c>
      <c r="E966" t="s">
        <v>58</v>
      </c>
      <c r="F966" t="s">
        <v>67</v>
      </c>
      <c r="G966" t="s">
        <v>24</v>
      </c>
      <c r="H966" s="3">
        <v>38449.305819884328</v>
      </c>
      <c r="I966">
        <v>6</v>
      </c>
      <c r="J966" s="3">
        <v>25256.524972070511</v>
      </c>
      <c r="K966" s="3">
        <v>13192.780847813819</v>
      </c>
    </row>
    <row r="967" spans="1:11" x14ac:dyDescent="0.3">
      <c r="A967" t="s">
        <v>1043</v>
      </c>
      <c r="B967" s="2">
        <v>45078</v>
      </c>
      <c r="C967">
        <v>2023</v>
      </c>
      <c r="D967">
        <v>6</v>
      </c>
      <c r="E967" t="s">
        <v>58</v>
      </c>
      <c r="F967" t="s">
        <v>48</v>
      </c>
      <c r="G967" t="s">
        <v>24</v>
      </c>
      <c r="H967" s="3">
        <v>77493.604364409897</v>
      </c>
      <c r="I967">
        <v>13</v>
      </c>
      <c r="J967" s="3">
        <v>49676.56055990875</v>
      </c>
      <c r="K967" s="3">
        <v>27817.043804501151</v>
      </c>
    </row>
    <row r="968" spans="1:11" x14ac:dyDescent="0.3">
      <c r="A968" t="s">
        <v>1044</v>
      </c>
      <c r="B968" s="2">
        <v>45078</v>
      </c>
      <c r="C968">
        <v>2023</v>
      </c>
      <c r="D968">
        <v>6</v>
      </c>
      <c r="E968" t="s">
        <v>62</v>
      </c>
      <c r="F968" t="s">
        <v>67</v>
      </c>
      <c r="G968" t="s">
        <v>24</v>
      </c>
      <c r="H968" s="3">
        <v>27298.10565436427</v>
      </c>
      <c r="I968">
        <v>4</v>
      </c>
      <c r="J968" s="3">
        <v>17777.081633107151</v>
      </c>
      <c r="K968" s="3">
        <v>9521.0240212571116</v>
      </c>
    </row>
    <row r="969" spans="1:11" x14ac:dyDescent="0.3">
      <c r="A969" t="s">
        <v>1045</v>
      </c>
      <c r="B969" s="2">
        <v>45078</v>
      </c>
      <c r="C969">
        <v>2023</v>
      </c>
      <c r="D969">
        <v>6</v>
      </c>
      <c r="E969" t="s">
        <v>62</v>
      </c>
      <c r="F969" t="s">
        <v>48</v>
      </c>
      <c r="G969" t="s">
        <v>24</v>
      </c>
      <c r="H969" s="3">
        <v>56905.510146412889</v>
      </c>
      <c r="I969">
        <v>9</v>
      </c>
      <c r="J969" s="3">
        <v>37998.636441886258</v>
      </c>
      <c r="K969" s="3">
        <v>18906.873704526632</v>
      </c>
    </row>
    <row r="970" spans="1:11" x14ac:dyDescent="0.3">
      <c r="A970" t="s">
        <v>1046</v>
      </c>
      <c r="B970" s="2">
        <v>45078</v>
      </c>
      <c r="C970">
        <v>2023</v>
      </c>
      <c r="D970">
        <v>6</v>
      </c>
      <c r="E970" t="s">
        <v>50</v>
      </c>
      <c r="F970" t="s">
        <v>67</v>
      </c>
      <c r="G970" t="s">
        <v>29</v>
      </c>
      <c r="H970" s="3">
        <v>45921.116531659929</v>
      </c>
      <c r="I970">
        <v>11</v>
      </c>
      <c r="J970" s="3">
        <v>30144.575192919121</v>
      </c>
      <c r="K970" s="3">
        <v>15776.54133874081</v>
      </c>
    </row>
    <row r="971" spans="1:11" x14ac:dyDescent="0.3">
      <c r="A971" t="s">
        <v>1047</v>
      </c>
      <c r="B971" s="2">
        <v>45078</v>
      </c>
      <c r="C971">
        <v>2023</v>
      </c>
      <c r="D971">
        <v>6</v>
      </c>
      <c r="E971" t="s">
        <v>50</v>
      </c>
      <c r="F971" t="s">
        <v>48</v>
      </c>
      <c r="G971" t="s">
        <v>29</v>
      </c>
      <c r="H971" s="3">
        <v>87682.949968000758</v>
      </c>
      <c r="I971">
        <v>20</v>
      </c>
      <c r="J971" s="3">
        <v>55693.413755021538</v>
      </c>
      <c r="K971" s="3">
        <v>31989.536212979219</v>
      </c>
    </row>
    <row r="972" spans="1:11" x14ac:dyDescent="0.3">
      <c r="A972" t="s">
        <v>1048</v>
      </c>
      <c r="B972" s="2">
        <v>45078</v>
      </c>
      <c r="C972">
        <v>2023</v>
      </c>
      <c r="D972">
        <v>6</v>
      </c>
      <c r="E972" t="s">
        <v>54</v>
      </c>
      <c r="F972" t="s">
        <v>67</v>
      </c>
      <c r="G972" t="s">
        <v>29</v>
      </c>
      <c r="H972" s="3">
        <v>34783.848780738503</v>
      </c>
      <c r="I972">
        <v>8</v>
      </c>
      <c r="J972" s="3">
        <v>22564.795621193651</v>
      </c>
      <c r="K972" s="3">
        <v>12219.05315954485</v>
      </c>
    </row>
    <row r="973" spans="1:11" x14ac:dyDescent="0.3">
      <c r="A973" t="s">
        <v>1049</v>
      </c>
      <c r="B973" s="2">
        <v>45078</v>
      </c>
      <c r="C973">
        <v>2023</v>
      </c>
      <c r="D973">
        <v>6</v>
      </c>
      <c r="E973" t="s">
        <v>54</v>
      </c>
      <c r="F973" t="s">
        <v>48</v>
      </c>
      <c r="G973" t="s">
        <v>29</v>
      </c>
      <c r="H973" s="3">
        <v>74509.451021826666</v>
      </c>
      <c r="I973">
        <v>17</v>
      </c>
      <c r="J973" s="3">
        <v>46043.117344221297</v>
      </c>
      <c r="K973" s="3">
        <v>28466.333677605358</v>
      </c>
    </row>
    <row r="974" spans="1:11" x14ac:dyDescent="0.3">
      <c r="A974" t="s">
        <v>1050</v>
      </c>
      <c r="B974" s="2">
        <v>45078</v>
      </c>
      <c r="C974">
        <v>2023</v>
      </c>
      <c r="D974">
        <v>6</v>
      </c>
      <c r="E974" t="s">
        <v>58</v>
      </c>
      <c r="F974" t="s">
        <v>67</v>
      </c>
      <c r="G974" t="s">
        <v>29</v>
      </c>
      <c r="H974" s="3">
        <v>25211.813770518031</v>
      </c>
      <c r="I974">
        <v>6</v>
      </c>
      <c r="J974" s="3">
        <v>16327.09189400865</v>
      </c>
      <c r="K974" s="3">
        <v>8884.7218765093839</v>
      </c>
    </row>
    <row r="975" spans="1:11" x14ac:dyDescent="0.3">
      <c r="A975" t="s">
        <v>1051</v>
      </c>
      <c r="B975" s="2">
        <v>45078</v>
      </c>
      <c r="C975">
        <v>2023</v>
      </c>
      <c r="D975">
        <v>6</v>
      </c>
      <c r="E975" t="s">
        <v>58</v>
      </c>
      <c r="F975" t="s">
        <v>48</v>
      </c>
      <c r="G975" t="s">
        <v>29</v>
      </c>
      <c r="H975" s="3">
        <v>52980.05720435187</v>
      </c>
      <c r="I975">
        <v>12</v>
      </c>
      <c r="J975" s="3">
        <v>33416.562566606663</v>
      </c>
      <c r="K975" s="3">
        <v>19563.494637745211</v>
      </c>
    </row>
    <row r="976" spans="1:11" x14ac:dyDescent="0.3">
      <c r="A976" t="s">
        <v>1052</v>
      </c>
      <c r="B976" s="2">
        <v>45078</v>
      </c>
      <c r="C976">
        <v>2023</v>
      </c>
      <c r="D976">
        <v>6</v>
      </c>
      <c r="E976" t="s">
        <v>62</v>
      </c>
      <c r="F976" t="s">
        <v>67</v>
      </c>
      <c r="G976" t="s">
        <v>29</v>
      </c>
      <c r="H976" s="3">
        <v>18334.485409785531</v>
      </c>
      <c r="I976">
        <v>4</v>
      </c>
      <c r="J976" s="3">
        <v>11798.98613557812</v>
      </c>
      <c r="K976" s="3">
        <v>6535.4992742074082</v>
      </c>
    </row>
    <row r="977" spans="1:11" x14ac:dyDescent="0.3">
      <c r="A977" t="s">
        <v>1053</v>
      </c>
      <c r="B977" s="2">
        <v>45078</v>
      </c>
      <c r="C977">
        <v>2023</v>
      </c>
      <c r="D977">
        <v>6</v>
      </c>
      <c r="E977" t="s">
        <v>62</v>
      </c>
      <c r="F977" t="s">
        <v>48</v>
      </c>
      <c r="G977" t="s">
        <v>29</v>
      </c>
      <c r="H977" s="3">
        <v>38875.96431572258</v>
      </c>
      <c r="I977">
        <v>9</v>
      </c>
      <c r="J977" s="3">
        <v>24769.6609668169</v>
      </c>
      <c r="K977" s="3">
        <v>14106.30334890568</v>
      </c>
    </row>
    <row r="978" spans="1:11" x14ac:dyDescent="0.3">
      <c r="A978" t="s">
        <v>1054</v>
      </c>
      <c r="B978" s="2">
        <v>45078</v>
      </c>
      <c r="C978">
        <v>2023</v>
      </c>
      <c r="D978">
        <v>6</v>
      </c>
      <c r="E978" t="s">
        <v>50</v>
      </c>
      <c r="F978" t="s">
        <v>67</v>
      </c>
      <c r="G978" t="s">
        <v>34</v>
      </c>
      <c r="H978" s="3">
        <v>43566.078654248653</v>
      </c>
      <c r="I978">
        <v>51</v>
      </c>
      <c r="J978" s="3">
        <v>21408.73600567878</v>
      </c>
      <c r="K978" s="3">
        <v>22157.34264856988</v>
      </c>
    </row>
    <row r="979" spans="1:11" x14ac:dyDescent="0.3">
      <c r="A979" t="s">
        <v>1055</v>
      </c>
      <c r="B979" s="2">
        <v>45078</v>
      </c>
      <c r="C979">
        <v>2023</v>
      </c>
      <c r="D979">
        <v>6</v>
      </c>
      <c r="E979" t="s">
        <v>50</v>
      </c>
      <c r="F979" t="s">
        <v>48</v>
      </c>
      <c r="G979" t="s">
        <v>34</v>
      </c>
      <c r="H979" s="3">
        <v>93427.066711326319</v>
      </c>
      <c r="I979">
        <v>110</v>
      </c>
      <c r="J979" s="3">
        <v>44139.138947321488</v>
      </c>
      <c r="K979" s="3">
        <v>49287.927764004831</v>
      </c>
    </row>
    <row r="980" spans="1:11" x14ac:dyDescent="0.3">
      <c r="A980" t="s">
        <v>1056</v>
      </c>
      <c r="B980" s="2">
        <v>45078</v>
      </c>
      <c r="C980">
        <v>2023</v>
      </c>
      <c r="D980">
        <v>6</v>
      </c>
      <c r="E980" t="s">
        <v>54</v>
      </c>
      <c r="F980" t="s">
        <v>67</v>
      </c>
      <c r="G980" t="s">
        <v>34</v>
      </c>
      <c r="H980" s="3">
        <v>38014.281947954863</v>
      </c>
      <c r="I980">
        <v>45</v>
      </c>
      <c r="J980" s="3">
        <v>18452.988478759558</v>
      </c>
      <c r="K980" s="3">
        <v>19561.293469195291</v>
      </c>
    </row>
    <row r="981" spans="1:11" x14ac:dyDescent="0.3">
      <c r="A981" t="s">
        <v>1057</v>
      </c>
      <c r="B981" s="2">
        <v>45078</v>
      </c>
      <c r="C981">
        <v>2023</v>
      </c>
      <c r="D981">
        <v>6</v>
      </c>
      <c r="E981" t="s">
        <v>54</v>
      </c>
      <c r="F981" t="s">
        <v>48</v>
      </c>
      <c r="G981" t="s">
        <v>34</v>
      </c>
      <c r="H981" s="3">
        <v>76630.602362104721</v>
      </c>
      <c r="I981">
        <v>90</v>
      </c>
      <c r="J981" s="3">
        <v>36597.630483415967</v>
      </c>
      <c r="K981" s="3">
        <v>40032.971878688753</v>
      </c>
    </row>
    <row r="982" spans="1:11" x14ac:dyDescent="0.3">
      <c r="A982" t="s">
        <v>1058</v>
      </c>
      <c r="B982" s="2">
        <v>45078</v>
      </c>
      <c r="C982">
        <v>2023</v>
      </c>
      <c r="D982">
        <v>6</v>
      </c>
      <c r="E982" t="s">
        <v>58</v>
      </c>
      <c r="F982" t="s">
        <v>67</v>
      </c>
      <c r="G982" t="s">
        <v>34</v>
      </c>
      <c r="H982" s="3">
        <v>25781.28453414515</v>
      </c>
      <c r="I982">
        <v>30</v>
      </c>
      <c r="J982" s="3">
        <v>12339.75398392862</v>
      </c>
      <c r="K982" s="3">
        <v>13441.53055021653</v>
      </c>
    </row>
    <row r="983" spans="1:11" x14ac:dyDescent="0.3">
      <c r="A983" t="s">
        <v>1059</v>
      </c>
      <c r="B983" s="2">
        <v>45078</v>
      </c>
      <c r="C983">
        <v>2023</v>
      </c>
      <c r="D983">
        <v>6</v>
      </c>
      <c r="E983" t="s">
        <v>58</v>
      </c>
      <c r="F983" t="s">
        <v>48</v>
      </c>
      <c r="G983" t="s">
        <v>34</v>
      </c>
      <c r="H983" s="3">
        <v>53648.15909035076</v>
      </c>
      <c r="I983">
        <v>63</v>
      </c>
      <c r="J983" s="3">
        <v>25665.896389429541</v>
      </c>
      <c r="K983" s="3">
        <v>27982.262700921219</v>
      </c>
    </row>
    <row r="984" spans="1:11" x14ac:dyDescent="0.3">
      <c r="A984" t="s">
        <v>1060</v>
      </c>
      <c r="B984" s="2">
        <v>45078</v>
      </c>
      <c r="C984">
        <v>2023</v>
      </c>
      <c r="D984">
        <v>6</v>
      </c>
      <c r="E984" t="s">
        <v>62</v>
      </c>
      <c r="F984" t="s">
        <v>67</v>
      </c>
      <c r="G984" t="s">
        <v>34</v>
      </c>
      <c r="H984" s="3">
        <v>18641.242638672189</v>
      </c>
      <c r="I984">
        <v>22</v>
      </c>
      <c r="J984" s="3">
        <v>8811.5920718699763</v>
      </c>
      <c r="K984" s="3">
        <v>9829.6505668022091</v>
      </c>
    </row>
    <row r="985" spans="1:11" x14ac:dyDescent="0.3">
      <c r="A985" t="s">
        <v>1061</v>
      </c>
      <c r="B985" s="2">
        <v>45078</v>
      </c>
      <c r="C985">
        <v>2023</v>
      </c>
      <c r="D985">
        <v>6</v>
      </c>
      <c r="E985" t="s">
        <v>62</v>
      </c>
      <c r="F985" t="s">
        <v>48</v>
      </c>
      <c r="G985" t="s">
        <v>34</v>
      </c>
      <c r="H985" s="3">
        <v>36266.450323008568</v>
      </c>
      <c r="I985">
        <v>43</v>
      </c>
      <c r="J985" s="3">
        <v>17403.47835502497</v>
      </c>
      <c r="K985" s="3">
        <v>18862.971967983602</v>
      </c>
    </row>
    <row r="986" spans="1:11" x14ac:dyDescent="0.3">
      <c r="A986" t="s">
        <v>1062</v>
      </c>
      <c r="B986" s="2">
        <v>45078</v>
      </c>
      <c r="C986">
        <v>2023</v>
      </c>
      <c r="D986">
        <v>6</v>
      </c>
      <c r="E986" t="s">
        <v>50</v>
      </c>
      <c r="F986" t="s">
        <v>67</v>
      </c>
      <c r="G986" t="s">
        <v>37</v>
      </c>
      <c r="H986" s="3">
        <v>32168.13388558495</v>
      </c>
      <c r="I986">
        <v>45</v>
      </c>
      <c r="J986" s="3">
        <v>17672.522400742331</v>
      </c>
      <c r="K986" s="3">
        <v>14495.61148484262</v>
      </c>
    </row>
    <row r="987" spans="1:11" x14ac:dyDescent="0.3">
      <c r="A987" t="s">
        <v>1063</v>
      </c>
      <c r="B987" s="2">
        <v>45078</v>
      </c>
      <c r="C987">
        <v>2023</v>
      </c>
      <c r="D987">
        <v>6</v>
      </c>
      <c r="E987" t="s">
        <v>50</v>
      </c>
      <c r="F987" t="s">
        <v>48</v>
      </c>
      <c r="G987" t="s">
        <v>37</v>
      </c>
      <c r="H987" s="3">
        <v>73757.554084486852</v>
      </c>
      <c r="I987">
        <v>102</v>
      </c>
      <c r="J987" s="3">
        <v>40742.808324092999</v>
      </c>
      <c r="K987" s="3">
        <v>33014.745760393853</v>
      </c>
    </row>
    <row r="988" spans="1:11" x14ac:dyDescent="0.3">
      <c r="A988" t="s">
        <v>1064</v>
      </c>
      <c r="B988" s="2">
        <v>45078</v>
      </c>
      <c r="C988">
        <v>2023</v>
      </c>
      <c r="D988">
        <v>6</v>
      </c>
      <c r="E988" t="s">
        <v>54</v>
      </c>
      <c r="F988" t="s">
        <v>67</v>
      </c>
      <c r="G988" t="s">
        <v>37</v>
      </c>
      <c r="H988" s="3">
        <v>26952.665899394149</v>
      </c>
      <c r="I988">
        <v>37</v>
      </c>
      <c r="J988" s="3">
        <v>14846.51487035731</v>
      </c>
      <c r="K988" s="3">
        <v>12106.151029036841</v>
      </c>
    </row>
    <row r="989" spans="1:11" x14ac:dyDescent="0.3">
      <c r="A989" t="s">
        <v>1065</v>
      </c>
      <c r="B989" s="2">
        <v>45078</v>
      </c>
      <c r="C989">
        <v>2023</v>
      </c>
      <c r="D989">
        <v>6</v>
      </c>
      <c r="E989" t="s">
        <v>54</v>
      </c>
      <c r="F989" t="s">
        <v>48</v>
      </c>
      <c r="G989" t="s">
        <v>37</v>
      </c>
      <c r="H989" s="3">
        <v>57292.465568005238</v>
      </c>
      <c r="I989">
        <v>80</v>
      </c>
      <c r="J989" s="3">
        <v>31963.474907448319</v>
      </c>
      <c r="K989" s="3">
        <v>25328.990660556919</v>
      </c>
    </row>
    <row r="990" spans="1:11" x14ac:dyDescent="0.3">
      <c r="A990" t="s">
        <v>1066</v>
      </c>
      <c r="B990" s="2">
        <v>45078</v>
      </c>
      <c r="C990">
        <v>2023</v>
      </c>
      <c r="D990">
        <v>6</v>
      </c>
      <c r="E990" t="s">
        <v>58</v>
      </c>
      <c r="F990" t="s">
        <v>67</v>
      </c>
      <c r="G990" t="s">
        <v>37</v>
      </c>
      <c r="H990" s="3">
        <v>18921.691528021271</v>
      </c>
      <c r="I990">
        <v>26</v>
      </c>
      <c r="J990" s="3">
        <v>10579.92635745925</v>
      </c>
      <c r="K990" s="3">
        <v>8341.765170562021</v>
      </c>
    </row>
    <row r="991" spans="1:11" x14ac:dyDescent="0.3">
      <c r="A991" t="s">
        <v>1067</v>
      </c>
      <c r="B991" s="2">
        <v>45078</v>
      </c>
      <c r="C991">
        <v>2023</v>
      </c>
      <c r="D991">
        <v>6</v>
      </c>
      <c r="E991" t="s">
        <v>58</v>
      </c>
      <c r="F991" t="s">
        <v>48</v>
      </c>
      <c r="G991" t="s">
        <v>37</v>
      </c>
      <c r="H991" s="3">
        <v>39964.069293341418</v>
      </c>
      <c r="I991">
        <v>56</v>
      </c>
      <c r="J991" s="3">
        <v>21564.564997313992</v>
      </c>
      <c r="K991" s="3">
        <v>18399.50429602744</v>
      </c>
    </row>
    <row r="992" spans="1:11" x14ac:dyDescent="0.3">
      <c r="A992" t="s">
        <v>1068</v>
      </c>
      <c r="B992" s="2">
        <v>45078</v>
      </c>
      <c r="C992">
        <v>2023</v>
      </c>
      <c r="D992">
        <v>6</v>
      </c>
      <c r="E992" t="s">
        <v>62</v>
      </c>
      <c r="F992" t="s">
        <v>67</v>
      </c>
      <c r="G992" t="s">
        <v>37</v>
      </c>
      <c r="H992" s="3">
        <v>14847.91376621052</v>
      </c>
      <c r="I992">
        <v>21</v>
      </c>
      <c r="J992" s="3">
        <v>8294.0572172109332</v>
      </c>
      <c r="K992" s="3">
        <v>6553.8565489995872</v>
      </c>
    </row>
    <row r="993" spans="1:11" x14ac:dyDescent="0.3">
      <c r="A993" t="s">
        <v>1069</v>
      </c>
      <c r="B993" s="2">
        <v>45078</v>
      </c>
      <c r="C993">
        <v>2023</v>
      </c>
      <c r="D993">
        <v>6</v>
      </c>
      <c r="E993" t="s">
        <v>62</v>
      </c>
      <c r="F993" t="s">
        <v>48</v>
      </c>
      <c r="G993" t="s">
        <v>37</v>
      </c>
      <c r="H993" s="3">
        <v>31291.845950560859</v>
      </c>
      <c r="I993">
        <v>43</v>
      </c>
      <c r="J993" s="3">
        <v>16843.00097125414</v>
      </c>
      <c r="K993" s="3">
        <v>14448.844979306719</v>
      </c>
    </row>
    <row r="994" spans="1:11" x14ac:dyDescent="0.3">
      <c r="A994" t="s">
        <v>1070</v>
      </c>
      <c r="B994" s="2">
        <v>45078</v>
      </c>
      <c r="C994">
        <v>2023</v>
      </c>
      <c r="D994">
        <v>6</v>
      </c>
      <c r="E994" t="s">
        <v>50</v>
      </c>
      <c r="F994" t="s">
        <v>67</v>
      </c>
      <c r="G994" t="s">
        <v>40</v>
      </c>
      <c r="H994" s="3">
        <v>33211.442547840437</v>
      </c>
      <c r="I994">
        <v>6</v>
      </c>
      <c r="J994" s="3">
        <v>23158.37775033668</v>
      </c>
      <c r="K994" s="3">
        <v>10053.064797503759</v>
      </c>
    </row>
    <row r="995" spans="1:11" x14ac:dyDescent="0.3">
      <c r="A995" t="s">
        <v>1071</v>
      </c>
      <c r="B995" s="2">
        <v>45078</v>
      </c>
      <c r="C995">
        <v>2023</v>
      </c>
      <c r="D995">
        <v>6</v>
      </c>
      <c r="E995" t="s">
        <v>50</v>
      </c>
      <c r="F995" t="s">
        <v>48</v>
      </c>
      <c r="G995" t="s">
        <v>40</v>
      </c>
      <c r="H995" s="3">
        <v>66569.945699397984</v>
      </c>
      <c r="I995">
        <v>12</v>
      </c>
      <c r="J995" s="3">
        <v>46445.661769973478</v>
      </c>
      <c r="K995" s="3">
        <v>20124.28392942451</v>
      </c>
    </row>
    <row r="996" spans="1:11" x14ac:dyDescent="0.3">
      <c r="A996" t="s">
        <v>1072</v>
      </c>
      <c r="B996" s="2">
        <v>45078</v>
      </c>
      <c r="C996">
        <v>2023</v>
      </c>
      <c r="D996">
        <v>6</v>
      </c>
      <c r="E996" t="s">
        <v>54</v>
      </c>
      <c r="F996" t="s">
        <v>67</v>
      </c>
      <c r="G996" t="s">
        <v>40</v>
      </c>
      <c r="H996" s="3">
        <v>24107.513080635181</v>
      </c>
      <c r="I996">
        <v>4</v>
      </c>
      <c r="J996" s="3">
        <v>16061.90648130822</v>
      </c>
      <c r="K996" s="3">
        <v>8045.6065993269603</v>
      </c>
    </row>
    <row r="997" spans="1:11" x14ac:dyDescent="0.3">
      <c r="A997" t="s">
        <v>1073</v>
      </c>
      <c r="B997" s="2">
        <v>45078</v>
      </c>
      <c r="C997">
        <v>2023</v>
      </c>
      <c r="D997">
        <v>6</v>
      </c>
      <c r="E997" t="s">
        <v>54</v>
      </c>
      <c r="F997" t="s">
        <v>48</v>
      </c>
      <c r="G997" t="s">
        <v>40</v>
      </c>
      <c r="H997" s="3">
        <v>50307.348593045193</v>
      </c>
      <c r="I997">
        <v>9</v>
      </c>
      <c r="J997" s="3">
        <v>34770.165568140234</v>
      </c>
      <c r="K997" s="3">
        <v>15537.183024904951</v>
      </c>
    </row>
    <row r="998" spans="1:11" x14ac:dyDescent="0.3">
      <c r="A998" t="s">
        <v>1074</v>
      </c>
      <c r="B998" s="2">
        <v>45078</v>
      </c>
      <c r="C998">
        <v>2023</v>
      </c>
      <c r="D998">
        <v>6</v>
      </c>
      <c r="E998" t="s">
        <v>58</v>
      </c>
      <c r="F998" t="s">
        <v>67</v>
      </c>
      <c r="G998" t="s">
        <v>40</v>
      </c>
      <c r="H998" s="3">
        <v>17061.079868483459</v>
      </c>
      <c r="I998">
        <v>3</v>
      </c>
      <c r="J998" s="3">
        <v>11672.871433120799</v>
      </c>
      <c r="K998" s="3">
        <v>5388.2084353626542</v>
      </c>
    </row>
    <row r="999" spans="1:11" x14ac:dyDescent="0.3">
      <c r="A999" t="s">
        <v>1075</v>
      </c>
      <c r="B999" s="2">
        <v>45078</v>
      </c>
      <c r="C999">
        <v>2023</v>
      </c>
      <c r="D999">
        <v>6</v>
      </c>
      <c r="E999" t="s">
        <v>58</v>
      </c>
      <c r="F999" t="s">
        <v>48</v>
      </c>
      <c r="G999" t="s">
        <v>40</v>
      </c>
      <c r="H999" s="3">
        <v>37879.570462706477</v>
      </c>
      <c r="I999">
        <v>7</v>
      </c>
      <c r="J999" s="3">
        <v>25779.93167977397</v>
      </c>
      <c r="K999" s="3">
        <v>12099.63878293251</v>
      </c>
    </row>
    <row r="1000" spans="1:11" x14ac:dyDescent="0.3">
      <c r="A1000" t="s">
        <v>1076</v>
      </c>
      <c r="B1000" s="2">
        <v>45078</v>
      </c>
      <c r="C1000">
        <v>2023</v>
      </c>
      <c r="D1000">
        <v>6</v>
      </c>
      <c r="E1000" t="s">
        <v>62</v>
      </c>
      <c r="F1000" t="s">
        <v>67</v>
      </c>
      <c r="G1000" t="s">
        <v>40</v>
      </c>
      <c r="H1000" s="3">
        <v>13183.939090353189</v>
      </c>
      <c r="I1000">
        <v>2</v>
      </c>
      <c r="J1000" s="3">
        <v>9318.1126435558235</v>
      </c>
      <c r="K1000" s="3">
        <v>3865.8264467973622</v>
      </c>
    </row>
    <row r="1001" spans="1:11" x14ac:dyDescent="0.3">
      <c r="A1001" t="s">
        <v>1077</v>
      </c>
      <c r="B1001" s="2">
        <v>45078</v>
      </c>
      <c r="C1001">
        <v>2023</v>
      </c>
      <c r="D1001">
        <v>6</v>
      </c>
      <c r="E1001" t="s">
        <v>62</v>
      </c>
      <c r="F1001" t="s">
        <v>48</v>
      </c>
      <c r="G1001" t="s">
        <v>40</v>
      </c>
      <c r="H1001" s="3">
        <v>28971.05448092792</v>
      </c>
      <c r="I1001">
        <v>5</v>
      </c>
      <c r="J1001" s="3">
        <v>19754.82043880432</v>
      </c>
      <c r="K1001" s="3">
        <v>9216.234042123604</v>
      </c>
    </row>
    <row r="1002" spans="1:11" x14ac:dyDescent="0.3">
      <c r="A1002" t="s">
        <v>1078</v>
      </c>
      <c r="B1002" s="2">
        <v>45078</v>
      </c>
      <c r="C1002">
        <v>2023</v>
      </c>
      <c r="D1002">
        <v>6</v>
      </c>
      <c r="E1002" t="s">
        <v>50</v>
      </c>
      <c r="F1002" t="s">
        <v>67</v>
      </c>
      <c r="G1002" t="s">
        <v>43</v>
      </c>
      <c r="H1002" s="3">
        <v>64440.992231644021</v>
      </c>
      <c r="I1002">
        <v>18</v>
      </c>
      <c r="J1002" s="3">
        <v>37468.330610175697</v>
      </c>
      <c r="K1002" s="3">
        <v>26972.66162146832</v>
      </c>
    </row>
    <row r="1003" spans="1:11" x14ac:dyDescent="0.3">
      <c r="A1003" t="s">
        <v>1079</v>
      </c>
      <c r="B1003" s="2">
        <v>45078</v>
      </c>
      <c r="C1003">
        <v>2023</v>
      </c>
      <c r="D1003">
        <v>6</v>
      </c>
      <c r="E1003" t="s">
        <v>50</v>
      </c>
      <c r="F1003" t="s">
        <v>48</v>
      </c>
      <c r="G1003" t="s">
        <v>43</v>
      </c>
      <c r="H1003" s="3">
        <v>139981.93321093</v>
      </c>
      <c r="I1003">
        <v>40</v>
      </c>
      <c r="J1003" s="3">
        <v>82701.869307713147</v>
      </c>
      <c r="K1003" s="3">
        <v>57280.063903216847</v>
      </c>
    </row>
    <row r="1004" spans="1:11" x14ac:dyDescent="0.3">
      <c r="A1004" t="s">
        <v>1080</v>
      </c>
      <c r="B1004" s="2">
        <v>45078</v>
      </c>
      <c r="C1004">
        <v>2023</v>
      </c>
      <c r="D1004">
        <v>6</v>
      </c>
      <c r="E1004" t="s">
        <v>54</v>
      </c>
      <c r="F1004" t="s">
        <v>67</v>
      </c>
      <c r="G1004" t="s">
        <v>43</v>
      </c>
      <c r="H1004" s="3">
        <v>46744.550998744613</v>
      </c>
      <c r="I1004">
        <v>13</v>
      </c>
      <c r="J1004" s="3">
        <v>27919.630440473189</v>
      </c>
      <c r="K1004" s="3">
        <v>18824.92055827142</v>
      </c>
    </row>
    <row r="1005" spans="1:11" x14ac:dyDescent="0.3">
      <c r="A1005" t="s">
        <v>1081</v>
      </c>
      <c r="B1005" s="2">
        <v>45078</v>
      </c>
      <c r="C1005">
        <v>2023</v>
      </c>
      <c r="D1005">
        <v>6</v>
      </c>
      <c r="E1005" t="s">
        <v>54</v>
      </c>
      <c r="F1005" t="s">
        <v>48</v>
      </c>
      <c r="G1005" t="s">
        <v>43</v>
      </c>
      <c r="H1005" s="3">
        <v>112576.0781711554</v>
      </c>
      <c r="I1005">
        <v>32</v>
      </c>
      <c r="J1005" s="3">
        <v>66250.537027845843</v>
      </c>
      <c r="K1005" s="3">
        <v>46325.541143309529</v>
      </c>
    </row>
    <row r="1006" spans="1:11" x14ac:dyDescent="0.3">
      <c r="A1006" t="s">
        <v>1082</v>
      </c>
      <c r="B1006" s="2">
        <v>45078</v>
      </c>
      <c r="C1006">
        <v>2023</v>
      </c>
      <c r="D1006">
        <v>6</v>
      </c>
      <c r="E1006" t="s">
        <v>58</v>
      </c>
      <c r="F1006" t="s">
        <v>67</v>
      </c>
      <c r="G1006" t="s">
        <v>43</v>
      </c>
      <c r="H1006" s="3">
        <v>36468.042437549622</v>
      </c>
      <c r="I1006">
        <v>10</v>
      </c>
      <c r="J1006" s="3">
        <v>21967.869399073599</v>
      </c>
      <c r="K1006" s="3">
        <v>14500.17303847603</v>
      </c>
    </row>
    <row r="1007" spans="1:11" x14ac:dyDescent="0.3">
      <c r="A1007" t="s">
        <v>1083</v>
      </c>
      <c r="B1007" s="2">
        <v>45078</v>
      </c>
      <c r="C1007">
        <v>2023</v>
      </c>
      <c r="D1007">
        <v>6</v>
      </c>
      <c r="E1007" t="s">
        <v>58</v>
      </c>
      <c r="F1007" t="s">
        <v>48</v>
      </c>
      <c r="G1007" t="s">
        <v>43</v>
      </c>
      <c r="H1007" s="3">
        <v>84168.992561988896</v>
      </c>
      <c r="I1007">
        <v>24</v>
      </c>
      <c r="J1007" s="3">
        <v>50134.331322654303</v>
      </c>
      <c r="K1007" s="3">
        <v>34034.6612393346</v>
      </c>
    </row>
    <row r="1008" spans="1:11" x14ac:dyDescent="0.3">
      <c r="A1008" t="s">
        <v>1084</v>
      </c>
      <c r="B1008" s="2">
        <v>45078</v>
      </c>
      <c r="C1008">
        <v>2023</v>
      </c>
      <c r="D1008">
        <v>6</v>
      </c>
      <c r="E1008" t="s">
        <v>62</v>
      </c>
      <c r="F1008" t="s">
        <v>67</v>
      </c>
      <c r="G1008" t="s">
        <v>43</v>
      </c>
      <c r="H1008" s="3">
        <v>23385.382567726399</v>
      </c>
      <c r="I1008">
        <v>7</v>
      </c>
      <c r="J1008" s="3">
        <v>13256.41091559019</v>
      </c>
      <c r="K1008" s="3">
        <v>10128.97165213621</v>
      </c>
    </row>
    <row r="1009" spans="1:11" x14ac:dyDescent="0.3">
      <c r="A1009" t="s">
        <v>1085</v>
      </c>
      <c r="B1009" s="2">
        <v>45078</v>
      </c>
      <c r="C1009">
        <v>2023</v>
      </c>
      <c r="D1009">
        <v>6</v>
      </c>
      <c r="E1009" t="s">
        <v>62</v>
      </c>
      <c r="F1009" t="s">
        <v>48</v>
      </c>
      <c r="G1009" t="s">
        <v>43</v>
      </c>
      <c r="H1009" s="3">
        <v>59336.418006095468</v>
      </c>
      <c r="I1009">
        <v>17</v>
      </c>
      <c r="J1009" s="3">
        <v>34674.841555624051</v>
      </c>
      <c r="K1009" s="3">
        <v>24661.576450471421</v>
      </c>
    </row>
    <row r="1010" spans="1:11" x14ac:dyDescent="0.3">
      <c r="A1010" t="s">
        <v>1086</v>
      </c>
      <c r="B1010" s="2">
        <v>45108</v>
      </c>
      <c r="C1010">
        <v>2023</v>
      </c>
      <c r="D1010">
        <v>7</v>
      </c>
      <c r="E1010" t="s">
        <v>50</v>
      </c>
      <c r="F1010" t="s">
        <v>67</v>
      </c>
      <c r="G1010" t="s">
        <v>19</v>
      </c>
      <c r="H1010" s="3">
        <v>66008.587633724921</v>
      </c>
      <c r="I1010">
        <v>13</v>
      </c>
      <c r="J1010" s="3">
        <v>40511.440070392127</v>
      </c>
      <c r="K1010" s="3">
        <v>25497.14756333279</v>
      </c>
    </row>
    <row r="1011" spans="1:11" x14ac:dyDescent="0.3">
      <c r="A1011" t="s">
        <v>1087</v>
      </c>
      <c r="B1011" s="2">
        <v>45108</v>
      </c>
      <c r="C1011">
        <v>2023</v>
      </c>
      <c r="D1011">
        <v>7</v>
      </c>
      <c r="E1011" t="s">
        <v>50</v>
      </c>
      <c r="F1011" t="s">
        <v>48</v>
      </c>
      <c r="G1011" t="s">
        <v>19</v>
      </c>
      <c r="H1011" s="3">
        <v>133928.21743158359</v>
      </c>
      <c r="I1011">
        <v>26</v>
      </c>
      <c r="J1011" s="3">
        <v>83751.966338851867</v>
      </c>
      <c r="K1011" s="3">
        <v>50176.25109273172</v>
      </c>
    </row>
    <row r="1012" spans="1:11" x14ac:dyDescent="0.3">
      <c r="A1012" t="s">
        <v>1088</v>
      </c>
      <c r="B1012" s="2">
        <v>45108</v>
      </c>
      <c r="C1012">
        <v>2023</v>
      </c>
      <c r="D1012">
        <v>7</v>
      </c>
      <c r="E1012" t="s">
        <v>54</v>
      </c>
      <c r="F1012" t="s">
        <v>67</v>
      </c>
      <c r="G1012" t="s">
        <v>19</v>
      </c>
      <c r="H1012" s="3">
        <v>51843.171478118769</v>
      </c>
      <c r="I1012">
        <v>10</v>
      </c>
      <c r="J1012" s="3">
        <v>30624.12645363804</v>
      </c>
      <c r="K1012" s="3">
        <v>21219.045024480729</v>
      </c>
    </row>
    <row r="1013" spans="1:11" x14ac:dyDescent="0.3">
      <c r="A1013" t="s">
        <v>1089</v>
      </c>
      <c r="B1013" s="2">
        <v>45108</v>
      </c>
      <c r="C1013">
        <v>2023</v>
      </c>
      <c r="D1013">
        <v>7</v>
      </c>
      <c r="E1013" t="s">
        <v>54</v>
      </c>
      <c r="F1013" t="s">
        <v>48</v>
      </c>
      <c r="G1013" t="s">
        <v>19</v>
      </c>
      <c r="H1013" s="3">
        <v>96795.511402588847</v>
      </c>
      <c r="I1013">
        <v>19</v>
      </c>
      <c r="J1013" s="3">
        <v>62766.753982917609</v>
      </c>
      <c r="K1013" s="3">
        <v>34028.757419671238</v>
      </c>
    </row>
    <row r="1014" spans="1:11" x14ac:dyDescent="0.3">
      <c r="A1014" t="s">
        <v>1090</v>
      </c>
      <c r="B1014" s="2">
        <v>45108</v>
      </c>
      <c r="C1014">
        <v>2023</v>
      </c>
      <c r="D1014">
        <v>7</v>
      </c>
      <c r="E1014" t="s">
        <v>58</v>
      </c>
      <c r="F1014" t="s">
        <v>67</v>
      </c>
      <c r="G1014" t="s">
        <v>19</v>
      </c>
      <c r="H1014" s="3">
        <v>33694.945521503992</v>
      </c>
      <c r="I1014">
        <v>6</v>
      </c>
      <c r="J1014" s="3">
        <v>21090.55093530408</v>
      </c>
      <c r="K1014" s="3">
        <v>12604.394586199909</v>
      </c>
    </row>
    <row r="1015" spans="1:11" x14ac:dyDescent="0.3">
      <c r="A1015" t="s">
        <v>1091</v>
      </c>
      <c r="B1015" s="2">
        <v>45108</v>
      </c>
      <c r="C1015">
        <v>2023</v>
      </c>
      <c r="D1015">
        <v>7</v>
      </c>
      <c r="E1015" t="s">
        <v>58</v>
      </c>
      <c r="F1015" t="s">
        <v>48</v>
      </c>
      <c r="G1015" t="s">
        <v>19</v>
      </c>
      <c r="H1015" s="3">
        <v>74953.730728799099</v>
      </c>
      <c r="I1015">
        <v>14</v>
      </c>
      <c r="J1015" s="3">
        <v>46595.84606195378</v>
      </c>
      <c r="K1015" s="3">
        <v>28357.884666845319</v>
      </c>
    </row>
    <row r="1016" spans="1:11" x14ac:dyDescent="0.3">
      <c r="A1016" t="s">
        <v>1092</v>
      </c>
      <c r="B1016" s="2">
        <v>45108</v>
      </c>
      <c r="C1016">
        <v>2023</v>
      </c>
      <c r="D1016">
        <v>7</v>
      </c>
      <c r="E1016" t="s">
        <v>62</v>
      </c>
      <c r="F1016" t="s">
        <v>67</v>
      </c>
      <c r="G1016" t="s">
        <v>19</v>
      </c>
      <c r="H1016" s="3">
        <v>25115.066301615709</v>
      </c>
      <c r="I1016">
        <v>5</v>
      </c>
      <c r="J1016" s="3">
        <v>15902.51579816264</v>
      </c>
      <c r="K1016" s="3">
        <v>9212.5505034530615</v>
      </c>
    </row>
    <row r="1017" spans="1:11" x14ac:dyDescent="0.3">
      <c r="A1017" t="s">
        <v>1093</v>
      </c>
      <c r="B1017" s="2">
        <v>45108</v>
      </c>
      <c r="C1017">
        <v>2023</v>
      </c>
      <c r="D1017">
        <v>7</v>
      </c>
      <c r="E1017" t="s">
        <v>62</v>
      </c>
      <c r="F1017" t="s">
        <v>48</v>
      </c>
      <c r="G1017" t="s">
        <v>19</v>
      </c>
      <c r="H1017" s="3">
        <v>46772.868170020563</v>
      </c>
      <c r="I1017">
        <v>9</v>
      </c>
      <c r="J1017" s="3">
        <v>30222.53101547221</v>
      </c>
      <c r="K1017" s="3">
        <v>16550.33715454835</v>
      </c>
    </row>
    <row r="1018" spans="1:11" x14ac:dyDescent="0.3">
      <c r="A1018" t="s">
        <v>1094</v>
      </c>
      <c r="B1018" s="2">
        <v>45108</v>
      </c>
      <c r="C1018">
        <v>2023</v>
      </c>
      <c r="D1018">
        <v>7</v>
      </c>
      <c r="E1018" t="s">
        <v>50</v>
      </c>
      <c r="F1018" t="s">
        <v>67</v>
      </c>
      <c r="G1018" t="s">
        <v>24</v>
      </c>
      <c r="H1018" s="3">
        <v>62023.75312300567</v>
      </c>
      <c r="I1018">
        <v>10</v>
      </c>
      <c r="J1018" s="3">
        <v>41577.279923193368</v>
      </c>
      <c r="K1018" s="3">
        <v>20446.473199812299</v>
      </c>
    </row>
    <row r="1019" spans="1:11" x14ac:dyDescent="0.3">
      <c r="A1019" t="s">
        <v>1095</v>
      </c>
      <c r="B1019" s="2">
        <v>45108</v>
      </c>
      <c r="C1019">
        <v>2023</v>
      </c>
      <c r="D1019">
        <v>7</v>
      </c>
      <c r="E1019" t="s">
        <v>50</v>
      </c>
      <c r="F1019" t="s">
        <v>48</v>
      </c>
      <c r="G1019" t="s">
        <v>24</v>
      </c>
      <c r="H1019" s="3">
        <v>125734.387446134</v>
      </c>
      <c r="I1019">
        <v>21</v>
      </c>
      <c r="J1019" s="3">
        <v>84401.961104258866</v>
      </c>
      <c r="K1019" s="3">
        <v>41332.426341875092</v>
      </c>
    </row>
    <row r="1020" spans="1:11" x14ac:dyDescent="0.3">
      <c r="A1020" t="s">
        <v>1096</v>
      </c>
      <c r="B1020" s="2">
        <v>45108</v>
      </c>
      <c r="C1020">
        <v>2023</v>
      </c>
      <c r="D1020">
        <v>7</v>
      </c>
      <c r="E1020" t="s">
        <v>54</v>
      </c>
      <c r="F1020" t="s">
        <v>67</v>
      </c>
      <c r="G1020" t="s">
        <v>24</v>
      </c>
      <c r="H1020" s="3">
        <v>58489.041612144043</v>
      </c>
      <c r="I1020">
        <v>10</v>
      </c>
      <c r="J1020" s="3">
        <v>38693.577403251838</v>
      </c>
      <c r="K1020" s="3">
        <v>19795.464208892201</v>
      </c>
    </row>
    <row r="1021" spans="1:11" x14ac:dyDescent="0.3">
      <c r="A1021" t="s">
        <v>1097</v>
      </c>
      <c r="B1021" s="2">
        <v>45108</v>
      </c>
      <c r="C1021">
        <v>2023</v>
      </c>
      <c r="D1021">
        <v>7</v>
      </c>
      <c r="E1021" t="s">
        <v>54</v>
      </c>
      <c r="F1021" t="s">
        <v>48</v>
      </c>
      <c r="G1021" t="s">
        <v>24</v>
      </c>
      <c r="H1021" s="3">
        <v>115707.791692404</v>
      </c>
      <c r="I1021">
        <v>19</v>
      </c>
      <c r="J1021" s="3">
        <v>76172.600004197055</v>
      </c>
      <c r="K1021" s="3">
        <v>39535.19168820692</v>
      </c>
    </row>
    <row r="1022" spans="1:11" x14ac:dyDescent="0.3">
      <c r="A1022" t="s">
        <v>1098</v>
      </c>
      <c r="B1022" s="2">
        <v>45108</v>
      </c>
      <c r="C1022">
        <v>2023</v>
      </c>
      <c r="D1022">
        <v>7</v>
      </c>
      <c r="E1022" t="s">
        <v>58</v>
      </c>
      <c r="F1022" t="s">
        <v>67</v>
      </c>
      <c r="G1022" t="s">
        <v>24</v>
      </c>
      <c r="H1022" s="3">
        <v>36560.618250934531</v>
      </c>
      <c r="I1022">
        <v>6</v>
      </c>
      <c r="J1022" s="3">
        <v>23923.350983562479</v>
      </c>
      <c r="K1022" s="3">
        <v>12637.26726737205</v>
      </c>
    </row>
    <row r="1023" spans="1:11" x14ac:dyDescent="0.3">
      <c r="A1023" t="s">
        <v>1099</v>
      </c>
      <c r="B1023" s="2">
        <v>45108</v>
      </c>
      <c r="C1023">
        <v>2023</v>
      </c>
      <c r="D1023">
        <v>7</v>
      </c>
      <c r="E1023" t="s">
        <v>58</v>
      </c>
      <c r="F1023" t="s">
        <v>48</v>
      </c>
      <c r="G1023" t="s">
        <v>24</v>
      </c>
      <c r="H1023" s="3">
        <v>76308.206811807206</v>
      </c>
      <c r="I1023">
        <v>13</v>
      </c>
      <c r="J1023" s="3">
        <v>49614.511694196757</v>
      </c>
      <c r="K1023" s="3">
        <v>26693.695117610449</v>
      </c>
    </row>
    <row r="1024" spans="1:11" x14ac:dyDescent="0.3">
      <c r="A1024" t="s">
        <v>1100</v>
      </c>
      <c r="B1024" s="2">
        <v>45108</v>
      </c>
      <c r="C1024">
        <v>2023</v>
      </c>
      <c r="D1024">
        <v>7</v>
      </c>
      <c r="E1024" t="s">
        <v>62</v>
      </c>
      <c r="F1024" t="s">
        <v>67</v>
      </c>
      <c r="G1024" t="s">
        <v>24</v>
      </c>
      <c r="H1024" s="3">
        <v>27903.465761155639</v>
      </c>
      <c r="I1024">
        <v>5</v>
      </c>
      <c r="J1024" s="3">
        <v>18188.54691839097</v>
      </c>
      <c r="K1024" s="3">
        <v>9714.9188427646623</v>
      </c>
    </row>
    <row r="1025" spans="1:11" x14ac:dyDescent="0.3">
      <c r="A1025" t="s">
        <v>1101</v>
      </c>
      <c r="B1025" s="2">
        <v>45108</v>
      </c>
      <c r="C1025">
        <v>2023</v>
      </c>
      <c r="D1025">
        <v>7</v>
      </c>
      <c r="E1025" t="s">
        <v>62</v>
      </c>
      <c r="F1025" t="s">
        <v>48</v>
      </c>
      <c r="G1025" t="s">
        <v>24</v>
      </c>
      <c r="H1025" s="3">
        <v>57589.303015008583</v>
      </c>
      <c r="I1025">
        <v>9</v>
      </c>
      <c r="J1025" s="3">
        <v>37084.942379074673</v>
      </c>
      <c r="K1025" s="3">
        <v>20504.360635933899</v>
      </c>
    </row>
    <row r="1026" spans="1:11" x14ac:dyDescent="0.3">
      <c r="A1026" t="s">
        <v>1102</v>
      </c>
      <c r="B1026" s="2">
        <v>45108</v>
      </c>
      <c r="C1026">
        <v>2023</v>
      </c>
      <c r="D1026">
        <v>7</v>
      </c>
      <c r="E1026" t="s">
        <v>50</v>
      </c>
      <c r="F1026" t="s">
        <v>67</v>
      </c>
      <c r="G1026" t="s">
        <v>29</v>
      </c>
      <c r="H1026" s="3">
        <v>44827.138431924701</v>
      </c>
      <c r="I1026">
        <v>10</v>
      </c>
      <c r="J1026" s="3">
        <v>28650.187924168131</v>
      </c>
      <c r="K1026" s="3">
        <v>16176.95050775657</v>
      </c>
    </row>
    <row r="1027" spans="1:11" x14ac:dyDescent="0.3">
      <c r="A1027" t="s">
        <v>1103</v>
      </c>
      <c r="B1027" s="2">
        <v>45108</v>
      </c>
      <c r="C1027">
        <v>2023</v>
      </c>
      <c r="D1027">
        <v>7</v>
      </c>
      <c r="E1027" t="s">
        <v>50</v>
      </c>
      <c r="F1027" t="s">
        <v>48</v>
      </c>
      <c r="G1027" t="s">
        <v>29</v>
      </c>
      <c r="H1027" s="3">
        <v>97906.673530427302</v>
      </c>
      <c r="I1027">
        <v>23</v>
      </c>
      <c r="J1027" s="3">
        <v>60760.159972859459</v>
      </c>
      <c r="K1027" s="3">
        <v>37146.513557567843</v>
      </c>
    </row>
    <row r="1028" spans="1:11" x14ac:dyDescent="0.3">
      <c r="A1028" t="s">
        <v>1104</v>
      </c>
      <c r="B1028" s="2">
        <v>45108</v>
      </c>
      <c r="C1028">
        <v>2023</v>
      </c>
      <c r="D1028">
        <v>7</v>
      </c>
      <c r="E1028" t="s">
        <v>54</v>
      </c>
      <c r="F1028" t="s">
        <v>67</v>
      </c>
      <c r="G1028" t="s">
        <v>29</v>
      </c>
      <c r="H1028" s="3">
        <v>34665.206619244382</v>
      </c>
      <c r="I1028">
        <v>8</v>
      </c>
      <c r="J1028" s="3">
        <v>22261.97344823094</v>
      </c>
      <c r="K1028" s="3">
        <v>12403.23317101344</v>
      </c>
    </row>
    <row r="1029" spans="1:11" x14ac:dyDescent="0.3">
      <c r="A1029" t="s">
        <v>1105</v>
      </c>
      <c r="B1029" s="2">
        <v>45108</v>
      </c>
      <c r="C1029">
        <v>2023</v>
      </c>
      <c r="D1029">
        <v>7</v>
      </c>
      <c r="E1029" t="s">
        <v>54</v>
      </c>
      <c r="F1029" t="s">
        <v>48</v>
      </c>
      <c r="G1029" t="s">
        <v>29</v>
      </c>
      <c r="H1029" s="3">
        <v>76873.841259484208</v>
      </c>
      <c r="I1029">
        <v>18</v>
      </c>
      <c r="J1029" s="3">
        <v>49167.084504553648</v>
      </c>
      <c r="K1029" s="3">
        <v>27706.75675493056</v>
      </c>
    </row>
    <row r="1030" spans="1:11" x14ac:dyDescent="0.3">
      <c r="A1030" t="s">
        <v>1106</v>
      </c>
      <c r="B1030" s="2">
        <v>45108</v>
      </c>
      <c r="C1030">
        <v>2023</v>
      </c>
      <c r="D1030">
        <v>7</v>
      </c>
      <c r="E1030" t="s">
        <v>58</v>
      </c>
      <c r="F1030" t="s">
        <v>67</v>
      </c>
      <c r="G1030" t="s">
        <v>29</v>
      </c>
      <c r="H1030" s="3">
        <v>23303.331553438911</v>
      </c>
      <c r="I1030">
        <v>5</v>
      </c>
      <c r="J1030" s="3">
        <v>14953.57761855531</v>
      </c>
      <c r="K1030" s="3">
        <v>8349.753934883609</v>
      </c>
    </row>
    <row r="1031" spans="1:11" x14ac:dyDescent="0.3">
      <c r="A1031" t="s">
        <v>1107</v>
      </c>
      <c r="B1031" s="2">
        <v>45108</v>
      </c>
      <c r="C1031">
        <v>2023</v>
      </c>
      <c r="D1031">
        <v>7</v>
      </c>
      <c r="E1031" t="s">
        <v>58</v>
      </c>
      <c r="F1031" t="s">
        <v>48</v>
      </c>
      <c r="G1031" t="s">
        <v>29</v>
      </c>
      <c r="H1031" s="3">
        <v>51023.55966748522</v>
      </c>
      <c r="I1031">
        <v>12</v>
      </c>
      <c r="J1031" s="3">
        <v>32348.17373681648</v>
      </c>
      <c r="K1031" s="3">
        <v>18675.385930668741</v>
      </c>
    </row>
    <row r="1032" spans="1:11" x14ac:dyDescent="0.3">
      <c r="A1032" t="s">
        <v>1108</v>
      </c>
      <c r="B1032" s="2">
        <v>45108</v>
      </c>
      <c r="C1032">
        <v>2023</v>
      </c>
      <c r="D1032">
        <v>7</v>
      </c>
      <c r="E1032" t="s">
        <v>62</v>
      </c>
      <c r="F1032" t="s">
        <v>67</v>
      </c>
      <c r="G1032" t="s">
        <v>29</v>
      </c>
      <c r="H1032" s="3">
        <v>17072.91175879721</v>
      </c>
      <c r="I1032">
        <v>4</v>
      </c>
      <c r="J1032" s="3">
        <v>11531.82024927577</v>
      </c>
      <c r="K1032" s="3">
        <v>5541.0915095214459</v>
      </c>
    </row>
    <row r="1033" spans="1:11" x14ac:dyDescent="0.3">
      <c r="A1033" t="s">
        <v>1109</v>
      </c>
      <c r="B1033" s="2">
        <v>45108</v>
      </c>
      <c r="C1033">
        <v>2023</v>
      </c>
      <c r="D1033">
        <v>7</v>
      </c>
      <c r="E1033" t="s">
        <v>62</v>
      </c>
      <c r="F1033" t="s">
        <v>48</v>
      </c>
      <c r="G1033" t="s">
        <v>29</v>
      </c>
      <c r="H1033" s="3">
        <v>40133.090640318558</v>
      </c>
      <c r="I1033">
        <v>9</v>
      </c>
      <c r="J1033" s="3">
        <v>26314.004751985602</v>
      </c>
      <c r="K1033" s="3">
        <v>13819.08588833296</v>
      </c>
    </row>
    <row r="1034" spans="1:11" x14ac:dyDescent="0.3">
      <c r="A1034" t="s">
        <v>1110</v>
      </c>
      <c r="B1034" s="2">
        <v>45108</v>
      </c>
      <c r="C1034">
        <v>2023</v>
      </c>
      <c r="D1034">
        <v>7</v>
      </c>
      <c r="E1034" t="s">
        <v>50</v>
      </c>
      <c r="F1034" t="s">
        <v>67</v>
      </c>
      <c r="G1034" t="s">
        <v>34</v>
      </c>
      <c r="H1034" s="3">
        <v>45149.013992651031</v>
      </c>
      <c r="I1034">
        <v>53</v>
      </c>
      <c r="J1034" s="3">
        <v>21186.046267745809</v>
      </c>
      <c r="K1034" s="3">
        <v>23962.967724905229</v>
      </c>
    </row>
    <row r="1035" spans="1:11" x14ac:dyDescent="0.3">
      <c r="A1035" t="s">
        <v>1111</v>
      </c>
      <c r="B1035" s="2">
        <v>45108</v>
      </c>
      <c r="C1035">
        <v>2023</v>
      </c>
      <c r="D1035">
        <v>7</v>
      </c>
      <c r="E1035" t="s">
        <v>50</v>
      </c>
      <c r="F1035" t="s">
        <v>48</v>
      </c>
      <c r="G1035" t="s">
        <v>34</v>
      </c>
      <c r="H1035" s="3">
        <v>92176.051626323868</v>
      </c>
      <c r="I1035">
        <v>108</v>
      </c>
      <c r="J1035" s="3">
        <v>44429.961178368962</v>
      </c>
      <c r="K1035" s="3">
        <v>47746.090447954914</v>
      </c>
    </row>
    <row r="1036" spans="1:11" x14ac:dyDescent="0.3">
      <c r="A1036" t="s">
        <v>1112</v>
      </c>
      <c r="B1036" s="2">
        <v>45108</v>
      </c>
      <c r="C1036">
        <v>2023</v>
      </c>
      <c r="D1036">
        <v>7</v>
      </c>
      <c r="E1036" t="s">
        <v>54</v>
      </c>
      <c r="F1036" t="s">
        <v>67</v>
      </c>
      <c r="G1036" t="s">
        <v>34</v>
      </c>
      <c r="H1036" s="3">
        <v>29921.1913722756</v>
      </c>
      <c r="I1036">
        <v>35</v>
      </c>
      <c r="J1036" s="3">
        <v>14204.99066180417</v>
      </c>
      <c r="K1036" s="3">
        <v>15716.20071047143</v>
      </c>
    </row>
    <row r="1037" spans="1:11" x14ac:dyDescent="0.3">
      <c r="A1037" t="s">
        <v>1113</v>
      </c>
      <c r="B1037" s="2">
        <v>45108</v>
      </c>
      <c r="C1037">
        <v>2023</v>
      </c>
      <c r="D1037">
        <v>7</v>
      </c>
      <c r="E1037" t="s">
        <v>54</v>
      </c>
      <c r="F1037" t="s">
        <v>48</v>
      </c>
      <c r="G1037" t="s">
        <v>34</v>
      </c>
      <c r="H1037" s="3">
        <v>69764.416926217629</v>
      </c>
      <c r="I1037">
        <v>82</v>
      </c>
      <c r="J1037" s="3">
        <v>32875.427696211751</v>
      </c>
      <c r="K1037" s="3">
        <v>36888.989230005878</v>
      </c>
    </row>
    <row r="1038" spans="1:11" x14ac:dyDescent="0.3">
      <c r="A1038" t="s">
        <v>1114</v>
      </c>
      <c r="B1038" s="2">
        <v>45108</v>
      </c>
      <c r="C1038">
        <v>2023</v>
      </c>
      <c r="D1038">
        <v>7</v>
      </c>
      <c r="E1038" t="s">
        <v>58</v>
      </c>
      <c r="F1038" t="s">
        <v>67</v>
      </c>
      <c r="G1038" t="s">
        <v>34</v>
      </c>
      <c r="H1038" s="3">
        <v>22562.578094499469</v>
      </c>
      <c r="I1038">
        <v>27</v>
      </c>
      <c r="J1038" s="3">
        <v>10568.802931619341</v>
      </c>
      <c r="K1038" s="3">
        <v>11993.775162880131</v>
      </c>
    </row>
    <row r="1039" spans="1:11" x14ac:dyDescent="0.3">
      <c r="A1039" t="s">
        <v>1115</v>
      </c>
      <c r="B1039" s="2">
        <v>45108</v>
      </c>
      <c r="C1039">
        <v>2023</v>
      </c>
      <c r="D1039">
        <v>7</v>
      </c>
      <c r="E1039" t="s">
        <v>58</v>
      </c>
      <c r="F1039" t="s">
        <v>48</v>
      </c>
      <c r="G1039" t="s">
        <v>34</v>
      </c>
      <c r="H1039" s="3">
        <v>52580.218242797768</v>
      </c>
      <c r="I1039">
        <v>62</v>
      </c>
      <c r="J1039" s="3">
        <v>25434.857810643451</v>
      </c>
      <c r="K1039" s="3">
        <v>27145.360432154321</v>
      </c>
    </row>
    <row r="1040" spans="1:11" x14ac:dyDescent="0.3">
      <c r="A1040" t="s">
        <v>1116</v>
      </c>
      <c r="B1040" s="2">
        <v>45108</v>
      </c>
      <c r="C1040">
        <v>2023</v>
      </c>
      <c r="D1040">
        <v>7</v>
      </c>
      <c r="E1040" t="s">
        <v>62</v>
      </c>
      <c r="F1040" t="s">
        <v>67</v>
      </c>
      <c r="G1040" t="s">
        <v>34</v>
      </c>
      <c r="H1040" s="3">
        <v>17498.087631632639</v>
      </c>
      <c r="I1040">
        <v>21</v>
      </c>
      <c r="J1040" s="3">
        <v>8296.0686299932131</v>
      </c>
      <c r="K1040" s="3">
        <v>9202.0190016394226</v>
      </c>
    </row>
    <row r="1041" spans="1:11" x14ac:dyDescent="0.3">
      <c r="A1041" t="s">
        <v>1117</v>
      </c>
      <c r="B1041" s="2">
        <v>45108</v>
      </c>
      <c r="C1041">
        <v>2023</v>
      </c>
      <c r="D1041">
        <v>7</v>
      </c>
      <c r="E1041" t="s">
        <v>62</v>
      </c>
      <c r="F1041" t="s">
        <v>48</v>
      </c>
      <c r="G1041" t="s">
        <v>34</v>
      </c>
      <c r="H1041" s="3">
        <v>36633.529780790137</v>
      </c>
      <c r="I1041">
        <v>43</v>
      </c>
      <c r="J1041" s="3">
        <v>17890.424487992481</v>
      </c>
      <c r="K1041" s="3">
        <v>18743.105292797671</v>
      </c>
    </row>
    <row r="1042" spans="1:11" x14ac:dyDescent="0.3">
      <c r="A1042" t="s">
        <v>1118</v>
      </c>
      <c r="B1042" s="2">
        <v>45108</v>
      </c>
      <c r="C1042">
        <v>2023</v>
      </c>
      <c r="D1042">
        <v>7</v>
      </c>
      <c r="E1042" t="s">
        <v>50</v>
      </c>
      <c r="F1042" t="s">
        <v>67</v>
      </c>
      <c r="G1042" t="s">
        <v>37</v>
      </c>
      <c r="H1042" s="3">
        <v>31385.040552198319</v>
      </c>
      <c r="I1042">
        <v>44</v>
      </c>
      <c r="J1042" s="3">
        <v>17570.552265229679</v>
      </c>
      <c r="K1042" s="3">
        <v>13814.488286968641</v>
      </c>
    </row>
    <row r="1043" spans="1:11" x14ac:dyDescent="0.3">
      <c r="A1043" t="s">
        <v>1119</v>
      </c>
      <c r="B1043" s="2">
        <v>45108</v>
      </c>
      <c r="C1043">
        <v>2023</v>
      </c>
      <c r="D1043">
        <v>7</v>
      </c>
      <c r="E1043" t="s">
        <v>50</v>
      </c>
      <c r="F1043" t="s">
        <v>48</v>
      </c>
      <c r="G1043" t="s">
        <v>37</v>
      </c>
      <c r="H1043" s="3">
        <v>75008.671911557278</v>
      </c>
      <c r="I1043">
        <v>104</v>
      </c>
      <c r="J1043" s="3">
        <v>42275.018935569948</v>
      </c>
      <c r="K1043" s="3">
        <v>32733.652975987319</v>
      </c>
    </row>
    <row r="1044" spans="1:11" x14ac:dyDescent="0.3">
      <c r="A1044" t="s">
        <v>1120</v>
      </c>
      <c r="B1044" s="2">
        <v>45108</v>
      </c>
      <c r="C1044">
        <v>2023</v>
      </c>
      <c r="D1044">
        <v>7</v>
      </c>
      <c r="E1044" t="s">
        <v>54</v>
      </c>
      <c r="F1044" t="s">
        <v>67</v>
      </c>
      <c r="G1044" t="s">
        <v>37</v>
      </c>
      <c r="H1044" s="3">
        <v>26733.02724051095</v>
      </c>
      <c r="I1044">
        <v>37</v>
      </c>
      <c r="J1044" s="3">
        <v>14477.574883775609</v>
      </c>
      <c r="K1044" s="3">
        <v>12255.45235673533</v>
      </c>
    </row>
    <row r="1045" spans="1:11" x14ac:dyDescent="0.3">
      <c r="A1045" t="s">
        <v>1121</v>
      </c>
      <c r="B1045" s="2">
        <v>45108</v>
      </c>
      <c r="C1045">
        <v>2023</v>
      </c>
      <c r="D1045">
        <v>7</v>
      </c>
      <c r="E1045" t="s">
        <v>54</v>
      </c>
      <c r="F1045" t="s">
        <v>48</v>
      </c>
      <c r="G1045" t="s">
        <v>37</v>
      </c>
      <c r="H1045" s="3">
        <v>56860.78350011196</v>
      </c>
      <c r="I1045">
        <v>79</v>
      </c>
      <c r="J1045" s="3">
        <v>31541.02456968385</v>
      </c>
      <c r="K1045" s="3">
        <v>25319.75893042811</v>
      </c>
    </row>
    <row r="1046" spans="1:11" x14ac:dyDescent="0.3">
      <c r="A1046" t="s">
        <v>1122</v>
      </c>
      <c r="B1046" s="2">
        <v>45108</v>
      </c>
      <c r="C1046">
        <v>2023</v>
      </c>
      <c r="D1046">
        <v>7</v>
      </c>
      <c r="E1046" t="s">
        <v>58</v>
      </c>
      <c r="F1046" t="s">
        <v>67</v>
      </c>
      <c r="G1046" t="s">
        <v>37</v>
      </c>
      <c r="H1046" s="3">
        <v>17883.606926169861</v>
      </c>
      <c r="I1046">
        <v>25</v>
      </c>
      <c r="J1046" s="3">
        <v>9947.9583792247977</v>
      </c>
      <c r="K1046" s="3">
        <v>7935.6485469450636</v>
      </c>
    </row>
    <row r="1047" spans="1:11" x14ac:dyDescent="0.3">
      <c r="A1047" t="s">
        <v>1123</v>
      </c>
      <c r="B1047" s="2">
        <v>45108</v>
      </c>
      <c r="C1047">
        <v>2023</v>
      </c>
      <c r="D1047">
        <v>7</v>
      </c>
      <c r="E1047" t="s">
        <v>58</v>
      </c>
      <c r="F1047" t="s">
        <v>48</v>
      </c>
      <c r="G1047" t="s">
        <v>37</v>
      </c>
      <c r="H1047" s="3">
        <v>37723.392280512497</v>
      </c>
      <c r="I1047">
        <v>52</v>
      </c>
      <c r="J1047" s="3">
        <v>20570.77842210987</v>
      </c>
      <c r="K1047" s="3">
        <v>17152.613858402641</v>
      </c>
    </row>
    <row r="1048" spans="1:11" x14ac:dyDescent="0.3">
      <c r="A1048" t="s">
        <v>1124</v>
      </c>
      <c r="B1048" s="2">
        <v>45108</v>
      </c>
      <c r="C1048">
        <v>2023</v>
      </c>
      <c r="D1048">
        <v>7</v>
      </c>
      <c r="E1048" t="s">
        <v>62</v>
      </c>
      <c r="F1048" t="s">
        <v>67</v>
      </c>
      <c r="G1048" t="s">
        <v>37</v>
      </c>
      <c r="H1048" s="3">
        <v>14269.082048793611</v>
      </c>
      <c r="I1048">
        <v>20</v>
      </c>
      <c r="J1048" s="3">
        <v>7738.9716007448169</v>
      </c>
      <c r="K1048" s="3">
        <v>6530.1104480487957</v>
      </c>
    </row>
    <row r="1049" spans="1:11" x14ac:dyDescent="0.3">
      <c r="A1049" t="s">
        <v>1125</v>
      </c>
      <c r="B1049" s="2">
        <v>45108</v>
      </c>
      <c r="C1049">
        <v>2023</v>
      </c>
      <c r="D1049">
        <v>7</v>
      </c>
      <c r="E1049" t="s">
        <v>62</v>
      </c>
      <c r="F1049" t="s">
        <v>48</v>
      </c>
      <c r="G1049" t="s">
        <v>37</v>
      </c>
      <c r="H1049" s="3">
        <v>29868.37671342606</v>
      </c>
      <c r="I1049">
        <v>41</v>
      </c>
      <c r="J1049" s="3">
        <v>16903.537511161401</v>
      </c>
      <c r="K1049" s="3">
        <v>12964.839202264649</v>
      </c>
    </row>
    <row r="1050" spans="1:11" x14ac:dyDescent="0.3">
      <c r="A1050" t="s">
        <v>1126</v>
      </c>
      <c r="B1050" s="2">
        <v>45108</v>
      </c>
      <c r="C1050">
        <v>2023</v>
      </c>
      <c r="D1050">
        <v>7</v>
      </c>
      <c r="E1050" t="s">
        <v>50</v>
      </c>
      <c r="F1050" t="s">
        <v>67</v>
      </c>
      <c r="G1050" t="s">
        <v>40</v>
      </c>
      <c r="H1050" s="3">
        <v>32641.881921706819</v>
      </c>
      <c r="I1050">
        <v>6</v>
      </c>
      <c r="J1050" s="3">
        <v>22615.128123413149</v>
      </c>
      <c r="K1050" s="3">
        <v>10026.75379829367</v>
      </c>
    </row>
    <row r="1051" spans="1:11" x14ac:dyDescent="0.3">
      <c r="A1051" t="s">
        <v>1127</v>
      </c>
      <c r="B1051" s="2">
        <v>45108</v>
      </c>
      <c r="C1051">
        <v>2023</v>
      </c>
      <c r="D1051">
        <v>7</v>
      </c>
      <c r="E1051" t="s">
        <v>50</v>
      </c>
      <c r="F1051" t="s">
        <v>48</v>
      </c>
      <c r="G1051" t="s">
        <v>40</v>
      </c>
      <c r="H1051" s="3">
        <v>70368.879510644256</v>
      </c>
      <c r="I1051">
        <v>13</v>
      </c>
      <c r="J1051" s="3">
        <v>49110.350900583857</v>
      </c>
      <c r="K1051" s="3">
        <v>21258.528610060399</v>
      </c>
    </row>
    <row r="1052" spans="1:11" x14ac:dyDescent="0.3">
      <c r="A1052" t="s">
        <v>1128</v>
      </c>
      <c r="B1052" s="2">
        <v>45108</v>
      </c>
      <c r="C1052">
        <v>2023</v>
      </c>
      <c r="D1052">
        <v>7</v>
      </c>
      <c r="E1052" t="s">
        <v>54</v>
      </c>
      <c r="F1052" t="s">
        <v>67</v>
      </c>
      <c r="G1052" t="s">
        <v>40</v>
      </c>
      <c r="H1052" s="3">
        <v>24716.006771961951</v>
      </c>
      <c r="I1052">
        <v>5</v>
      </c>
      <c r="J1052" s="3">
        <v>16801.6896941132</v>
      </c>
      <c r="K1052" s="3">
        <v>7914.3170778487547</v>
      </c>
    </row>
    <row r="1053" spans="1:11" x14ac:dyDescent="0.3">
      <c r="A1053" t="s">
        <v>1129</v>
      </c>
      <c r="B1053" s="2">
        <v>45108</v>
      </c>
      <c r="C1053">
        <v>2023</v>
      </c>
      <c r="D1053">
        <v>7</v>
      </c>
      <c r="E1053" t="s">
        <v>54</v>
      </c>
      <c r="F1053" t="s">
        <v>48</v>
      </c>
      <c r="G1053" t="s">
        <v>40</v>
      </c>
      <c r="H1053" s="3">
        <v>53293.205273314707</v>
      </c>
      <c r="I1053">
        <v>10</v>
      </c>
      <c r="J1053" s="3">
        <v>35965.265287764378</v>
      </c>
      <c r="K1053" s="3">
        <v>17327.939985550322</v>
      </c>
    </row>
    <row r="1054" spans="1:11" x14ac:dyDescent="0.3">
      <c r="A1054" t="s">
        <v>1130</v>
      </c>
      <c r="B1054" s="2">
        <v>45108</v>
      </c>
      <c r="C1054">
        <v>2023</v>
      </c>
      <c r="D1054">
        <v>7</v>
      </c>
      <c r="E1054" t="s">
        <v>58</v>
      </c>
      <c r="F1054" t="s">
        <v>67</v>
      </c>
      <c r="G1054" t="s">
        <v>40</v>
      </c>
      <c r="H1054" s="3">
        <v>17573.373162307958</v>
      </c>
      <c r="I1054">
        <v>3</v>
      </c>
      <c r="J1054" s="3">
        <v>12001.338636958961</v>
      </c>
      <c r="K1054" s="3">
        <v>5572.0345253489959</v>
      </c>
    </row>
    <row r="1055" spans="1:11" x14ac:dyDescent="0.3">
      <c r="A1055" t="s">
        <v>1131</v>
      </c>
      <c r="B1055" s="2">
        <v>45108</v>
      </c>
      <c r="C1055">
        <v>2023</v>
      </c>
      <c r="D1055">
        <v>7</v>
      </c>
      <c r="E1055" t="s">
        <v>58</v>
      </c>
      <c r="F1055" t="s">
        <v>48</v>
      </c>
      <c r="G1055" t="s">
        <v>40</v>
      </c>
      <c r="H1055" s="3">
        <v>38085.612973106166</v>
      </c>
      <c r="I1055">
        <v>7</v>
      </c>
      <c r="J1055" s="3">
        <v>26220.407943881561</v>
      </c>
      <c r="K1055" s="3">
        <v>11865.205029224609</v>
      </c>
    </row>
    <row r="1056" spans="1:11" x14ac:dyDescent="0.3">
      <c r="A1056" t="s">
        <v>1132</v>
      </c>
      <c r="B1056" s="2">
        <v>45108</v>
      </c>
      <c r="C1056">
        <v>2023</v>
      </c>
      <c r="D1056">
        <v>7</v>
      </c>
      <c r="E1056" t="s">
        <v>62</v>
      </c>
      <c r="F1056" t="s">
        <v>67</v>
      </c>
      <c r="G1056" t="s">
        <v>40</v>
      </c>
      <c r="H1056" s="3">
        <v>12490.420148178089</v>
      </c>
      <c r="I1056">
        <v>2</v>
      </c>
      <c r="J1056" s="3">
        <v>8453.29636895353</v>
      </c>
      <c r="K1056" s="3">
        <v>4037.1237792245588</v>
      </c>
    </row>
    <row r="1057" spans="1:11" x14ac:dyDescent="0.3">
      <c r="A1057" t="s">
        <v>1133</v>
      </c>
      <c r="B1057" s="2">
        <v>45108</v>
      </c>
      <c r="C1057">
        <v>2023</v>
      </c>
      <c r="D1057">
        <v>7</v>
      </c>
      <c r="E1057" t="s">
        <v>62</v>
      </c>
      <c r="F1057" t="s">
        <v>48</v>
      </c>
      <c r="G1057" t="s">
        <v>40</v>
      </c>
      <c r="H1057" s="3">
        <v>28533.046969282721</v>
      </c>
      <c r="I1057">
        <v>5</v>
      </c>
      <c r="J1057" s="3">
        <v>19684.31360115077</v>
      </c>
      <c r="K1057" s="3">
        <v>8848.7333681319469</v>
      </c>
    </row>
    <row r="1058" spans="1:11" x14ac:dyDescent="0.3">
      <c r="A1058" t="s">
        <v>1134</v>
      </c>
      <c r="B1058" s="2">
        <v>45108</v>
      </c>
      <c r="C1058">
        <v>2023</v>
      </c>
      <c r="D1058">
        <v>7</v>
      </c>
      <c r="E1058" t="s">
        <v>50</v>
      </c>
      <c r="F1058" t="s">
        <v>67</v>
      </c>
      <c r="G1058" t="s">
        <v>43</v>
      </c>
      <c r="H1058" s="3">
        <v>65865.740918177544</v>
      </c>
      <c r="I1058">
        <v>19</v>
      </c>
      <c r="J1058" s="3">
        <v>37679.687609102657</v>
      </c>
      <c r="K1058" s="3">
        <v>28186.05330907489</v>
      </c>
    </row>
    <row r="1059" spans="1:11" x14ac:dyDescent="0.3">
      <c r="A1059" t="s">
        <v>1135</v>
      </c>
      <c r="B1059" s="2">
        <v>45108</v>
      </c>
      <c r="C1059">
        <v>2023</v>
      </c>
      <c r="D1059">
        <v>7</v>
      </c>
      <c r="E1059" t="s">
        <v>50</v>
      </c>
      <c r="F1059" t="s">
        <v>48</v>
      </c>
      <c r="G1059" t="s">
        <v>43</v>
      </c>
      <c r="H1059" s="3">
        <v>127151.01029941181</v>
      </c>
      <c r="I1059">
        <v>36</v>
      </c>
      <c r="J1059" s="3">
        <v>73506.647063112803</v>
      </c>
      <c r="K1059" s="3">
        <v>53644.363236298967</v>
      </c>
    </row>
    <row r="1060" spans="1:11" x14ac:dyDescent="0.3">
      <c r="A1060" t="s">
        <v>1136</v>
      </c>
      <c r="B1060" s="2">
        <v>45108</v>
      </c>
      <c r="C1060">
        <v>2023</v>
      </c>
      <c r="D1060">
        <v>7</v>
      </c>
      <c r="E1060" t="s">
        <v>54</v>
      </c>
      <c r="F1060" t="s">
        <v>67</v>
      </c>
      <c r="G1060" t="s">
        <v>43</v>
      </c>
      <c r="H1060" s="3">
        <v>47638.674156962967</v>
      </c>
      <c r="I1060">
        <v>14</v>
      </c>
      <c r="J1060" s="3">
        <v>28446.246995911031</v>
      </c>
      <c r="K1060" s="3">
        <v>19192.427161051939</v>
      </c>
    </row>
    <row r="1061" spans="1:11" x14ac:dyDescent="0.3">
      <c r="A1061" t="s">
        <v>1137</v>
      </c>
      <c r="B1061" s="2">
        <v>45108</v>
      </c>
      <c r="C1061">
        <v>2023</v>
      </c>
      <c r="D1061">
        <v>7</v>
      </c>
      <c r="E1061" t="s">
        <v>54</v>
      </c>
      <c r="F1061" t="s">
        <v>48</v>
      </c>
      <c r="G1061" t="s">
        <v>43</v>
      </c>
      <c r="H1061" s="3">
        <v>108755.51424853411</v>
      </c>
      <c r="I1061">
        <v>31</v>
      </c>
      <c r="J1061" s="3">
        <v>64863.121532036632</v>
      </c>
      <c r="K1061" s="3">
        <v>43892.392716497503</v>
      </c>
    </row>
    <row r="1062" spans="1:11" x14ac:dyDescent="0.3">
      <c r="A1062" t="s">
        <v>1138</v>
      </c>
      <c r="B1062" s="2">
        <v>45108</v>
      </c>
      <c r="C1062">
        <v>2023</v>
      </c>
      <c r="D1062">
        <v>7</v>
      </c>
      <c r="E1062" t="s">
        <v>58</v>
      </c>
      <c r="F1062" t="s">
        <v>67</v>
      </c>
      <c r="G1062" t="s">
        <v>43</v>
      </c>
      <c r="H1062" s="3">
        <v>36104.27987227351</v>
      </c>
      <c r="I1062">
        <v>10</v>
      </c>
      <c r="J1062" s="3">
        <v>21151.26881489564</v>
      </c>
      <c r="K1062" s="3">
        <v>14953.011057377869</v>
      </c>
    </row>
    <row r="1063" spans="1:11" x14ac:dyDescent="0.3">
      <c r="A1063" t="s">
        <v>1139</v>
      </c>
      <c r="B1063" s="2">
        <v>45108</v>
      </c>
      <c r="C1063">
        <v>2023</v>
      </c>
      <c r="D1063">
        <v>7</v>
      </c>
      <c r="E1063" t="s">
        <v>58</v>
      </c>
      <c r="F1063" t="s">
        <v>48</v>
      </c>
      <c r="G1063" t="s">
        <v>43</v>
      </c>
      <c r="H1063" s="3">
        <v>73827.681985491246</v>
      </c>
      <c r="I1063">
        <v>21</v>
      </c>
      <c r="J1063" s="3">
        <v>42760.354282529719</v>
      </c>
      <c r="K1063" s="3">
        <v>31067.327702961531</v>
      </c>
    </row>
    <row r="1064" spans="1:11" x14ac:dyDescent="0.3">
      <c r="A1064" t="s">
        <v>1140</v>
      </c>
      <c r="B1064" s="2">
        <v>45108</v>
      </c>
      <c r="C1064">
        <v>2023</v>
      </c>
      <c r="D1064">
        <v>7</v>
      </c>
      <c r="E1064" t="s">
        <v>62</v>
      </c>
      <c r="F1064" t="s">
        <v>67</v>
      </c>
      <c r="G1064" t="s">
        <v>43</v>
      </c>
      <c r="H1064" s="3">
        <v>27932.863481809291</v>
      </c>
      <c r="I1064">
        <v>8</v>
      </c>
      <c r="J1064" s="3">
        <v>16175.61326246225</v>
      </c>
      <c r="K1064" s="3">
        <v>11757.250219347039</v>
      </c>
    </row>
    <row r="1065" spans="1:11" x14ac:dyDescent="0.3">
      <c r="A1065" t="s">
        <v>1141</v>
      </c>
      <c r="B1065" s="2">
        <v>45108</v>
      </c>
      <c r="C1065">
        <v>2023</v>
      </c>
      <c r="D1065">
        <v>7</v>
      </c>
      <c r="E1065" t="s">
        <v>62</v>
      </c>
      <c r="F1065" t="s">
        <v>48</v>
      </c>
      <c r="G1065" t="s">
        <v>43</v>
      </c>
      <c r="H1065" s="3">
        <v>55769.603613697087</v>
      </c>
      <c r="I1065">
        <v>16</v>
      </c>
      <c r="J1065" s="3">
        <v>32682.989357191029</v>
      </c>
      <c r="K1065" s="3">
        <v>23086.614256506062</v>
      </c>
    </row>
    <row r="1066" spans="1:11" x14ac:dyDescent="0.3">
      <c r="A1066" t="s">
        <v>1142</v>
      </c>
      <c r="B1066" s="2">
        <v>45139</v>
      </c>
      <c r="C1066">
        <v>2023</v>
      </c>
      <c r="D1066">
        <v>8</v>
      </c>
      <c r="E1066" t="s">
        <v>50</v>
      </c>
      <c r="F1066" t="s">
        <v>67</v>
      </c>
      <c r="G1066" t="s">
        <v>19</v>
      </c>
      <c r="H1066" s="3">
        <v>63628.217430204117</v>
      </c>
      <c r="I1066">
        <v>12</v>
      </c>
      <c r="J1066" s="3">
        <v>39907.161526728552</v>
      </c>
      <c r="K1066" s="3">
        <v>23721.055903475561</v>
      </c>
    </row>
    <row r="1067" spans="1:11" x14ac:dyDescent="0.3">
      <c r="A1067" t="s">
        <v>1143</v>
      </c>
      <c r="B1067" s="2">
        <v>45139</v>
      </c>
      <c r="C1067">
        <v>2023</v>
      </c>
      <c r="D1067">
        <v>8</v>
      </c>
      <c r="E1067" t="s">
        <v>50</v>
      </c>
      <c r="F1067" t="s">
        <v>48</v>
      </c>
      <c r="G1067" t="s">
        <v>19</v>
      </c>
      <c r="H1067" s="3">
        <v>119644.7931948817</v>
      </c>
      <c r="I1067">
        <v>23</v>
      </c>
      <c r="J1067" s="3">
        <v>75419.198744554873</v>
      </c>
      <c r="K1067" s="3">
        <v>44225.594450326811</v>
      </c>
    </row>
    <row r="1068" spans="1:11" x14ac:dyDescent="0.3">
      <c r="A1068" t="s">
        <v>1144</v>
      </c>
      <c r="B1068" s="2">
        <v>45139</v>
      </c>
      <c r="C1068">
        <v>2023</v>
      </c>
      <c r="D1068">
        <v>8</v>
      </c>
      <c r="E1068" t="s">
        <v>54</v>
      </c>
      <c r="F1068" t="s">
        <v>67</v>
      </c>
      <c r="G1068" t="s">
        <v>19</v>
      </c>
      <c r="H1068" s="3">
        <v>46592.300403753601</v>
      </c>
      <c r="I1068">
        <v>9</v>
      </c>
      <c r="J1068" s="3">
        <v>28629.0446078272</v>
      </c>
      <c r="K1068" s="3">
        <v>17963.255795926401</v>
      </c>
    </row>
    <row r="1069" spans="1:11" x14ac:dyDescent="0.3">
      <c r="A1069" t="s">
        <v>1145</v>
      </c>
      <c r="B1069" s="2">
        <v>45139</v>
      </c>
      <c r="C1069">
        <v>2023</v>
      </c>
      <c r="D1069">
        <v>8</v>
      </c>
      <c r="E1069" t="s">
        <v>54</v>
      </c>
      <c r="F1069" t="s">
        <v>48</v>
      </c>
      <c r="G1069" t="s">
        <v>19</v>
      </c>
      <c r="H1069" s="3">
        <v>99169.290108339817</v>
      </c>
      <c r="I1069">
        <v>19</v>
      </c>
      <c r="J1069" s="3">
        <v>60208.356027833011</v>
      </c>
      <c r="K1069" s="3">
        <v>38960.934080506813</v>
      </c>
    </row>
    <row r="1070" spans="1:11" x14ac:dyDescent="0.3">
      <c r="A1070" t="s">
        <v>1146</v>
      </c>
      <c r="B1070" s="2">
        <v>45139</v>
      </c>
      <c r="C1070">
        <v>2023</v>
      </c>
      <c r="D1070">
        <v>8</v>
      </c>
      <c r="E1070" t="s">
        <v>58</v>
      </c>
      <c r="F1070" t="s">
        <v>67</v>
      </c>
      <c r="G1070" t="s">
        <v>19</v>
      </c>
      <c r="H1070" s="3">
        <v>34437.066760927337</v>
      </c>
      <c r="I1070">
        <v>7</v>
      </c>
      <c r="J1070" s="3">
        <v>21453.918433278759</v>
      </c>
      <c r="K1070" s="3">
        <v>12983.14832764858</v>
      </c>
    </row>
    <row r="1071" spans="1:11" x14ac:dyDescent="0.3">
      <c r="A1071" t="s">
        <v>1147</v>
      </c>
      <c r="B1071" s="2">
        <v>45139</v>
      </c>
      <c r="C1071">
        <v>2023</v>
      </c>
      <c r="D1071">
        <v>8</v>
      </c>
      <c r="E1071" t="s">
        <v>58</v>
      </c>
      <c r="F1071" t="s">
        <v>48</v>
      </c>
      <c r="G1071" t="s">
        <v>19</v>
      </c>
      <c r="H1071" s="3">
        <v>72774.383214883695</v>
      </c>
      <c r="I1071">
        <v>14</v>
      </c>
      <c r="J1071" s="3">
        <v>44451.273688325957</v>
      </c>
      <c r="K1071" s="3">
        <v>28323.109526557731</v>
      </c>
    </row>
    <row r="1072" spans="1:11" x14ac:dyDescent="0.3">
      <c r="A1072" t="s">
        <v>1148</v>
      </c>
      <c r="B1072" s="2">
        <v>45139</v>
      </c>
      <c r="C1072">
        <v>2023</v>
      </c>
      <c r="D1072">
        <v>8</v>
      </c>
      <c r="E1072" t="s">
        <v>62</v>
      </c>
      <c r="F1072" t="s">
        <v>67</v>
      </c>
      <c r="G1072" t="s">
        <v>19</v>
      </c>
      <c r="H1072" s="3">
        <v>24466.168412668329</v>
      </c>
      <c r="I1072">
        <v>5</v>
      </c>
      <c r="J1072" s="3">
        <v>15027.519451069969</v>
      </c>
      <c r="K1072" s="3">
        <v>9438.6489615983628</v>
      </c>
    </row>
    <row r="1073" spans="1:11" x14ac:dyDescent="0.3">
      <c r="A1073" t="s">
        <v>1149</v>
      </c>
      <c r="B1073" s="2">
        <v>45139</v>
      </c>
      <c r="C1073">
        <v>2023</v>
      </c>
      <c r="D1073">
        <v>8</v>
      </c>
      <c r="E1073" t="s">
        <v>62</v>
      </c>
      <c r="F1073" t="s">
        <v>48</v>
      </c>
      <c r="G1073" t="s">
        <v>19</v>
      </c>
      <c r="H1073" s="3">
        <v>53687.347698094287</v>
      </c>
      <c r="I1073">
        <v>10</v>
      </c>
      <c r="J1073" s="3">
        <v>34080.195803036491</v>
      </c>
      <c r="K1073" s="3">
        <v>19607.151895057799</v>
      </c>
    </row>
    <row r="1074" spans="1:11" x14ac:dyDescent="0.3">
      <c r="A1074" t="s">
        <v>1150</v>
      </c>
      <c r="B1074" s="2">
        <v>45139</v>
      </c>
      <c r="C1074">
        <v>2023</v>
      </c>
      <c r="D1074">
        <v>8</v>
      </c>
      <c r="E1074" t="s">
        <v>50</v>
      </c>
      <c r="F1074" t="s">
        <v>67</v>
      </c>
      <c r="G1074" t="s">
        <v>24</v>
      </c>
      <c r="H1074" s="3">
        <v>64935.667902787267</v>
      </c>
      <c r="I1074">
        <v>11</v>
      </c>
      <c r="J1074" s="3">
        <v>43495.60721414462</v>
      </c>
      <c r="K1074" s="3">
        <v>21440.06068864265</v>
      </c>
    </row>
    <row r="1075" spans="1:11" x14ac:dyDescent="0.3">
      <c r="A1075" t="s">
        <v>1151</v>
      </c>
      <c r="B1075" s="2">
        <v>45139</v>
      </c>
      <c r="C1075">
        <v>2023</v>
      </c>
      <c r="D1075">
        <v>8</v>
      </c>
      <c r="E1075" t="s">
        <v>50</v>
      </c>
      <c r="F1075" t="s">
        <v>48</v>
      </c>
      <c r="G1075" t="s">
        <v>24</v>
      </c>
      <c r="H1075" s="3">
        <v>132162.69089951721</v>
      </c>
      <c r="I1075">
        <v>22</v>
      </c>
      <c r="J1075" s="3">
        <v>87475.410318859111</v>
      </c>
      <c r="K1075" s="3">
        <v>44687.280580658044</v>
      </c>
    </row>
    <row r="1076" spans="1:11" x14ac:dyDescent="0.3">
      <c r="A1076" t="s">
        <v>1152</v>
      </c>
      <c r="B1076" s="2">
        <v>45139</v>
      </c>
      <c r="C1076">
        <v>2023</v>
      </c>
      <c r="D1076">
        <v>8</v>
      </c>
      <c r="E1076" t="s">
        <v>54</v>
      </c>
      <c r="F1076" t="s">
        <v>67</v>
      </c>
      <c r="G1076" t="s">
        <v>24</v>
      </c>
      <c r="H1076" s="3">
        <v>52724.003925617137</v>
      </c>
      <c r="I1076">
        <v>9</v>
      </c>
      <c r="J1076" s="3">
        <v>34001.161921503422</v>
      </c>
      <c r="K1076" s="3">
        <v>18722.842004113711</v>
      </c>
    </row>
    <row r="1077" spans="1:11" x14ac:dyDescent="0.3">
      <c r="A1077" t="s">
        <v>1153</v>
      </c>
      <c r="B1077" s="2">
        <v>45139</v>
      </c>
      <c r="C1077">
        <v>2023</v>
      </c>
      <c r="D1077">
        <v>8</v>
      </c>
      <c r="E1077" t="s">
        <v>54</v>
      </c>
      <c r="F1077" t="s">
        <v>48</v>
      </c>
      <c r="G1077" t="s">
        <v>24</v>
      </c>
      <c r="H1077" s="3">
        <v>119218.3799577536</v>
      </c>
      <c r="I1077">
        <v>20</v>
      </c>
      <c r="J1077" s="3">
        <v>78983.534764990822</v>
      </c>
      <c r="K1077" s="3">
        <v>40234.845192762732</v>
      </c>
    </row>
    <row r="1078" spans="1:11" x14ac:dyDescent="0.3">
      <c r="A1078" t="s">
        <v>1154</v>
      </c>
      <c r="B1078" s="2">
        <v>45139</v>
      </c>
      <c r="C1078">
        <v>2023</v>
      </c>
      <c r="D1078">
        <v>8</v>
      </c>
      <c r="E1078" t="s">
        <v>58</v>
      </c>
      <c r="F1078" t="s">
        <v>67</v>
      </c>
      <c r="G1078" t="s">
        <v>24</v>
      </c>
      <c r="H1078" s="3">
        <v>32869.615300758822</v>
      </c>
      <c r="I1078">
        <v>5</v>
      </c>
      <c r="J1078" s="3">
        <v>22108.904238276242</v>
      </c>
      <c r="K1078" s="3">
        <v>10760.71106248258</v>
      </c>
    </row>
    <row r="1079" spans="1:11" x14ac:dyDescent="0.3">
      <c r="A1079" t="s">
        <v>1155</v>
      </c>
      <c r="B1079" s="2">
        <v>45139</v>
      </c>
      <c r="C1079">
        <v>2023</v>
      </c>
      <c r="D1079">
        <v>8</v>
      </c>
      <c r="E1079" t="s">
        <v>58</v>
      </c>
      <c r="F1079" t="s">
        <v>48</v>
      </c>
      <c r="G1079" t="s">
        <v>24</v>
      </c>
      <c r="H1079" s="3">
        <v>71918.890922589751</v>
      </c>
      <c r="I1079">
        <v>12</v>
      </c>
      <c r="J1079" s="3">
        <v>47145.527948084913</v>
      </c>
      <c r="K1079" s="3">
        <v>24773.362974504849</v>
      </c>
    </row>
    <row r="1080" spans="1:11" x14ac:dyDescent="0.3">
      <c r="A1080" t="s">
        <v>1156</v>
      </c>
      <c r="B1080" s="2">
        <v>45139</v>
      </c>
      <c r="C1080">
        <v>2023</v>
      </c>
      <c r="D1080">
        <v>8</v>
      </c>
      <c r="E1080" t="s">
        <v>62</v>
      </c>
      <c r="F1080" t="s">
        <v>67</v>
      </c>
      <c r="G1080" t="s">
        <v>24</v>
      </c>
      <c r="H1080" s="3">
        <v>27265.75882021233</v>
      </c>
      <c r="I1080">
        <v>4</v>
      </c>
      <c r="J1080" s="3">
        <v>18433.049934224218</v>
      </c>
      <c r="K1080" s="3">
        <v>8832.7088859881114</v>
      </c>
    </row>
    <row r="1081" spans="1:11" x14ac:dyDescent="0.3">
      <c r="A1081" t="s">
        <v>1157</v>
      </c>
      <c r="B1081" s="2">
        <v>45139</v>
      </c>
      <c r="C1081">
        <v>2023</v>
      </c>
      <c r="D1081">
        <v>8</v>
      </c>
      <c r="E1081" t="s">
        <v>62</v>
      </c>
      <c r="F1081" t="s">
        <v>48</v>
      </c>
      <c r="G1081" t="s">
        <v>24</v>
      </c>
      <c r="H1081" s="3">
        <v>62736.616156278273</v>
      </c>
      <c r="I1081">
        <v>10</v>
      </c>
      <c r="J1081" s="3">
        <v>42369.663947537781</v>
      </c>
      <c r="K1081" s="3">
        <v>20366.95220874048</v>
      </c>
    </row>
    <row r="1082" spans="1:11" x14ac:dyDescent="0.3">
      <c r="A1082" t="s">
        <v>1158</v>
      </c>
      <c r="B1082" s="2">
        <v>45139</v>
      </c>
      <c r="C1082">
        <v>2023</v>
      </c>
      <c r="D1082">
        <v>8</v>
      </c>
      <c r="E1082" t="s">
        <v>50</v>
      </c>
      <c r="F1082" t="s">
        <v>67</v>
      </c>
      <c r="G1082" t="s">
        <v>29</v>
      </c>
      <c r="H1082" s="3">
        <v>45768.680254034043</v>
      </c>
      <c r="I1082">
        <v>11</v>
      </c>
      <c r="J1082" s="3">
        <v>30169.167143961138</v>
      </c>
      <c r="K1082" s="3">
        <v>15599.5131100729</v>
      </c>
    </row>
    <row r="1083" spans="1:11" x14ac:dyDescent="0.3">
      <c r="A1083" t="s">
        <v>1159</v>
      </c>
      <c r="B1083" s="2">
        <v>45139</v>
      </c>
      <c r="C1083">
        <v>2023</v>
      </c>
      <c r="D1083">
        <v>8</v>
      </c>
      <c r="E1083" t="s">
        <v>50</v>
      </c>
      <c r="F1083" t="s">
        <v>48</v>
      </c>
      <c r="G1083" t="s">
        <v>29</v>
      </c>
      <c r="H1083" s="3">
        <v>103462.65609678109</v>
      </c>
      <c r="I1083">
        <v>24</v>
      </c>
      <c r="J1083" s="3">
        <v>66579.916070433959</v>
      </c>
      <c r="K1083" s="3">
        <v>36882.74002634715</v>
      </c>
    </row>
    <row r="1084" spans="1:11" x14ac:dyDescent="0.3">
      <c r="A1084" t="s">
        <v>1160</v>
      </c>
      <c r="B1084" s="2">
        <v>45139</v>
      </c>
      <c r="C1084">
        <v>2023</v>
      </c>
      <c r="D1084">
        <v>8</v>
      </c>
      <c r="E1084" t="s">
        <v>54</v>
      </c>
      <c r="F1084" t="s">
        <v>67</v>
      </c>
      <c r="G1084" t="s">
        <v>29</v>
      </c>
      <c r="H1084" s="3">
        <v>39308.219230572453</v>
      </c>
      <c r="I1084">
        <v>9</v>
      </c>
      <c r="J1084" s="3">
        <v>25423.249293667792</v>
      </c>
      <c r="K1084" s="3">
        <v>13884.96993690465</v>
      </c>
    </row>
    <row r="1085" spans="1:11" x14ac:dyDescent="0.3">
      <c r="A1085" t="s">
        <v>1161</v>
      </c>
      <c r="B1085" s="2">
        <v>45139</v>
      </c>
      <c r="C1085">
        <v>2023</v>
      </c>
      <c r="D1085">
        <v>8</v>
      </c>
      <c r="E1085" t="s">
        <v>54</v>
      </c>
      <c r="F1085" t="s">
        <v>48</v>
      </c>
      <c r="G1085" t="s">
        <v>29</v>
      </c>
      <c r="H1085" s="3">
        <v>76499.718572071564</v>
      </c>
      <c r="I1085">
        <v>18</v>
      </c>
      <c r="J1085" s="3">
        <v>50206.110274720697</v>
      </c>
      <c r="K1085" s="3">
        <v>26293.608297350871</v>
      </c>
    </row>
    <row r="1086" spans="1:11" x14ac:dyDescent="0.3">
      <c r="A1086" t="s">
        <v>1162</v>
      </c>
      <c r="B1086" s="2">
        <v>45139</v>
      </c>
      <c r="C1086">
        <v>2023</v>
      </c>
      <c r="D1086">
        <v>8</v>
      </c>
      <c r="E1086" t="s">
        <v>58</v>
      </c>
      <c r="F1086" t="s">
        <v>67</v>
      </c>
      <c r="G1086" t="s">
        <v>29</v>
      </c>
      <c r="H1086" s="3">
        <v>24103.771170074939</v>
      </c>
      <c r="I1086">
        <v>6</v>
      </c>
      <c r="J1086" s="3">
        <v>15550.643858912479</v>
      </c>
      <c r="K1086" s="3">
        <v>8553.1273111624578</v>
      </c>
    </row>
    <row r="1087" spans="1:11" x14ac:dyDescent="0.3">
      <c r="A1087" t="s">
        <v>1163</v>
      </c>
      <c r="B1087" s="2">
        <v>45139</v>
      </c>
      <c r="C1087">
        <v>2023</v>
      </c>
      <c r="D1087">
        <v>8</v>
      </c>
      <c r="E1087" t="s">
        <v>58</v>
      </c>
      <c r="F1087" t="s">
        <v>48</v>
      </c>
      <c r="G1087" t="s">
        <v>29</v>
      </c>
      <c r="H1087" s="3">
        <v>53165.206174570783</v>
      </c>
      <c r="I1087">
        <v>12</v>
      </c>
      <c r="J1087" s="3">
        <v>33718.744518584121</v>
      </c>
      <c r="K1087" s="3">
        <v>19446.461655986659</v>
      </c>
    </row>
    <row r="1088" spans="1:11" x14ac:dyDescent="0.3">
      <c r="A1088" t="s">
        <v>1164</v>
      </c>
      <c r="B1088" s="2">
        <v>45139</v>
      </c>
      <c r="C1088">
        <v>2023</v>
      </c>
      <c r="D1088">
        <v>8</v>
      </c>
      <c r="E1088" t="s">
        <v>62</v>
      </c>
      <c r="F1088" t="s">
        <v>67</v>
      </c>
      <c r="G1088" t="s">
        <v>29</v>
      </c>
      <c r="H1088" s="3">
        <v>17247.874680230361</v>
      </c>
      <c r="I1088">
        <v>4</v>
      </c>
      <c r="J1088" s="3">
        <v>10949.51634485357</v>
      </c>
      <c r="K1088" s="3">
        <v>6298.3583353767881</v>
      </c>
    </row>
    <row r="1089" spans="1:11" x14ac:dyDescent="0.3">
      <c r="A1089" t="s">
        <v>1165</v>
      </c>
      <c r="B1089" s="2">
        <v>45139</v>
      </c>
      <c r="C1089">
        <v>2023</v>
      </c>
      <c r="D1089">
        <v>8</v>
      </c>
      <c r="E1089" t="s">
        <v>62</v>
      </c>
      <c r="F1089" t="s">
        <v>48</v>
      </c>
      <c r="G1089" t="s">
        <v>29</v>
      </c>
      <c r="H1089" s="3">
        <v>40287.492616563177</v>
      </c>
      <c r="I1089">
        <v>9</v>
      </c>
      <c r="J1089" s="3">
        <v>25894.71147101546</v>
      </c>
      <c r="K1089" s="3">
        <v>14392.78114554772</v>
      </c>
    </row>
    <row r="1090" spans="1:11" x14ac:dyDescent="0.3">
      <c r="A1090" t="s">
        <v>1166</v>
      </c>
      <c r="B1090" s="2">
        <v>45139</v>
      </c>
      <c r="C1090">
        <v>2023</v>
      </c>
      <c r="D1090">
        <v>8</v>
      </c>
      <c r="E1090" t="s">
        <v>50</v>
      </c>
      <c r="F1090" t="s">
        <v>67</v>
      </c>
      <c r="G1090" t="s">
        <v>34</v>
      </c>
      <c r="H1090" s="3">
        <v>37133.727019902617</v>
      </c>
      <c r="I1090">
        <v>44</v>
      </c>
      <c r="J1090" s="3">
        <v>17410.131177644729</v>
      </c>
      <c r="K1090" s="3">
        <v>19723.595842257891</v>
      </c>
    </row>
    <row r="1091" spans="1:11" x14ac:dyDescent="0.3">
      <c r="A1091" t="s">
        <v>1167</v>
      </c>
      <c r="B1091" s="2">
        <v>45139</v>
      </c>
      <c r="C1091">
        <v>2023</v>
      </c>
      <c r="D1091">
        <v>8</v>
      </c>
      <c r="E1091" t="s">
        <v>50</v>
      </c>
      <c r="F1091" t="s">
        <v>48</v>
      </c>
      <c r="G1091" t="s">
        <v>34</v>
      </c>
      <c r="H1091" s="3">
        <v>80560.100955180475</v>
      </c>
      <c r="I1091">
        <v>95</v>
      </c>
      <c r="J1091" s="3">
        <v>38569.134627292813</v>
      </c>
      <c r="K1091" s="3">
        <v>41990.966327887661</v>
      </c>
    </row>
    <row r="1092" spans="1:11" x14ac:dyDescent="0.3">
      <c r="A1092" t="s">
        <v>1168</v>
      </c>
      <c r="B1092" s="2">
        <v>45139</v>
      </c>
      <c r="C1092">
        <v>2023</v>
      </c>
      <c r="D1092">
        <v>8</v>
      </c>
      <c r="E1092" t="s">
        <v>54</v>
      </c>
      <c r="F1092" t="s">
        <v>67</v>
      </c>
      <c r="G1092" t="s">
        <v>34</v>
      </c>
      <c r="H1092" s="3">
        <v>30698.55719186991</v>
      </c>
      <c r="I1092">
        <v>36</v>
      </c>
      <c r="J1092" s="3">
        <v>15026.150712708581</v>
      </c>
      <c r="K1092" s="3">
        <v>15672.40647916134</v>
      </c>
    </row>
    <row r="1093" spans="1:11" x14ac:dyDescent="0.3">
      <c r="A1093" t="s">
        <v>1169</v>
      </c>
      <c r="B1093" s="2">
        <v>45139</v>
      </c>
      <c r="C1093">
        <v>2023</v>
      </c>
      <c r="D1093">
        <v>8</v>
      </c>
      <c r="E1093" t="s">
        <v>54</v>
      </c>
      <c r="F1093" t="s">
        <v>48</v>
      </c>
      <c r="G1093" t="s">
        <v>34</v>
      </c>
      <c r="H1093" s="3">
        <v>65684.183406525655</v>
      </c>
      <c r="I1093">
        <v>77</v>
      </c>
      <c r="J1093" s="3">
        <v>30284.846615626619</v>
      </c>
      <c r="K1093" s="3">
        <v>35399.336790899033</v>
      </c>
    </row>
    <row r="1094" spans="1:11" x14ac:dyDescent="0.3">
      <c r="A1094" t="s">
        <v>1170</v>
      </c>
      <c r="B1094" s="2">
        <v>45139</v>
      </c>
      <c r="C1094">
        <v>2023</v>
      </c>
      <c r="D1094">
        <v>8</v>
      </c>
      <c r="E1094" t="s">
        <v>58</v>
      </c>
      <c r="F1094" t="s">
        <v>67</v>
      </c>
      <c r="G1094" t="s">
        <v>34</v>
      </c>
      <c r="H1094" s="3">
        <v>20666.994005299799</v>
      </c>
      <c r="I1094">
        <v>24</v>
      </c>
      <c r="J1094" s="3">
        <v>10194.1585864715</v>
      </c>
      <c r="K1094" s="3">
        <v>10472.835418828299</v>
      </c>
    </row>
    <row r="1095" spans="1:11" x14ac:dyDescent="0.3">
      <c r="A1095" t="s">
        <v>1171</v>
      </c>
      <c r="B1095" s="2">
        <v>45139</v>
      </c>
      <c r="C1095">
        <v>2023</v>
      </c>
      <c r="D1095">
        <v>8</v>
      </c>
      <c r="E1095" t="s">
        <v>58</v>
      </c>
      <c r="F1095" t="s">
        <v>48</v>
      </c>
      <c r="G1095" t="s">
        <v>34</v>
      </c>
      <c r="H1095" s="3">
        <v>43924.789613293236</v>
      </c>
      <c r="I1095">
        <v>52</v>
      </c>
      <c r="J1095" s="3">
        <v>21509.851458683421</v>
      </c>
      <c r="K1095" s="3">
        <v>22414.938154609808</v>
      </c>
    </row>
    <row r="1096" spans="1:11" x14ac:dyDescent="0.3">
      <c r="A1096" t="s">
        <v>1172</v>
      </c>
      <c r="B1096" s="2">
        <v>45139</v>
      </c>
      <c r="C1096">
        <v>2023</v>
      </c>
      <c r="D1096">
        <v>8</v>
      </c>
      <c r="E1096" t="s">
        <v>62</v>
      </c>
      <c r="F1096" t="s">
        <v>67</v>
      </c>
      <c r="G1096" t="s">
        <v>34</v>
      </c>
      <c r="H1096" s="3">
        <v>15032.58203719166</v>
      </c>
      <c r="I1096">
        <v>18</v>
      </c>
      <c r="J1096" s="3">
        <v>7155.9244558544679</v>
      </c>
      <c r="K1096" s="3">
        <v>7876.6575813371937</v>
      </c>
    </row>
    <row r="1097" spans="1:11" x14ac:dyDescent="0.3">
      <c r="A1097" t="s">
        <v>1173</v>
      </c>
      <c r="B1097" s="2">
        <v>45139</v>
      </c>
      <c r="C1097">
        <v>2023</v>
      </c>
      <c r="D1097">
        <v>8</v>
      </c>
      <c r="E1097" t="s">
        <v>62</v>
      </c>
      <c r="F1097" t="s">
        <v>48</v>
      </c>
      <c r="G1097" t="s">
        <v>34</v>
      </c>
      <c r="H1097" s="3">
        <v>37695.935096217632</v>
      </c>
      <c r="I1097">
        <v>44</v>
      </c>
      <c r="J1097" s="3">
        <v>18271.027369461921</v>
      </c>
      <c r="K1097" s="3">
        <v>19424.907726755711</v>
      </c>
    </row>
    <row r="1098" spans="1:11" x14ac:dyDescent="0.3">
      <c r="A1098" t="s">
        <v>1174</v>
      </c>
      <c r="B1098" s="2">
        <v>45139</v>
      </c>
      <c r="C1098">
        <v>2023</v>
      </c>
      <c r="D1098">
        <v>8</v>
      </c>
      <c r="E1098" t="s">
        <v>50</v>
      </c>
      <c r="F1098" t="s">
        <v>67</v>
      </c>
      <c r="G1098" t="s">
        <v>37</v>
      </c>
      <c r="H1098" s="3">
        <v>32550.12924657136</v>
      </c>
      <c r="I1098">
        <v>45</v>
      </c>
      <c r="J1098" s="3">
        <v>17903.58542889883</v>
      </c>
      <c r="K1098" s="3">
        <v>14646.54381767254</v>
      </c>
    </row>
    <row r="1099" spans="1:11" x14ac:dyDescent="0.3">
      <c r="A1099" t="s">
        <v>1175</v>
      </c>
      <c r="B1099" s="2">
        <v>45139</v>
      </c>
      <c r="C1099">
        <v>2023</v>
      </c>
      <c r="D1099">
        <v>8</v>
      </c>
      <c r="E1099" t="s">
        <v>50</v>
      </c>
      <c r="F1099" t="s">
        <v>48</v>
      </c>
      <c r="G1099" t="s">
        <v>37</v>
      </c>
      <c r="H1099" s="3">
        <v>77099.65621146794</v>
      </c>
      <c r="I1099">
        <v>107</v>
      </c>
      <c r="J1099" s="3">
        <v>43343.646078352758</v>
      </c>
      <c r="K1099" s="3">
        <v>33756.010133115182</v>
      </c>
    </row>
    <row r="1100" spans="1:11" x14ac:dyDescent="0.3">
      <c r="A1100" t="s">
        <v>1176</v>
      </c>
      <c r="B1100" s="2">
        <v>45139</v>
      </c>
      <c r="C1100">
        <v>2023</v>
      </c>
      <c r="D1100">
        <v>8</v>
      </c>
      <c r="E1100" t="s">
        <v>54</v>
      </c>
      <c r="F1100" t="s">
        <v>67</v>
      </c>
      <c r="G1100" t="s">
        <v>37</v>
      </c>
      <c r="H1100" s="3">
        <v>28802.504276663291</v>
      </c>
      <c r="I1100">
        <v>40</v>
      </c>
      <c r="J1100" s="3">
        <v>16121.58433284495</v>
      </c>
      <c r="K1100" s="3">
        <v>12680.91994381834</v>
      </c>
    </row>
    <row r="1101" spans="1:11" x14ac:dyDescent="0.3">
      <c r="A1101" t="s">
        <v>1177</v>
      </c>
      <c r="B1101" s="2">
        <v>45139</v>
      </c>
      <c r="C1101">
        <v>2023</v>
      </c>
      <c r="D1101">
        <v>8</v>
      </c>
      <c r="E1101" t="s">
        <v>54</v>
      </c>
      <c r="F1101" t="s">
        <v>48</v>
      </c>
      <c r="G1101" t="s">
        <v>37</v>
      </c>
      <c r="H1101" s="3">
        <v>60845.249942981747</v>
      </c>
      <c r="I1101">
        <v>85</v>
      </c>
      <c r="J1101" s="3">
        <v>32621.529703049739</v>
      </c>
      <c r="K1101" s="3">
        <v>28223.720239932009</v>
      </c>
    </row>
    <row r="1102" spans="1:11" x14ac:dyDescent="0.3">
      <c r="A1102" t="s">
        <v>1178</v>
      </c>
      <c r="B1102" s="2">
        <v>45139</v>
      </c>
      <c r="C1102">
        <v>2023</v>
      </c>
      <c r="D1102">
        <v>8</v>
      </c>
      <c r="E1102" t="s">
        <v>58</v>
      </c>
      <c r="F1102" t="s">
        <v>67</v>
      </c>
      <c r="G1102" t="s">
        <v>37</v>
      </c>
      <c r="H1102" s="3">
        <v>17896.535778153218</v>
      </c>
      <c r="I1102">
        <v>25</v>
      </c>
      <c r="J1102" s="3">
        <v>9947.1433096421624</v>
      </c>
      <c r="K1102" s="3">
        <v>7949.3924685110596</v>
      </c>
    </row>
    <row r="1103" spans="1:11" x14ac:dyDescent="0.3">
      <c r="A1103" t="s">
        <v>1179</v>
      </c>
      <c r="B1103" s="2">
        <v>45139</v>
      </c>
      <c r="C1103">
        <v>2023</v>
      </c>
      <c r="D1103">
        <v>8</v>
      </c>
      <c r="E1103" t="s">
        <v>58</v>
      </c>
      <c r="F1103" t="s">
        <v>48</v>
      </c>
      <c r="G1103" t="s">
        <v>37</v>
      </c>
      <c r="H1103" s="3">
        <v>39069.145589381289</v>
      </c>
      <c r="I1103">
        <v>54</v>
      </c>
      <c r="J1103" s="3">
        <v>21408.496399102631</v>
      </c>
      <c r="K1103" s="3">
        <v>17660.649190278658</v>
      </c>
    </row>
    <row r="1104" spans="1:11" x14ac:dyDescent="0.3">
      <c r="A1104" t="s">
        <v>1180</v>
      </c>
      <c r="B1104" s="2">
        <v>45139</v>
      </c>
      <c r="C1104">
        <v>2023</v>
      </c>
      <c r="D1104">
        <v>8</v>
      </c>
      <c r="E1104" t="s">
        <v>62</v>
      </c>
      <c r="F1104" t="s">
        <v>67</v>
      </c>
      <c r="G1104" t="s">
        <v>37</v>
      </c>
      <c r="H1104" s="3">
        <v>14119.191598430019</v>
      </c>
      <c r="I1104">
        <v>20</v>
      </c>
      <c r="J1104" s="3">
        <v>7777.1337155804949</v>
      </c>
      <c r="K1104" s="3">
        <v>6342.0578828495281</v>
      </c>
    </row>
    <row r="1105" spans="1:11" x14ac:dyDescent="0.3">
      <c r="A1105" t="s">
        <v>1181</v>
      </c>
      <c r="B1105" s="2">
        <v>45139</v>
      </c>
      <c r="C1105">
        <v>2023</v>
      </c>
      <c r="D1105">
        <v>8</v>
      </c>
      <c r="E1105" t="s">
        <v>62</v>
      </c>
      <c r="F1105" t="s">
        <v>48</v>
      </c>
      <c r="G1105" t="s">
        <v>37</v>
      </c>
      <c r="H1105" s="3">
        <v>30541.996440498198</v>
      </c>
      <c r="I1105">
        <v>42</v>
      </c>
      <c r="J1105" s="3">
        <v>16577.923788559849</v>
      </c>
      <c r="K1105" s="3">
        <v>13964.07265193835</v>
      </c>
    </row>
    <row r="1106" spans="1:11" x14ac:dyDescent="0.3">
      <c r="A1106" t="s">
        <v>1182</v>
      </c>
      <c r="B1106" s="2">
        <v>45139</v>
      </c>
      <c r="C1106">
        <v>2023</v>
      </c>
      <c r="D1106">
        <v>8</v>
      </c>
      <c r="E1106" t="s">
        <v>50</v>
      </c>
      <c r="F1106" t="s">
        <v>67</v>
      </c>
      <c r="G1106" t="s">
        <v>40</v>
      </c>
      <c r="H1106" s="3">
        <v>29195.855941026872</v>
      </c>
      <c r="I1106">
        <v>5</v>
      </c>
      <c r="J1106" s="3">
        <v>20779.03700610598</v>
      </c>
      <c r="K1106" s="3">
        <v>8416.8189349208878</v>
      </c>
    </row>
    <row r="1107" spans="1:11" x14ac:dyDescent="0.3">
      <c r="A1107" t="s">
        <v>1183</v>
      </c>
      <c r="B1107" s="2">
        <v>45139</v>
      </c>
      <c r="C1107">
        <v>2023</v>
      </c>
      <c r="D1107">
        <v>8</v>
      </c>
      <c r="E1107" t="s">
        <v>50</v>
      </c>
      <c r="F1107" t="s">
        <v>48</v>
      </c>
      <c r="G1107" t="s">
        <v>40</v>
      </c>
      <c r="H1107" s="3">
        <v>62747.892963214523</v>
      </c>
      <c r="I1107">
        <v>12</v>
      </c>
      <c r="J1107" s="3">
        <v>44106.596306477652</v>
      </c>
      <c r="K1107" s="3">
        <v>18641.296656736871</v>
      </c>
    </row>
    <row r="1108" spans="1:11" x14ac:dyDescent="0.3">
      <c r="A1108" t="s">
        <v>1184</v>
      </c>
      <c r="B1108" s="2">
        <v>45139</v>
      </c>
      <c r="C1108">
        <v>2023</v>
      </c>
      <c r="D1108">
        <v>8</v>
      </c>
      <c r="E1108" t="s">
        <v>54</v>
      </c>
      <c r="F1108" t="s">
        <v>67</v>
      </c>
      <c r="G1108" t="s">
        <v>40</v>
      </c>
      <c r="H1108" s="3">
        <v>22793.348543962129</v>
      </c>
      <c r="I1108">
        <v>4</v>
      </c>
      <c r="J1108" s="3">
        <v>15517.986169502419</v>
      </c>
      <c r="K1108" s="3">
        <v>7275.3623744597098</v>
      </c>
    </row>
    <row r="1109" spans="1:11" x14ac:dyDescent="0.3">
      <c r="A1109" t="s">
        <v>1185</v>
      </c>
      <c r="B1109" s="2">
        <v>45139</v>
      </c>
      <c r="C1109">
        <v>2023</v>
      </c>
      <c r="D1109">
        <v>8</v>
      </c>
      <c r="E1109" t="s">
        <v>54</v>
      </c>
      <c r="F1109" t="s">
        <v>48</v>
      </c>
      <c r="G1109" t="s">
        <v>40</v>
      </c>
      <c r="H1109" s="3">
        <v>49951.781163520667</v>
      </c>
      <c r="I1109">
        <v>9</v>
      </c>
      <c r="J1109" s="3">
        <v>33638.735084801083</v>
      </c>
      <c r="K1109" s="3">
        <v>16313.04607871959</v>
      </c>
    </row>
    <row r="1110" spans="1:11" x14ac:dyDescent="0.3">
      <c r="A1110" t="s">
        <v>1186</v>
      </c>
      <c r="B1110" s="2">
        <v>45139</v>
      </c>
      <c r="C1110">
        <v>2023</v>
      </c>
      <c r="D1110">
        <v>8</v>
      </c>
      <c r="E1110" t="s">
        <v>58</v>
      </c>
      <c r="F1110" t="s">
        <v>67</v>
      </c>
      <c r="G1110" t="s">
        <v>40</v>
      </c>
      <c r="H1110" s="3">
        <v>15536.00905892811</v>
      </c>
      <c r="I1110">
        <v>3</v>
      </c>
      <c r="J1110" s="3">
        <v>10645.42792713133</v>
      </c>
      <c r="K1110" s="3">
        <v>4890.58113179678</v>
      </c>
    </row>
    <row r="1111" spans="1:11" x14ac:dyDescent="0.3">
      <c r="A1111" t="s">
        <v>1187</v>
      </c>
      <c r="B1111" s="2">
        <v>45139</v>
      </c>
      <c r="C1111">
        <v>2023</v>
      </c>
      <c r="D1111">
        <v>8</v>
      </c>
      <c r="E1111" t="s">
        <v>58</v>
      </c>
      <c r="F1111" t="s">
        <v>48</v>
      </c>
      <c r="G1111" t="s">
        <v>40</v>
      </c>
      <c r="H1111" s="3">
        <v>35574.823562284742</v>
      </c>
      <c r="I1111">
        <v>7</v>
      </c>
      <c r="J1111" s="3">
        <v>24738.608606729249</v>
      </c>
      <c r="K1111" s="3">
        <v>10836.214955555481</v>
      </c>
    </row>
    <row r="1112" spans="1:11" x14ac:dyDescent="0.3">
      <c r="A1112" t="s">
        <v>1188</v>
      </c>
      <c r="B1112" s="2">
        <v>45139</v>
      </c>
      <c r="C1112">
        <v>2023</v>
      </c>
      <c r="D1112">
        <v>8</v>
      </c>
      <c r="E1112" t="s">
        <v>62</v>
      </c>
      <c r="F1112" t="s">
        <v>67</v>
      </c>
      <c r="G1112" t="s">
        <v>40</v>
      </c>
      <c r="H1112" s="3">
        <v>13684.929771574991</v>
      </c>
      <c r="I1112">
        <v>3</v>
      </c>
      <c r="J1112" s="3">
        <v>9483.4285676924101</v>
      </c>
      <c r="K1112" s="3">
        <v>4201.5012038825844</v>
      </c>
    </row>
    <row r="1113" spans="1:11" x14ac:dyDescent="0.3">
      <c r="A1113" t="s">
        <v>1189</v>
      </c>
      <c r="B1113" s="2">
        <v>45139</v>
      </c>
      <c r="C1113">
        <v>2023</v>
      </c>
      <c r="D1113">
        <v>8</v>
      </c>
      <c r="E1113" t="s">
        <v>62</v>
      </c>
      <c r="F1113" t="s">
        <v>48</v>
      </c>
      <c r="G1113" t="s">
        <v>40</v>
      </c>
      <c r="H1113" s="3">
        <v>27613.148362226089</v>
      </c>
      <c r="I1113">
        <v>5</v>
      </c>
      <c r="J1113" s="3">
        <v>19482.84091712613</v>
      </c>
      <c r="K1113" s="3">
        <v>8130.3074450999593</v>
      </c>
    </row>
    <row r="1114" spans="1:11" x14ac:dyDescent="0.3">
      <c r="A1114" t="s">
        <v>1190</v>
      </c>
      <c r="B1114" s="2">
        <v>45139</v>
      </c>
      <c r="C1114">
        <v>2023</v>
      </c>
      <c r="D1114">
        <v>8</v>
      </c>
      <c r="E1114" t="s">
        <v>50</v>
      </c>
      <c r="F1114" t="s">
        <v>67</v>
      </c>
      <c r="G1114" t="s">
        <v>43</v>
      </c>
      <c r="H1114" s="3">
        <v>59951.44102615647</v>
      </c>
      <c r="I1114">
        <v>17</v>
      </c>
      <c r="J1114" s="3">
        <v>35874.279693726181</v>
      </c>
      <c r="K1114" s="3">
        <v>24077.161332430289</v>
      </c>
    </row>
    <row r="1115" spans="1:11" x14ac:dyDescent="0.3">
      <c r="A1115" t="s">
        <v>1191</v>
      </c>
      <c r="B1115" s="2">
        <v>45139</v>
      </c>
      <c r="C1115">
        <v>2023</v>
      </c>
      <c r="D1115">
        <v>8</v>
      </c>
      <c r="E1115" t="s">
        <v>50</v>
      </c>
      <c r="F1115" t="s">
        <v>48</v>
      </c>
      <c r="G1115" t="s">
        <v>43</v>
      </c>
      <c r="H1115" s="3">
        <v>133282.0564230872</v>
      </c>
      <c r="I1115">
        <v>38</v>
      </c>
      <c r="J1115" s="3">
        <v>80008.795040816025</v>
      </c>
      <c r="K1115" s="3">
        <v>53273.261382271143</v>
      </c>
    </row>
    <row r="1116" spans="1:11" x14ac:dyDescent="0.3">
      <c r="A1116" t="s">
        <v>1192</v>
      </c>
      <c r="B1116" s="2">
        <v>45139</v>
      </c>
      <c r="C1116">
        <v>2023</v>
      </c>
      <c r="D1116">
        <v>8</v>
      </c>
      <c r="E1116" t="s">
        <v>54</v>
      </c>
      <c r="F1116" t="s">
        <v>67</v>
      </c>
      <c r="G1116" t="s">
        <v>43</v>
      </c>
      <c r="H1116" s="3">
        <v>53505.369384765523</v>
      </c>
      <c r="I1116">
        <v>15</v>
      </c>
      <c r="J1116" s="3">
        <v>31753.89600820827</v>
      </c>
      <c r="K1116" s="3">
        <v>21751.473376557249</v>
      </c>
    </row>
    <row r="1117" spans="1:11" x14ac:dyDescent="0.3">
      <c r="A1117" t="s">
        <v>1193</v>
      </c>
      <c r="B1117" s="2">
        <v>45139</v>
      </c>
      <c r="C1117">
        <v>2023</v>
      </c>
      <c r="D1117">
        <v>8</v>
      </c>
      <c r="E1117" t="s">
        <v>54</v>
      </c>
      <c r="F1117" t="s">
        <v>48</v>
      </c>
      <c r="G1117" t="s">
        <v>43</v>
      </c>
      <c r="H1117" s="3">
        <v>115214.3538156579</v>
      </c>
      <c r="I1117">
        <v>33</v>
      </c>
      <c r="J1117" s="3">
        <v>66276.555560272347</v>
      </c>
      <c r="K1117" s="3">
        <v>48937.798255385511</v>
      </c>
    </row>
    <row r="1118" spans="1:11" x14ac:dyDescent="0.3">
      <c r="A1118" t="s">
        <v>1194</v>
      </c>
      <c r="B1118" s="2">
        <v>45139</v>
      </c>
      <c r="C1118">
        <v>2023</v>
      </c>
      <c r="D1118">
        <v>8</v>
      </c>
      <c r="E1118" t="s">
        <v>58</v>
      </c>
      <c r="F1118" t="s">
        <v>67</v>
      </c>
      <c r="G1118" t="s">
        <v>43</v>
      </c>
      <c r="H1118" s="3">
        <v>38726.221430787678</v>
      </c>
      <c r="I1118">
        <v>11</v>
      </c>
      <c r="J1118" s="3">
        <v>22767.98522557244</v>
      </c>
      <c r="K1118" s="3">
        <v>15958.23620521524</v>
      </c>
    </row>
    <row r="1119" spans="1:11" x14ac:dyDescent="0.3">
      <c r="A1119" t="s">
        <v>1195</v>
      </c>
      <c r="B1119" s="2">
        <v>45139</v>
      </c>
      <c r="C1119">
        <v>2023</v>
      </c>
      <c r="D1119">
        <v>8</v>
      </c>
      <c r="E1119" t="s">
        <v>58</v>
      </c>
      <c r="F1119" t="s">
        <v>48</v>
      </c>
      <c r="G1119" t="s">
        <v>43</v>
      </c>
      <c r="H1119" s="3">
        <v>81953.895359312417</v>
      </c>
      <c r="I1119">
        <v>23</v>
      </c>
      <c r="J1119" s="3">
        <v>49275.447757995782</v>
      </c>
      <c r="K1119" s="3">
        <v>32678.447601316631</v>
      </c>
    </row>
    <row r="1120" spans="1:11" x14ac:dyDescent="0.3">
      <c r="A1120" t="s">
        <v>1196</v>
      </c>
      <c r="B1120" s="2">
        <v>45139</v>
      </c>
      <c r="C1120">
        <v>2023</v>
      </c>
      <c r="D1120">
        <v>8</v>
      </c>
      <c r="E1120" t="s">
        <v>62</v>
      </c>
      <c r="F1120" t="s">
        <v>67</v>
      </c>
      <c r="G1120" t="s">
        <v>43</v>
      </c>
      <c r="H1120" s="3">
        <v>26156.528722990111</v>
      </c>
      <c r="I1120">
        <v>7</v>
      </c>
      <c r="J1120" s="3">
        <v>15418.039787170581</v>
      </c>
      <c r="K1120" s="3">
        <v>10738.48893581952</v>
      </c>
    </row>
    <row r="1121" spans="1:11" x14ac:dyDescent="0.3">
      <c r="A1121" t="s">
        <v>1197</v>
      </c>
      <c r="B1121" s="2">
        <v>45139</v>
      </c>
      <c r="C1121">
        <v>2023</v>
      </c>
      <c r="D1121">
        <v>8</v>
      </c>
      <c r="E1121" t="s">
        <v>62</v>
      </c>
      <c r="F1121" t="s">
        <v>48</v>
      </c>
      <c r="G1121" t="s">
        <v>43</v>
      </c>
      <c r="H1121" s="3">
        <v>58120.615774767197</v>
      </c>
      <c r="I1121">
        <v>17</v>
      </c>
      <c r="J1121" s="3">
        <v>34601.691278909479</v>
      </c>
      <c r="K1121" s="3">
        <v>23518.924495857729</v>
      </c>
    </row>
    <row r="1122" spans="1:11" x14ac:dyDescent="0.3">
      <c r="A1122" t="s">
        <v>1198</v>
      </c>
      <c r="B1122" s="2">
        <v>45170</v>
      </c>
      <c r="C1122">
        <v>2023</v>
      </c>
      <c r="D1122">
        <v>9</v>
      </c>
      <c r="E1122" t="s">
        <v>50</v>
      </c>
      <c r="F1122" t="s">
        <v>67</v>
      </c>
      <c r="G1122" t="s">
        <v>19</v>
      </c>
      <c r="H1122" s="3">
        <v>68914.832640156674</v>
      </c>
      <c r="I1122">
        <v>13</v>
      </c>
      <c r="J1122" s="3">
        <v>42482.050244214508</v>
      </c>
      <c r="K1122" s="3">
        <v>26432.782395942169</v>
      </c>
    </row>
    <row r="1123" spans="1:11" x14ac:dyDescent="0.3">
      <c r="A1123" t="s">
        <v>1199</v>
      </c>
      <c r="B1123" s="2">
        <v>45170</v>
      </c>
      <c r="C1123">
        <v>2023</v>
      </c>
      <c r="D1123">
        <v>9</v>
      </c>
      <c r="E1123" t="s">
        <v>50</v>
      </c>
      <c r="F1123" t="s">
        <v>48</v>
      </c>
      <c r="G1123" t="s">
        <v>19</v>
      </c>
      <c r="H1123" s="3">
        <v>140329.80299423309</v>
      </c>
      <c r="I1123">
        <v>27</v>
      </c>
      <c r="J1123" s="3">
        <v>85391.709497315154</v>
      </c>
      <c r="K1123" s="3">
        <v>54938.093496917943</v>
      </c>
    </row>
    <row r="1124" spans="1:11" x14ac:dyDescent="0.3">
      <c r="A1124" t="s">
        <v>1200</v>
      </c>
      <c r="B1124" s="2">
        <v>45170</v>
      </c>
      <c r="C1124">
        <v>2023</v>
      </c>
      <c r="D1124">
        <v>9</v>
      </c>
      <c r="E1124" t="s">
        <v>54</v>
      </c>
      <c r="F1124" t="s">
        <v>67</v>
      </c>
      <c r="G1124" t="s">
        <v>19</v>
      </c>
      <c r="H1124" s="3">
        <v>47192.31497140463</v>
      </c>
      <c r="I1124">
        <v>9</v>
      </c>
      <c r="J1124" s="3">
        <v>29194.274128440131</v>
      </c>
      <c r="K1124" s="3">
        <v>17998.040842964499</v>
      </c>
    </row>
    <row r="1125" spans="1:11" x14ac:dyDescent="0.3">
      <c r="A1125" t="s">
        <v>1201</v>
      </c>
      <c r="B1125" s="2">
        <v>45170</v>
      </c>
      <c r="C1125">
        <v>2023</v>
      </c>
      <c r="D1125">
        <v>9</v>
      </c>
      <c r="E1125" t="s">
        <v>54</v>
      </c>
      <c r="F1125" t="s">
        <v>48</v>
      </c>
      <c r="G1125" t="s">
        <v>19</v>
      </c>
      <c r="H1125" s="3">
        <v>112764.5508554274</v>
      </c>
      <c r="I1125">
        <v>22</v>
      </c>
      <c r="J1125" s="3">
        <v>70302.943022914624</v>
      </c>
      <c r="K1125" s="3">
        <v>42461.607832512818</v>
      </c>
    </row>
    <row r="1126" spans="1:11" x14ac:dyDescent="0.3">
      <c r="A1126" t="s">
        <v>1202</v>
      </c>
      <c r="B1126" s="2">
        <v>45170</v>
      </c>
      <c r="C1126">
        <v>2023</v>
      </c>
      <c r="D1126">
        <v>9</v>
      </c>
      <c r="E1126" t="s">
        <v>58</v>
      </c>
      <c r="F1126" t="s">
        <v>67</v>
      </c>
      <c r="G1126" t="s">
        <v>19</v>
      </c>
      <c r="H1126" s="3">
        <v>34244.635274215638</v>
      </c>
      <c r="I1126">
        <v>7</v>
      </c>
      <c r="J1126" s="3">
        <v>20981.089609250481</v>
      </c>
      <c r="K1126" s="3">
        <v>13263.54566496515</v>
      </c>
    </row>
    <row r="1127" spans="1:11" x14ac:dyDescent="0.3">
      <c r="A1127" t="s">
        <v>1203</v>
      </c>
      <c r="B1127" s="2">
        <v>45170</v>
      </c>
      <c r="C1127">
        <v>2023</v>
      </c>
      <c r="D1127">
        <v>9</v>
      </c>
      <c r="E1127" t="s">
        <v>58</v>
      </c>
      <c r="F1127" t="s">
        <v>48</v>
      </c>
      <c r="G1127" t="s">
        <v>19</v>
      </c>
      <c r="H1127" s="3">
        <v>71900.827137751417</v>
      </c>
      <c r="I1127">
        <v>14</v>
      </c>
      <c r="J1127" s="3">
        <v>44389.375003871042</v>
      </c>
      <c r="K1127" s="3">
        <v>27511.452133880379</v>
      </c>
    </row>
    <row r="1128" spans="1:11" x14ac:dyDescent="0.3">
      <c r="A1128" t="s">
        <v>1204</v>
      </c>
      <c r="B1128" s="2">
        <v>45170</v>
      </c>
      <c r="C1128">
        <v>2023</v>
      </c>
      <c r="D1128">
        <v>9</v>
      </c>
      <c r="E1128" t="s">
        <v>62</v>
      </c>
      <c r="F1128" t="s">
        <v>67</v>
      </c>
      <c r="G1128" t="s">
        <v>19</v>
      </c>
      <c r="H1128" s="3">
        <v>23122.932517257359</v>
      </c>
      <c r="I1128">
        <v>4</v>
      </c>
      <c r="J1128" s="3">
        <v>14093.787860860321</v>
      </c>
      <c r="K1128" s="3">
        <v>9029.1446563970421</v>
      </c>
    </row>
    <row r="1129" spans="1:11" x14ac:dyDescent="0.3">
      <c r="A1129" t="s">
        <v>1205</v>
      </c>
      <c r="B1129" s="2">
        <v>45170</v>
      </c>
      <c r="C1129">
        <v>2023</v>
      </c>
      <c r="D1129">
        <v>9</v>
      </c>
      <c r="E1129" t="s">
        <v>62</v>
      </c>
      <c r="F1129" t="s">
        <v>48</v>
      </c>
      <c r="G1129" t="s">
        <v>19</v>
      </c>
      <c r="H1129" s="3">
        <v>58668.327945601653</v>
      </c>
      <c r="I1129">
        <v>11</v>
      </c>
      <c r="J1129" s="3">
        <v>37107.176109359119</v>
      </c>
      <c r="K1129" s="3">
        <v>21561.15183624253</v>
      </c>
    </row>
    <row r="1130" spans="1:11" x14ac:dyDescent="0.3">
      <c r="A1130" t="s">
        <v>1206</v>
      </c>
      <c r="B1130" s="2">
        <v>45170</v>
      </c>
      <c r="C1130">
        <v>2023</v>
      </c>
      <c r="D1130">
        <v>9</v>
      </c>
      <c r="E1130" t="s">
        <v>50</v>
      </c>
      <c r="F1130" t="s">
        <v>67</v>
      </c>
      <c r="G1130" t="s">
        <v>24</v>
      </c>
      <c r="H1130" s="3">
        <v>74795.716850293247</v>
      </c>
      <c r="I1130">
        <v>12</v>
      </c>
      <c r="J1130" s="3">
        <v>49103.527651095967</v>
      </c>
      <c r="K1130" s="3">
        <v>25692.189199197281</v>
      </c>
    </row>
    <row r="1131" spans="1:11" x14ac:dyDescent="0.3">
      <c r="A1131" t="s">
        <v>1207</v>
      </c>
      <c r="B1131" s="2">
        <v>45170</v>
      </c>
      <c r="C1131">
        <v>2023</v>
      </c>
      <c r="D1131">
        <v>9</v>
      </c>
      <c r="E1131" t="s">
        <v>50</v>
      </c>
      <c r="F1131" t="s">
        <v>48</v>
      </c>
      <c r="G1131" t="s">
        <v>24</v>
      </c>
      <c r="H1131" s="3">
        <v>162719.66687527081</v>
      </c>
      <c r="I1131">
        <v>27</v>
      </c>
      <c r="J1131" s="3">
        <v>110203.3158901258</v>
      </c>
      <c r="K1131" s="3">
        <v>52516.350985144927</v>
      </c>
    </row>
    <row r="1132" spans="1:11" x14ac:dyDescent="0.3">
      <c r="A1132" t="s">
        <v>1208</v>
      </c>
      <c r="B1132" s="2">
        <v>45170</v>
      </c>
      <c r="C1132">
        <v>2023</v>
      </c>
      <c r="D1132">
        <v>9</v>
      </c>
      <c r="E1132" t="s">
        <v>54</v>
      </c>
      <c r="F1132" t="s">
        <v>67</v>
      </c>
      <c r="G1132" t="s">
        <v>24</v>
      </c>
      <c r="H1132" s="3">
        <v>57281.88022021205</v>
      </c>
      <c r="I1132">
        <v>9</v>
      </c>
      <c r="J1132" s="3">
        <v>38846.367214327649</v>
      </c>
      <c r="K1132" s="3">
        <v>18435.513005884401</v>
      </c>
    </row>
    <row r="1133" spans="1:11" x14ac:dyDescent="0.3">
      <c r="A1133" t="s">
        <v>1209</v>
      </c>
      <c r="B1133" s="2">
        <v>45170</v>
      </c>
      <c r="C1133">
        <v>2023</v>
      </c>
      <c r="D1133">
        <v>9</v>
      </c>
      <c r="E1133" t="s">
        <v>54</v>
      </c>
      <c r="F1133" t="s">
        <v>48</v>
      </c>
      <c r="G1133" t="s">
        <v>24</v>
      </c>
      <c r="H1133" s="3">
        <v>123859.51646472439</v>
      </c>
      <c r="I1133">
        <v>20</v>
      </c>
      <c r="J1133" s="3">
        <v>81628.025696376062</v>
      </c>
      <c r="K1133" s="3">
        <v>42231.490768348289</v>
      </c>
    </row>
    <row r="1134" spans="1:11" x14ac:dyDescent="0.3">
      <c r="A1134" t="s">
        <v>1210</v>
      </c>
      <c r="B1134" s="2">
        <v>45170</v>
      </c>
      <c r="C1134">
        <v>2023</v>
      </c>
      <c r="D1134">
        <v>9</v>
      </c>
      <c r="E1134" t="s">
        <v>58</v>
      </c>
      <c r="F1134" t="s">
        <v>67</v>
      </c>
      <c r="G1134" t="s">
        <v>24</v>
      </c>
      <c r="H1134" s="3">
        <v>39764.50518903906</v>
      </c>
      <c r="I1134">
        <v>7</v>
      </c>
      <c r="J1134" s="3">
        <v>25768.17990224966</v>
      </c>
      <c r="K1134" s="3">
        <v>13996.325286789401</v>
      </c>
    </row>
    <row r="1135" spans="1:11" x14ac:dyDescent="0.3">
      <c r="A1135" t="s">
        <v>1211</v>
      </c>
      <c r="B1135" s="2">
        <v>45170</v>
      </c>
      <c r="C1135">
        <v>2023</v>
      </c>
      <c r="D1135">
        <v>9</v>
      </c>
      <c r="E1135" t="s">
        <v>58</v>
      </c>
      <c r="F1135" t="s">
        <v>48</v>
      </c>
      <c r="G1135" t="s">
        <v>24</v>
      </c>
      <c r="H1135" s="3">
        <v>81178.866428835463</v>
      </c>
      <c r="I1135">
        <v>13</v>
      </c>
      <c r="J1135" s="3">
        <v>51566.401639647011</v>
      </c>
      <c r="K1135" s="3">
        <v>29612.464789188449</v>
      </c>
    </row>
    <row r="1136" spans="1:11" x14ac:dyDescent="0.3">
      <c r="A1136" t="s">
        <v>1212</v>
      </c>
      <c r="B1136" s="2">
        <v>45170</v>
      </c>
      <c r="C1136">
        <v>2023</v>
      </c>
      <c r="D1136">
        <v>9</v>
      </c>
      <c r="E1136" t="s">
        <v>62</v>
      </c>
      <c r="F1136" t="s">
        <v>67</v>
      </c>
      <c r="G1136" t="s">
        <v>24</v>
      </c>
      <c r="H1136" s="3">
        <v>28742.184199591149</v>
      </c>
      <c r="I1136">
        <v>5</v>
      </c>
      <c r="J1136" s="3">
        <v>18467.20399059559</v>
      </c>
      <c r="K1136" s="3">
        <v>10274.980208995559</v>
      </c>
    </row>
    <row r="1137" spans="1:11" x14ac:dyDescent="0.3">
      <c r="A1137" t="s">
        <v>1213</v>
      </c>
      <c r="B1137" s="2">
        <v>45170</v>
      </c>
      <c r="C1137">
        <v>2023</v>
      </c>
      <c r="D1137">
        <v>9</v>
      </c>
      <c r="E1137" t="s">
        <v>62</v>
      </c>
      <c r="F1137" t="s">
        <v>48</v>
      </c>
      <c r="G1137" t="s">
        <v>24</v>
      </c>
      <c r="H1137" s="3">
        <v>61355.63244896094</v>
      </c>
      <c r="I1137">
        <v>10</v>
      </c>
      <c r="J1137" s="3">
        <v>39493.322462116877</v>
      </c>
      <c r="K1137" s="3">
        <v>21862.309986844051</v>
      </c>
    </row>
    <row r="1138" spans="1:11" x14ac:dyDescent="0.3">
      <c r="A1138" t="s">
        <v>1214</v>
      </c>
      <c r="B1138" s="2">
        <v>45170</v>
      </c>
      <c r="C1138">
        <v>2023</v>
      </c>
      <c r="D1138">
        <v>9</v>
      </c>
      <c r="E1138" t="s">
        <v>50</v>
      </c>
      <c r="F1138" t="s">
        <v>67</v>
      </c>
      <c r="G1138" t="s">
        <v>29</v>
      </c>
      <c r="H1138" s="3">
        <v>48074.121614430704</v>
      </c>
      <c r="I1138">
        <v>11</v>
      </c>
      <c r="J1138" s="3">
        <v>31530.85344745831</v>
      </c>
      <c r="K1138" s="3">
        <v>16543.268166972401</v>
      </c>
    </row>
    <row r="1139" spans="1:11" x14ac:dyDescent="0.3">
      <c r="A1139" t="s">
        <v>1215</v>
      </c>
      <c r="B1139" s="2">
        <v>45170</v>
      </c>
      <c r="C1139">
        <v>2023</v>
      </c>
      <c r="D1139">
        <v>9</v>
      </c>
      <c r="E1139" t="s">
        <v>50</v>
      </c>
      <c r="F1139" t="s">
        <v>48</v>
      </c>
      <c r="G1139" t="s">
        <v>29</v>
      </c>
      <c r="H1139" s="3">
        <v>97657.747669169039</v>
      </c>
      <c r="I1139">
        <v>23</v>
      </c>
      <c r="J1139" s="3">
        <v>62631.263167237339</v>
      </c>
      <c r="K1139" s="3">
        <v>35026.4845019317</v>
      </c>
    </row>
    <row r="1140" spans="1:11" x14ac:dyDescent="0.3">
      <c r="A1140" t="s">
        <v>1216</v>
      </c>
      <c r="B1140" s="2">
        <v>45170</v>
      </c>
      <c r="C1140">
        <v>2023</v>
      </c>
      <c r="D1140">
        <v>9</v>
      </c>
      <c r="E1140" t="s">
        <v>54</v>
      </c>
      <c r="F1140" t="s">
        <v>67</v>
      </c>
      <c r="G1140" t="s">
        <v>29</v>
      </c>
      <c r="H1140" s="3">
        <v>36278.662166196023</v>
      </c>
      <c r="I1140">
        <v>8</v>
      </c>
      <c r="J1140" s="3">
        <v>23381.171278425099</v>
      </c>
      <c r="K1140" s="3">
        <v>12897.490887770929</v>
      </c>
    </row>
    <row r="1141" spans="1:11" x14ac:dyDescent="0.3">
      <c r="A1141" t="s">
        <v>1217</v>
      </c>
      <c r="B1141" s="2">
        <v>45170</v>
      </c>
      <c r="C1141">
        <v>2023</v>
      </c>
      <c r="D1141">
        <v>9</v>
      </c>
      <c r="E1141" t="s">
        <v>54</v>
      </c>
      <c r="F1141" t="s">
        <v>48</v>
      </c>
      <c r="G1141" t="s">
        <v>29</v>
      </c>
      <c r="H1141" s="3">
        <v>83191.157632111339</v>
      </c>
      <c r="I1141">
        <v>19</v>
      </c>
      <c r="J1141" s="3">
        <v>51114.373463782278</v>
      </c>
      <c r="K1141" s="3">
        <v>32076.784168329061</v>
      </c>
    </row>
    <row r="1142" spans="1:11" x14ac:dyDescent="0.3">
      <c r="A1142" t="s">
        <v>1218</v>
      </c>
      <c r="B1142" s="2">
        <v>45170</v>
      </c>
      <c r="C1142">
        <v>2023</v>
      </c>
      <c r="D1142">
        <v>9</v>
      </c>
      <c r="E1142" t="s">
        <v>58</v>
      </c>
      <c r="F1142" t="s">
        <v>67</v>
      </c>
      <c r="G1142" t="s">
        <v>29</v>
      </c>
      <c r="H1142" s="3">
        <v>25465.824000180892</v>
      </c>
      <c r="I1142">
        <v>6</v>
      </c>
      <c r="J1142" s="3">
        <v>15946.6843902583</v>
      </c>
      <c r="K1142" s="3">
        <v>9519.1396099225894</v>
      </c>
    </row>
    <row r="1143" spans="1:11" x14ac:dyDescent="0.3">
      <c r="A1143" t="s">
        <v>1219</v>
      </c>
      <c r="B1143" s="2">
        <v>45170</v>
      </c>
      <c r="C1143">
        <v>2023</v>
      </c>
      <c r="D1143">
        <v>9</v>
      </c>
      <c r="E1143" t="s">
        <v>58</v>
      </c>
      <c r="F1143" t="s">
        <v>48</v>
      </c>
      <c r="G1143" t="s">
        <v>29</v>
      </c>
      <c r="H1143" s="3">
        <v>58991.499873152679</v>
      </c>
      <c r="I1143">
        <v>14</v>
      </c>
      <c r="J1143" s="3">
        <v>38357.40343712474</v>
      </c>
      <c r="K1143" s="3">
        <v>20634.096436027939</v>
      </c>
    </row>
    <row r="1144" spans="1:11" x14ac:dyDescent="0.3">
      <c r="A1144" t="s">
        <v>1220</v>
      </c>
      <c r="B1144" s="2">
        <v>45170</v>
      </c>
      <c r="C1144">
        <v>2023</v>
      </c>
      <c r="D1144">
        <v>9</v>
      </c>
      <c r="E1144" t="s">
        <v>62</v>
      </c>
      <c r="F1144" t="s">
        <v>67</v>
      </c>
      <c r="G1144" t="s">
        <v>29</v>
      </c>
      <c r="H1144" s="3">
        <v>19596.078234903209</v>
      </c>
      <c r="I1144">
        <v>5</v>
      </c>
      <c r="J1144" s="3">
        <v>12606.22841462983</v>
      </c>
      <c r="K1144" s="3">
        <v>6989.8498202733826</v>
      </c>
    </row>
    <row r="1145" spans="1:11" x14ac:dyDescent="0.3">
      <c r="A1145" t="s">
        <v>1221</v>
      </c>
      <c r="B1145" s="2">
        <v>45170</v>
      </c>
      <c r="C1145">
        <v>2023</v>
      </c>
      <c r="D1145">
        <v>9</v>
      </c>
      <c r="E1145" t="s">
        <v>62</v>
      </c>
      <c r="F1145" t="s">
        <v>48</v>
      </c>
      <c r="G1145" t="s">
        <v>29</v>
      </c>
      <c r="H1145" s="3">
        <v>42640.719517957179</v>
      </c>
      <c r="I1145">
        <v>10</v>
      </c>
      <c r="J1145" s="3">
        <v>27217.750154212648</v>
      </c>
      <c r="K1145" s="3">
        <v>15422.969363744531</v>
      </c>
    </row>
    <row r="1146" spans="1:11" x14ac:dyDescent="0.3">
      <c r="A1146" t="s">
        <v>1222</v>
      </c>
      <c r="B1146" s="2">
        <v>45170</v>
      </c>
      <c r="C1146">
        <v>2023</v>
      </c>
      <c r="D1146">
        <v>9</v>
      </c>
      <c r="E1146" t="s">
        <v>50</v>
      </c>
      <c r="F1146" t="s">
        <v>67</v>
      </c>
      <c r="G1146" t="s">
        <v>34</v>
      </c>
      <c r="H1146" s="3">
        <v>44892.223296294353</v>
      </c>
      <c r="I1146">
        <v>53</v>
      </c>
      <c r="J1146" s="3">
        <v>21767.351915282408</v>
      </c>
      <c r="K1146" s="3">
        <v>23124.87138101193</v>
      </c>
    </row>
    <row r="1147" spans="1:11" x14ac:dyDescent="0.3">
      <c r="A1147" t="s">
        <v>1223</v>
      </c>
      <c r="B1147" s="2">
        <v>45170</v>
      </c>
      <c r="C1147">
        <v>2023</v>
      </c>
      <c r="D1147">
        <v>9</v>
      </c>
      <c r="E1147" t="s">
        <v>50</v>
      </c>
      <c r="F1147" t="s">
        <v>48</v>
      </c>
      <c r="G1147" t="s">
        <v>34</v>
      </c>
      <c r="H1147" s="3">
        <v>97792.817610941696</v>
      </c>
      <c r="I1147">
        <v>115</v>
      </c>
      <c r="J1147" s="3">
        <v>48322.687002245002</v>
      </c>
      <c r="K1147" s="3">
        <v>49470.130608696687</v>
      </c>
    </row>
    <row r="1148" spans="1:11" x14ac:dyDescent="0.3">
      <c r="A1148" t="s">
        <v>1224</v>
      </c>
      <c r="B1148" s="2">
        <v>45170</v>
      </c>
      <c r="C1148">
        <v>2023</v>
      </c>
      <c r="D1148">
        <v>9</v>
      </c>
      <c r="E1148" t="s">
        <v>54</v>
      </c>
      <c r="F1148" t="s">
        <v>67</v>
      </c>
      <c r="G1148" t="s">
        <v>34</v>
      </c>
      <c r="H1148" s="3">
        <v>39059.149207740942</v>
      </c>
      <c r="I1148">
        <v>46</v>
      </c>
      <c r="J1148" s="3">
        <v>18673.796187638021</v>
      </c>
      <c r="K1148" s="3">
        <v>20385.353020102921</v>
      </c>
    </row>
    <row r="1149" spans="1:11" x14ac:dyDescent="0.3">
      <c r="A1149" t="s">
        <v>1225</v>
      </c>
      <c r="B1149" s="2">
        <v>45170</v>
      </c>
      <c r="C1149">
        <v>2023</v>
      </c>
      <c r="D1149">
        <v>9</v>
      </c>
      <c r="E1149" t="s">
        <v>54</v>
      </c>
      <c r="F1149" t="s">
        <v>48</v>
      </c>
      <c r="G1149" t="s">
        <v>34</v>
      </c>
      <c r="H1149" s="3">
        <v>77239.159989055537</v>
      </c>
      <c r="I1149">
        <v>91</v>
      </c>
      <c r="J1149" s="3">
        <v>37121.090478816972</v>
      </c>
      <c r="K1149" s="3">
        <v>40118.069510238573</v>
      </c>
    </row>
    <row r="1150" spans="1:11" x14ac:dyDescent="0.3">
      <c r="A1150" t="s">
        <v>1226</v>
      </c>
      <c r="B1150" s="2">
        <v>45170</v>
      </c>
      <c r="C1150">
        <v>2023</v>
      </c>
      <c r="D1150">
        <v>9</v>
      </c>
      <c r="E1150" t="s">
        <v>58</v>
      </c>
      <c r="F1150" t="s">
        <v>67</v>
      </c>
      <c r="G1150" t="s">
        <v>34</v>
      </c>
      <c r="H1150" s="3">
        <v>25053.675460549399</v>
      </c>
      <c r="I1150">
        <v>29</v>
      </c>
      <c r="J1150" s="3">
        <v>12067.454473482299</v>
      </c>
      <c r="K1150" s="3">
        <v>12986.220987067099</v>
      </c>
    </row>
    <row r="1151" spans="1:11" x14ac:dyDescent="0.3">
      <c r="A1151" t="s">
        <v>1227</v>
      </c>
      <c r="B1151" s="2">
        <v>45170</v>
      </c>
      <c r="C1151">
        <v>2023</v>
      </c>
      <c r="D1151">
        <v>9</v>
      </c>
      <c r="E1151" t="s">
        <v>58</v>
      </c>
      <c r="F1151" t="s">
        <v>48</v>
      </c>
      <c r="G1151" t="s">
        <v>34</v>
      </c>
      <c r="H1151" s="3">
        <v>54442.611961386487</v>
      </c>
      <c r="I1151">
        <v>64</v>
      </c>
      <c r="J1151" s="3">
        <v>27257.66424045512</v>
      </c>
      <c r="K1151" s="3">
        <v>27184.94772093137</v>
      </c>
    </row>
    <row r="1152" spans="1:11" x14ac:dyDescent="0.3">
      <c r="A1152" t="s">
        <v>1228</v>
      </c>
      <c r="B1152" s="2">
        <v>45170</v>
      </c>
      <c r="C1152">
        <v>2023</v>
      </c>
      <c r="D1152">
        <v>9</v>
      </c>
      <c r="E1152" t="s">
        <v>62</v>
      </c>
      <c r="F1152" t="s">
        <v>67</v>
      </c>
      <c r="G1152" t="s">
        <v>34</v>
      </c>
      <c r="H1152" s="3">
        <v>16684.12185016958</v>
      </c>
      <c r="I1152">
        <v>20</v>
      </c>
      <c r="J1152" s="3">
        <v>7705.7545762391364</v>
      </c>
      <c r="K1152" s="3">
        <v>8978.367273930442</v>
      </c>
    </row>
    <row r="1153" spans="1:11" x14ac:dyDescent="0.3">
      <c r="A1153" t="s">
        <v>1229</v>
      </c>
      <c r="B1153" s="2">
        <v>45170</v>
      </c>
      <c r="C1153">
        <v>2023</v>
      </c>
      <c r="D1153">
        <v>9</v>
      </c>
      <c r="E1153" t="s">
        <v>62</v>
      </c>
      <c r="F1153" t="s">
        <v>48</v>
      </c>
      <c r="G1153" t="s">
        <v>34</v>
      </c>
      <c r="H1153" s="3">
        <v>39111.269766941419</v>
      </c>
      <c r="I1153">
        <v>46</v>
      </c>
      <c r="J1153" s="3">
        <v>19004.28514584211</v>
      </c>
      <c r="K1153" s="3">
        <v>20106.984621099309</v>
      </c>
    </row>
    <row r="1154" spans="1:11" x14ac:dyDescent="0.3">
      <c r="A1154" t="s">
        <v>1230</v>
      </c>
      <c r="B1154" s="2">
        <v>45170</v>
      </c>
      <c r="C1154">
        <v>2023</v>
      </c>
      <c r="D1154">
        <v>9</v>
      </c>
      <c r="E1154" t="s">
        <v>50</v>
      </c>
      <c r="F1154" t="s">
        <v>67</v>
      </c>
      <c r="G1154" t="s">
        <v>37</v>
      </c>
      <c r="H1154" s="3">
        <v>34525.743005899632</v>
      </c>
      <c r="I1154">
        <v>48</v>
      </c>
      <c r="J1154" s="3">
        <v>18949.91868716697</v>
      </c>
      <c r="K1154" s="3">
        <v>15575.82431873267</v>
      </c>
    </row>
    <row r="1155" spans="1:11" x14ac:dyDescent="0.3">
      <c r="A1155" t="s">
        <v>1231</v>
      </c>
      <c r="B1155" s="2">
        <v>45170</v>
      </c>
      <c r="C1155">
        <v>2023</v>
      </c>
      <c r="D1155">
        <v>9</v>
      </c>
      <c r="E1155" t="s">
        <v>50</v>
      </c>
      <c r="F1155" t="s">
        <v>48</v>
      </c>
      <c r="G1155" t="s">
        <v>37</v>
      </c>
      <c r="H1155" s="3">
        <v>76064.418277233053</v>
      </c>
      <c r="I1155">
        <v>106</v>
      </c>
      <c r="J1155" s="3">
        <v>42262.23055279519</v>
      </c>
      <c r="K1155" s="3">
        <v>33802.187724437863</v>
      </c>
    </row>
    <row r="1156" spans="1:11" x14ac:dyDescent="0.3">
      <c r="A1156" t="s">
        <v>1232</v>
      </c>
      <c r="B1156" s="2">
        <v>45170</v>
      </c>
      <c r="C1156">
        <v>2023</v>
      </c>
      <c r="D1156">
        <v>9</v>
      </c>
      <c r="E1156" t="s">
        <v>54</v>
      </c>
      <c r="F1156" t="s">
        <v>67</v>
      </c>
      <c r="G1156" t="s">
        <v>37</v>
      </c>
      <c r="H1156" s="3">
        <v>29455.496437796501</v>
      </c>
      <c r="I1156">
        <v>41</v>
      </c>
      <c r="J1156" s="3">
        <v>16008.82701505536</v>
      </c>
      <c r="K1156" s="3">
        <v>13446.669422741141</v>
      </c>
    </row>
    <row r="1157" spans="1:11" x14ac:dyDescent="0.3">
      <c r="A1157" t="s">
        <v>1233</v>
      </c>
      <c r="B1157" s="2">
        <v>45170</v>
      </c>
      <c r="C1157">
        <v>2023</v>
      </c>
      <c r="D1157">
        <v>9</v>
      </c>
      <c r="E1157" t="s">
        <v>54</v>
      </c>
      <c r="F1157" t="s">
        <v>48</v>
      </c>
      <c r="G1157" t="s">
        <v>37</v>
      </c>
      <c r="H1157" s="3">
        <v>61753.411414471571</v>
      </c>
      <c r="I1157">
        <v>86</v>
      </c>
      <c r="J1157" s="3">
        <v>33934.441076773677</v>
      </c>
      <c r="K1157" s="3">
        <v>27818.97033769789</v>
      </c>
    </row>
    <row r="1158" spans="1:11" x14ac:dyDescent="0.3">
      <c r="A1158" t="s">
        <v>1234</v>
      </c>
      <c r="B1158" s="2">
        <v>45170</v>
      </c>
      <c r="C1158">
        <v>2023</v>
      </c>
      <c r="D1158">
        <v>9</v>
      </c>
      <c r="E1158" t="s">
        <v>58</v>
      </c>
      <c r="F1158" t="s">
        <v>67</v>
      </c>
      <c r="G1158" t="s">
        <v>37</v>
      </c>
      <c r="H1158" s="3">
        <v>20183.34074441015</v>
      </c>
      <c r="I1158">
        <v>28</v>
      </c>
      <c r="J1158" s="3">
        <v>11242.98796655743</v>
      </c>
      <c r="K1158" s="3">
        <v>8940.352777852715</v>
      </c>
    </row>
    <row r="1159" spans="1:11" x14ac:dyDescent="0.3">
      <c r="A1159" t="s">
        <v>1235</v>
      </c>
      <c r="B1159" s="2">
        <v>45170</v>
      </c>
      <c r="C1159">
        <v>2023</v>
      </c>
      <c r="D1159">
        <v>9</v>
      </c>
      <c r="E1159" t="s">
        <v>58</v>
      </c>
      <c r="F1159" t="s">
        <v>48</v>
      </c>
      <c r="G1159" t="s">
        <v>37</v>
      </c>
      <c r="H1159" s="3">
        <v>42439.978394839607</v>
      </c>
      <c r="I1159">
        <v>59</v>
      </c>
      <c r="J1159" s="3">
        <v>24649.895349767809</v>
      </c>
      <c r="K1159" s="3">
        <v>17790.083045071799</v>
      </c>
    </row>
    <row r="1160" spans="1:11" x14ac:dyDescent="0.3">
      <c r="A1160" t="s">
        <v>1236</v>
      </c>
      <c r="B1160" s="2">
        <v>45170</v>
      </c>
      <c r="C1160">
        <v>2023</v>
      </c>
      <c r="D1160">
        <v>9</v>
      </c>
      <c r="E1160" t="s">
        <v>62</v>
      </c>
      <c r="F1160" t="s">
        <v>67</v>
      </c>
      <c r="G1160" t="s">
        <v>37</v>
      </c>
      <c r="H1160" s="3">
        <v>13466.491877814071</v>
      </c>
      <c r="I1160">
        <v>19</v>
      </c>
      <c r="J1160" s="3">
        <v>7514.2965193352102</v>
      </c>
      <c r="K1160" s="3">
        <v>5952.1953584788571</v>
      </c>
    </row>
    <row r="1161" spans="1:11" x14ac:dyDescent="0.3">
      <c r="A1161" t="s">
        <v>1237</v>
      </c>
      <c r="B1161" s="2">
        <v>45170</v>
      </c>
      <c r="C1161">
        <v>2023</v>
      </c>
      <c r="D1161">
        <v>9</v>
      </c>
      <c r="E1161" t="s">
        <v>62</v>
      </c>
      <c r="F1161" t="s">
        <v>48</v>
      </c>
      <c r="G1161" t="s">
        <v>37</v>
      </c>
      <c r="H1161" s="3">
        <v>33723.423623600873</v>
      </c>
      <c r="I1161">
        <v>47</v>
      </c>
      <c r="J1161" s="3">
        <v>18264.74620629293</v>
      </c>
      <c r="K1161" s="3">
        <v>15458.67741730795</v>
      </c>
    </row>
    <row r="1162" spans="1:11" x14ac:dyDescent="0.3">
      <c r="A1162" t="s">
        <v>1238</v>
      </c>
      <c r="B1162" s="2">
        <v>45170</v>
      </c>
      <c r="C1162">
        <v>2023</v>
      </c>
      <c r="D1162">
        <v>9</v>
      </c>
      <c r="E1162" t="s">
        <v>50</v>
      </c>
      <c r="F1162" t="s">
        <v>67</v>
      </c>
      <c r="G1162" t="s">
        <v>40</v>
      </c>
      <c r="H1162" s="3">
        <v>29558.224303745021</v>
      </c>
      <c r="I1162">
        <v>5</v>
      </c>
      <c r="J1162" s="3">
        <v>20239.60701963125</v>
      </c>
      <c r="K1162" s="3">
        <v>9318.6172841137704</v>
      </c>
    </row>
    <row r="1163" spans="1:11" x14ac:dyDescent="0.3">
      <c r="A1163" t="s">
        <v>1239</v>
      </c>
      <c r="B1163" s="2">
        <v>45170</v>
      </c>
      <c r="C1163">
        <v>2023</v>
      </c>
      <c r="D1163">
        <v>9</v>
      </c>
      <c r="E1163" t="s">
        <v>50</v>
      </c>
      <c r="F1163" t="s">
        <v>48</v>
      </c>
      <c r="G1163" t="s">
        <v>40</v>
      </c>
      <c r="H1163" s="3">
        <v>70013.169937559753</v>
      </c>
      <c r="I1163">
        <v>13</v>
      </c>
      <c r="J1163" s="3">
        <v>47914.81486585844</v>
      </c>
      <c r="K1163" s="3">
        <v>22098.355071701309</v>
      </c>
    </row>
    <row r="1164" spans="1:11" x14ac:dyDescent="0.3">
      <c r="A1164" t="s">
        <v>1240</v>
      </c>
      <c r="B1164" s="2">
        <v>45170</v>
      </c>
      <c r="C1164">
        <v>2023</v>
      </c>
      <c r="D1164">
        <v>9</v>
      </c>
      <c r="E1164" t="s">
        <v>54</v>
      </c>
      <c r="F1164" t="s">
        <v>67</v>
      </c>
      <c r="G1164" t="s">
        <v>40</v>
      </c>
      <c r="H1164" s="3">
        <v>27817.455796856069</v>
      </c>
      <c r="I1164">
        <v>5</v>
      </c>
      <c r="J1164" s="3">
        <v>18573.662710527689</v>
      </c>
      <c r="K1164" s="3">
        <v>9243.79308632838</v>
      </c>
    </row>
    <row r="1165" spans="1:11" x14ac:dyDescent="0.3">
      <c r="A1165" t="s">
        <v>1241</v>
      </c>
      <c r="B1165" s="2">
        <v>45170</v>
      </c>
      <c r="C1165">
        <v>2023</v>
      </c>
      <c r="D1165">
        <v>9</v>
      </c>
      <c r="E1165" t="s">
        <v>54</v>
      </c>
      <c r="F1165" t="s">
        <v>48</v>
      </c>
      <c r="G1165" t="s">
        <v>40</v>
      </c>
      <c r="H1165" s="3">
        <v>54492.142623696367</v>
      </c>
      <c r="I1165">
        <v>10</v>
      </c>
      <c r="J1165" s="3">
        <v>37376.17587353391</v>
      </c>
      <c r="K1165" s="3">
        <v>17115.966750162461</v>
      </c>
    </row>
    <row r="1166" spans="1:11" x14ac:dyDescent="0.3">
      <c r="A1166" t="s">
        <v>1242</v>
      </c>
      <c r="B1166" s="2">
        <v>45170</v>
      </c>
      <c r="C1166">
        <v>2023</v>
      </c>
      <c r="D1166">
        <v>9</v>
      </c>
      <c r="E1166" t="s">
        <v>58</v>
      </c>
      <c r="F1166" t="s">
        <v>67</v>
      </c>
      <c r="G1166" t="s">
        <v>40</v>
      </c>
      <c r="H1166" s="3">
        <v>18074.776901796231</v>
      </c>
      <c r="I1166">
        <v>3</v>
      </c>
      <c r="J1166" s="3">
        <v>12636.107931479961</v>
      </c>
      <c r="K1166" s="3">
        <v>5438.6689703162647</v>
      </c>
    </row>
    <row r="1167" spans="1:11" x14ac:dyDescent="0.3">
      <c r="A1167" t="s">
        <v>1243</v>
      </c>
      <c r="B1167" s="2">
        <v>45170</v>
      </c>
      <c r="C1167">
        <v>2023</v>
      </c>
      <c r="D1167">
        <v>9</v>
      </c>
      <c r="E1167" t="s">
        <v>58</v>
      </c>
      <c r="F1167" t="s">
        <v>48</v>
      </c>
      <c r="G1167" t="s">
        <v>40</v>
      </c>
      <c r="H1167" s="3">
        <v>39894.665526996127</v>
      </c>
      <c r="I1167">
        <v>7</v>
      </c>
      <c r="J1167" s="3">
        <v>26895.94771633382</v>
      </c>
      <c r="K1167" s="3">
        <v>12998.717810662311</v>
      </c>
    </row>
    <row r="1168" spans="1:11" x14ac:dyDescent="0.3">
      <c r="A1168" t="s">
        <v>1244</v>
      </c>
      <c r="B1168" s="2">
        <v>45170</v>
      </c>
      <c r="C1168">
        <v>2023</v>
      </c>
      <c r="D1168">
        <v>9</v>
      </c>
      <c r="E1168" t="s">
        <v>62</v>
      </c>
      <c r="F1168" t="s">
        <v>67</v>
      </c>
      <c r="G1168" t="s">
        <v>40</v>
      </c>
      <c r="H1168" s="3">
        <v>13918.14895841935</v>
      </c>
      <c r="I1168">
        <v>3</v>
      </c>
      <c r="J1168" s="3">
        <v>9784.7670677624465</v>
      </c>
      <c r="K1168" s="3">
        <v>4133.3818906569031</v>
      </c>
    </row>
    <row r="1169" spans="1:11" x14ac:dyDescent="0.3">
      <c r="A1169" t="s">
        <v>1245</v>
      </c>
      <c r="B1169" s="2">
        <v>45170</v>
      </c>
      <c r="C1169">
        <v>2023</v>
      </c>
      <c r="D1169">
        <v>9</v>
      </c>
      <c r="E1169" t="s">
        <v>62</v>
      </c>
      <c r="F1169" t="s">
        <v>48</v>
      </c>
      <c r="G1169" t="s">
        <v>40</v>
      </c>
      <c r="H1169" s="3">
        <v>29955.849207454259</v>
      </c>
      <c r="I1169">
        <v>6</v>
      </c>
      <c r="J1169" s="3">
        <v>20851.01337876937</v>
      </c>
      <c r="K1169" s="3">
        <v>9104.8358286848888</v>
      </c>
    </row>
    <row r="1170" spans="1:11" x14ac:dyDescent="0.3">
      <c r="A1170" t="s">
        <v>1246</v>
      </c>
      <c r="B1170" s="2">
        <v>45170</v>
      </c>
      <c r="C1170">
        <v>2023</v>
      </c>
      <c r="D1170">
        <v>9</v>
      </c>
      <c r="E1170" t="s">
        <v>50</v>
      </c>
      <c r="F1170" t="s">
        <v>67</v>
      </c>
      <c r="G1170" t="s">
        <v>43</v>
      </c>
      <c r="H1170" s="3">
        <v>65173.451321577028</v>
      </c>
      <c r="I1170">
        <v>19</v>
      </c>
      <c r="J1170" s="3">
        <v>37944.142520854613</v>
      </c>
      <c r="K1170" s="3">
        <v>27229.308800722429</v>
      </c>
    </row>
    <row r="1171" spans="1:11" x14ac:dyDescent="0.3">
      <c r="A1171" t="s">
        <v>1247</v>
      </c>
      <c r="B1171" s="2">
        <v>45170</v>
      </c>
      <c r="C1171">
        <v>2023</v>
      </c>
      <c r="D1171">
        <v>9</v>
      </c>
      <c r="E1171" t="s">
        <v>50</v>
      </c>
      <c r="F1171" t="s">
        <v>48</v>
      </c>
      <c r="G1171" t="s">
        <v>43</v>
      </c>
      <c r="H1171" s="3">
        <v>144749.98828490311</v>
      </c>
      <c r="I1171">
        <v>41</v>
      </c>
      <c r="J1171" s="3">
        <v>85184.927378351727</v>
      </c>
      <c r="K1171" s="3">
        <v>59565.060906551364</v>
      </c>
    </row>
    <row r="1172" spans="1:11" x14ac:dyDescent="0.3">
      <c r="A1172" t="s">
        <v>1248</v>
      </c>
      <c r="B1172" s="2">
        <v>45170</v>
      </c>
      <c r="C1172">
        <v>2023</v>
      </c>
      <c r="D1172">
        <v>9</v>
      </c>
      <c r="E1172" t="s">
        <v>54</v>
      </c>
      <c r="F1172" t="s">
        <v>67</v>
      </c>
      <c r="G1172" t="s">
        <v>43</v>
      </c>
      <c r="H1172" s="3">
        <v>54132.948595954927</v>
      </c>
      <c r="I1172">
        <v>15</v>
      </c>
      <c r="J1172" s="3">
        <v>32857.301954938419</v>
      </c>
      <c r="K1172" s="3">
        <v>21275.646641016509</v>
      </c>
    </row>
    <row r="1173" spans="1:11" x14ac:dyDescent="0.3">
      <c r="A1173" t="s">
        <v>1249</v>
      </c>
      <c r="B1173" s="2">
        <v>45170</v>
      </c>
      <c r="C1173">
        <v>2023</v>
      </c>
      <c r="D1173">
        <v>9</v>
      </c>
      <c r="E1173" t="s">
        <v>54</v>
      </c>
      <c r="F1173" t="s">
        <v>48</v>
      </c>
      <c r="G1173" t="s">
        <v>43</v>
      </c>
      <c r="H1173" s="3">
        <v>116334.32997913699</v>
      </c>
      <c r="I1173">
        <v>33</v>
      </c>
      <c r="J1173" s="3">
        <v>69543.531433512457</v>
      </c>
      <c r="K1173" s="3">
        <v>46790.798545624551</v>
      </c>
    </row>
    <row r="1174" spans="1:11" x14ac:dyDescent="0.3">
      <c r="A1174" t="s">
        <v>1250</v>
      </c>
      <c r="B1174" s="2">
        <v>45170</v>
      </c>
      <c r="C1174">
        <v>2023</v>
      </c>
      <c r="D1174">
        <v>9</v>
      </c>
      <c r="E1174" t="s">
        <v>58</v>
      </c>
      <c r="F1174" t="s">
        <v>67</v>
      </c>
      <c r="G1174" t="s">
        <v>43</v>
      </c>
      <c r="H1174" s="3">
        <v>37759.076590343291</v>
      </c>
      <c r="I1174">
        <v>11</v>
      </c>
      <c r="J1174" s="3">
        <v>22281.377446155759</v>
      </c>
      <c r="K1174" s="3">
        <v>15477.69914418754</v>
      </c>
    </row>
    <row r="1175" spans="1:11" x14ac:dyDescent="0.3">
      <c r="A1175" t="s">
        <v>1251</v>
      </c>
      <c r="B1175" s="2">
        <v>45170</v>
      </c>
      <c r="C1175">
        <v>2023</v>
      </c>
      <c r="D1175">
        <v>9</v>
      </c>
      <c r="E1175" t="s">
        <v>58</v>
      </c>
      <c r="F1175" t="s">
        <v>48</v>
      </c>
      <c r="G1175" t="s">
        <v>43</v>
      </c>
      <c r="H1175" s="3">
        <v>82093.623359659716</v>
      </c>
      <c r="I1175">
        <v>23</v>
      </c>
      <c r="J1175" s="3">
        <v>48228.017318669627</v>
      </c>
      <c r="K1175" s="3">
        <v>33865.606040990082</v>
      </c>
    </row>
    <row r="1176" spans="1:11" x14ac:dyDescent="0.3">
      <c r="A1176" t="s">
        <v>1252</v>
      </c>
      <c r="B1176" s="2">
        <v>45170</v>
      </c>
      <c r="C1176">
        <v>2023</v>
      </c>
      <c r="D1176">
        <v>9</v>
      </c>
      <c r="E1176" t="s">
        <v>62</v>
      </c>
      <c r="F1176" t="s">
        <v>67</v>
      </c>
      <c r="G1176" t="s">
        <v>43</v>
      </c>
      <c r="H1176" s="3">
        <v>30208.396719243181</v>
      </c>
      <c r="I1176">
        <v>9</v>
      </c>
      <c r="J1176" s="3">
        <v>17847.531263337791</v>
      </c>
      <c r="K1176" s="3">
        <v>12360.86545590539</v>
      </c>
    </row>
    <row r="1177" spans="1:11" x14ac:dyDescent="0.3">
      <c r="A1177" t="s">
        <v>1253</v>
      </c>
      <c r="B1177" s="2">
        <v>45170</v>
      </c>
      <c r="C1177">
        <v>2023</v>
      </c>
      <c r="D1177">
        <v>9</v>
      </c>
      <c r="E1177" t="s">
        <v>62</v>
      </c>
      <c r="F1177" t="s">
        <v>48</v>
      </c>
      <c r="G1177" t="s">
        <v>43</v>
      </c>
      <c r="H1177" s="3">
        <v>60545.747602567579</v>
      </c>
      <c r="I1177">
        <v>17</v>
      </c>
      <c r="J1177" s="3">
        <v>35392.929246930173</v>
      </c>
      <c r="K1177" s="3">
        <v>25152.81835563741</v>
      </c>
    </row>
    <row r="1178" spans="1:11" x14ac:dyDescent="0.3">
      <c r="A1178" t="s">
        <v>1254</v>
      </c>
      <c r="B1178" s="2">
        <v>45200</v>
      </c>
      <c r="C1178">
        <v>2023</v>
      </c>
      <c r="D1178">
        <v>10</v>
      </c>
      <c r="E1178" t="s">
        <v>50</v>
      </c>
      <c r="F1178" t="s">
        <v>67</v>
      </c>
      <c r="G1178" t="s">
        <v>19</v>
      </c>
      <c r="H1178" s="3">
        <v>64387.000452711203</v>
      </c>
      <c r="I1178">
        <v>12</v>
      </c>
      <c r="J1178" s="3">
        <v>38407.553738347218</v>
      </c>
      <c r="K1178" s="3">
        <v>25979.446714363981</v>
      </c>
    </row>
    <row r="1179" spans="1:11" x14ac:dyDescent="0.3">
      <c r="A1179" t="s">
        <v>1255</v>
      </c>
      <c r="B1179" s="2">
        <v>45200</v>
      </c>
      <c r="C1179">
        <v>2023</v>
      </c>
      <c r="D1179">
        <v>10</v>
      </c>
      <c r="E1179" t="s">
        <v>50</v>
      </c>
      <c r="F1179" t="s">
        <v>48</v>
      </c>
      <c r="G1179" t="s">
        <v>19</v>
      </c>
      <c r="H1179" s="3">
        <v>131309.36552615499</v>
      </c>
      <c r="I1179">
        <v>25</v>
      </c>
      <c r="J1179" s="3">
        <v>84404.439702894175</v>
      </c>
      <c r="K1179" s="3">
        <v>46904.925823260812</v>
      </c>
    </row>
    <row r="1180" spans="1:11" x14ac:dyDescent="0.3">
      <c r="A1180" t="s">
        <v>1256</v>
      </c>
      <c r="B1180" s="2">
        <v>45200</v>
      </c>
      <c r="C1180">
        <v>2023</v>
      </c>
      <c r="D1180">
        <v>10</v>
      </c>
      <c r="E1180" t="s">
        <v>54</v>
      </c>
      <c r="F1180" t="s">
        <v>67</v>
      </c>
      <c r="G1180" t="s">
        <v>19</v>
      </c>
      <c r="H1180" s="3">
        <v>51367.840797747951</v>
      </c>
      <c r="I1180">
        <v>10</v>
      </c>
      <c r="J1180" s="3">
        <v>31937.103696315291</v>
      </c>
      <c r="K1180" s="3">
        <v>19430.73710143266</v>
      </c>
    </row>
    <row r="1181" spans="1:11" x14ac:dyDescent="0.3">
      <c r="A1181" t="s">
        <v>1257</v>
      </c>
      <c r="B1181" s="2">
        <v>45200</v>
      </c>
      <c r="C1181">
        <v>2023</v>
      </c>
      <c r="D1181">
        <v>10</v>
      </c>
      <c r="E1181" t="s">
        <v>54</v>
      </c>
      <c r="F1181" t="s">
        <v>48</v>
      </c>
      <c r="G1181" t="s">
        <v>19</v>
      </c>
      <c r="H1181" s="3">
        <v>113468.9365526193</v>
      </c>
      <c r="I1181">
        <v>22</v>
      </c>
      <c r="J1181" s="3">
        <v>70854.919852519015</v>
      </c>
      <c r="K1181" s="3">
        <v>42614.016700100306</v>
      </c>
    </row>
    <row r="1182" spans="1:11" x14ac:dyDescent="0.3">
      <c r="A1182" t="s">
        <v>1258</v>
      </c>
      <c r="B1182" s="2">
        <v>45200</v>
      </c>
      <c r="C1182">
        <v>2023</v>
      </c>
      <c r="D1182">
        <v>10</v>
      </c>
      <c r="E1182" t="s">
        <v>58</v>
      </c>
      <c r="F1182" t="s">
        <v>67</v>
      </c>
      <c r="G1182" t="s">
        <v>19</v>
      </c>
      <c r="H1182" s="3">
        <v>32973.395472539407</v>
      </c>
      <c r="I1182">
        <v>6</v>
      </c>
      <c r="J1182" s="3">
        <v>20422.196120038639</v>
      </c>
      <c r="K1182" s="3">
        <v>12551.199352500769</v>
      </c>
    </row>
    <row r="1183" spans="1:11" x14ac:dyDescent="0.3">
      <c r="A1183" t="s">
        <v>1259</v>
      </c>
      <c r="B1183" s="2">
        <v>45200</v>
      </c>
      <c r="C1183">
        <v>2023</v>
      </c>
      <c r="D1183">
        <v>10</v>
      </c>
      <c r="E1183" t="s">
        <v>58</v>
      </c>
      <c r="F1183" t="s">
        <v>48</v>
      </c>
      <c r="G1183" t="s">
        <v>19</v>
      </c>
      <c r="H1183" s="3">
        <v>81529.371736791742</v>
      </c>
      <c r="I1183">
        <v>16</v>
      </c>
      <c r="J1183" s="3">
        <v>49879.351378985681</v>
      </c>
      <c r="K1183" s="3">
        <v>31650.020357806061</v>
      </c>
    </row>
    <row r="1184" spans="1:11" x14ac:dyDescent="0.3">
      <c r="A1184" t="s">
        <v>1260</v>
      </c>
      <c r="B1184" s="2">
        <v>45200</v>
      </c>
      <c r="C1184">
        <v>2023</v>
      </c>
      <c r="D1184">
        <v>10</v>
      </c>
      <c r="E1184" t="s">
        <v>62</v>
      </c>
      <c r="F1184" t="s">
        <v>67</v>
      </c>
      <c r="G1184" t="s">
        <v>19</v>
      </c>
      <c r="H1184" s="3">
        <v>29779.983918363669</v>
      </c>
      <c r="I1184">
        <v>6</v>
      </c>
      <c r="J1184" s="3">
        <v>18401.79902831752</v>
      </c>
      <c r="K1184" s="3">
        <v>11378.184890046159</v>
      </c>
    </row>
    <row r="1185" spans="1:11" x14ac:dyDescent="0.3">
      <c r="A1185" t="s">
        <v>1261</v>
      </c>
      <c r="B1185" s="2">
        <v>45200</v>
      </c>
      <c r="C1185">
        <v>2023</v>
      </c>
      <c r="D1185">
        <v>10</v>
      </c>
      <c r="E1185" t="s">
        <v>62</v>
      </c>
      <c r="F1185" t="s">
        <v>48</v>
      </c>
      <c r="G1185" t="s">
        <v>19</v>
      </c>
      <c r="H1185" s="3">
        <v>61461.254383309017</v>
      </c>
      <c r="I1185">
        <v>12</v>
      </c>
      <c r="J1185" s="3">
        <v>37008.940696593301</v>
      </c>
      <c r="K1185" s="3">
        <v>24452.313686715719</v>
      </c>
    </row>
    <row r="1186" spans="1:11" x14ac:dyDescent="0.3">
      <c r="A1186" t="s">
        <v>1262</v>
      </c>
      <c r="B1186" s="2">
        <v>45200</v>
      </c>
      <c r="C1186">
        <v>2023</v>
      </c>
      <c r="D1186">
        <v>10</v>
      </c>
      <c r="E1186" t="s">
        <v>50</v>
      </c>
      <c r="F1186" t="s">
        <v>67</v>
      </c>
      <c r="G1186" t="s">
        <v>24</v>
      </c>
      <c r="H1186" s="3">
        <v>64778.681563448226</v>
      </c>
      <c r="I1186">
        <v>11</v>
      </c>
      <c r="J1186" s="3">
        <v>44506.30896633571</v>
      </c>
      <c r="K1186" s="3">
        <v>20272.37259711252</v>
      </c>
    </row>
    <row r="1187" spans="1:11" x14ac:dyDescent="0.3">
      <c r="A1187" t="s">
        <v>1263</v>
      </c>
      <c r="B1187" s="2">
        <v>45200</v>
      </c>
      <c r="C1187">
        <v>2023</v>
      </c>
      <c r="D1187">
        <v>10</v>
      </c>
      <c r="E1187" t="s">
        <v>50</v>
      </c>
      <c r="F1187" t="s">
        <v>48</v>
      </c>
      <c r="G1187" t="s">
        <v>24</v>
      </c>
      <c r="H1187" s="3">
        <v>146359.98976615901</v>
      </c>
      <c r="I1187">
        <v>24</v>
      </c>
      <c r="J1187" s="3">
        <v>94451.077263815925</v>
      </c>
      <c r="K1187" s="3">
        <v>51908.912502343053</v>
      </c>
    </row>
    <row r="1188" spans="1:11" x14ac:dyDescent="0.3">
      <c r="A1188" t="s">
        <v>1264</v>
      </c>
      <c r="B1188" s="2">
        <v>45200</v>
      </c>
      <c r="C1188">
        <v>2023</v>
      </c>
      <c r="D1188">
        <v>10</v>
      </c>
      <c r="E1188" t="s">
        <v>54</v>
      </c>
      <c r="F1188" t="s">
        <v>67</v>
      </c>
      <c r="G1188" t="s">
        <v>24</v>
      </c>
      <c r="H1188" s="3">
        <v>55521.34739411356</v>
      </c>
      <c r="I1188">
        <v>9</v>
      </c>
      <c r="J1188" s="3">
        <v>35963.410916606394</v>
      </c>
      <c r="K1188" s="3">
        <v>19557.93647750717</v>
      </c>
    </row>
    <row r="1189" spans="1:11" x14ac:dyDescent="0.3">
      <c r="A1189" t="s">
        <v>1265</v>
      </c>
      <c r="B1189" s="2">
        <v>45200</v>
      </c>
      <c r="C1189">
        <v>2023</v>
      </c>
      <c r="D1189">
        <v>10</v>
      </c>
      <c r="E1189" t="s">
        <v>54</v>
      </c>
      <c r="F1189" t="s">
        <v>48</v>
      </c>
      <c r="G1189" t="s">
        <v>24</v>
      </c>
      <c r="H1189" s="3">
        <v>134090.1680010416</v>
      </c>
      <c r="I1189">
        <v>22</v>
      </c>
      <c r="J1189" s="3">
        <v>87798.181844206949</v>
      </c>
      <c r="K1189" s="3">
        <v>46291.986156834682</v>
      </c>
    </row>
    <row r="1190" spans="1:11" x14ac:dyDescent="0.3">
      <c r="A1190" t="s">
        <v>1266</v>
      </c>
      <c r="B1190" s="2">
        <v>45200</v>
      </c>
      <c r="C1190">
        <v>2023</v>
      </c>
      <c r="D1190">
        <v>10</v>
      </c>
      <c r="E1190" t="s">
        <v>58</v>
      </c>
      <c r="F1190" t="s">
        <v>67</v>
      </c>
      <c r="G1190" t="s">
        <v>24</v>
      </c>
      <c r="H1190" s="3">
        <v>40865.204140962967</v>
      </c>
      <c r="I1190">
        <v>7</v>
      </c>
      <c r="J1190" s="3">
        <v>27596.367965083478</v>
      </c>
      <c r="K1190" s="3">
        <v>13268.836175879491</v>
      </c>
    </row>
    <row r="1191" spans="1:11" x14ac:dyDescent="0.3">
      <c r="A1191" t="s">
        <v>1267</v>
      </c>
      <c r="B1191" s="2">
        <v>45200</v>
      </c>
      <c r="C1191">
        <v>2023</v>
      </c>
      <c r="D1191">
        <v>10</v>
      </c>
      <c r="E1191" t="s">
        <v>58</v>
      </c>
      <c r="F1191" t="s">
        <v>48</v>
      </c>
      <c r="G1191" t="s">
        <v>24</v>
      </c>
      <c r="H1191" s="3">
        <v>88960.250662023376</v>
      </c>
      <c r="I1191">
        <v>15</v>
      </c>
      <c r="J1191" s="3">
        <v>58729.099240565207</v>
      </c>
      <c r="K1191" s="3">
        <v>30231.151421458169</v>
      </c>
    </row>
    <row r="1192" spans="1:11" x14ac:dyDescent="0.3">
      <c r="A1192" t="s">
        <v>1268</v>
      </c>
      <c r="B1192" s="2">
        <v>45200</v>
      </c>
      <c r="C1192">
        <v>2023</v>
      </c>
      <c r="D1192">
        <v>10</v>
      </c>
      <c r="E1192" t="s">
        <v>62</v>
      </c>
      <c r="F1192" t="s">
        <v>67</v>
      </c>
      <c r="G1192" t="s">
        <v>24</v>
      </c>
      <c r="H1192" s="3">
        <v>31270.639978690098</v>
      </c>
      <c r="I1192">
        <v>5</v>
      </c>
      <c r="J1192" s="3">
        <v>20179.403867519279</v>
      </c>
      <c r="K1192" s="3">
        <v>11091.23611117082</v>
      </c>
    </row>
    <row r="1193" spans="1:11" x14ac:dyDescent="0.3">
      <c r="A1193" t="s">
        <v>1269</v>
      </c>
      <c r="B1193" s="2">
        <v>45200</v>
      </c>
      <c r="C1193">
        <v>2023</v>
      </c>
      <c r="D1193">
        <v>10</v>
      </c>
      <c r="E1193" t="s">
        <v>62</v>
      </c>
      <c r="F1193" t="s">
        <v>48</v>
      </c>
      <c r="G1193" t="s">
        <v>24</v>
      </c>
      <c r="H1193" s="3">
        <v>67439.149493761041</v>
      </c>
      <c r="I1193">
        <v>11</v>
      </c>
      <c r="J1193" s="3">
        <v>45514.785831137531</v>
      </c>
      <c r="K1193" s="3">
        <v>21924.363662623509</v>
      </c>
    </row>
    <row r="1194" spans="1:11" x14ac:dyDescent="0.3">
      <c r="A1194" t="s">
        <v>1270</v>
      </c>
      <c r="B1194" s="2">
        <v>45200</v>
      </c>
      <c r="C1194">
        <v>2023</v>
      </c>
      <c r="D1194">
        <v>10</v>
      </c>
      <c r="E1194" t="s">
        <v>50</v>
      </c>
      <c r="F1194" t="s">
        <v>67</v>
      </c>
      <c r="G1194" t="s">
        <v>29</v>
      </c>
      <c r="H1194" s="3">
        <v>51226.011537376777</v>
      </c>
      <c r="I1194">
        <v>12</v>
      </c>
      <c r="J1194" s="3">
        <v>33216.028144079712</v>
      </c>
      <c r="K1194" s="3">
        <v>18009.983393297069</v>
      </c>
    </row>
    <row r="1195" spans="1:11" x14ac:dyDescent="0.3">
      <c r="A1195" t="s">
        <v>1271</v>
      </c>
      <c r="B1195" s="2">
        <v>45200</v>
      </c>
      <c r="C1195">
        <v>2023</v>
      </c>
      <c r="D1195">
        <v>10</v>
      </c>
      <c r="E1195" t="s">
        <v>50</v>
      </c>
      <c r="F1195" t="s">
        <v>48</v>
      </c>
      <c r="G1195" t="s">
        <v>29</v>
      </c>
      <c r="H1195" s="3">
        <v>112633.2251604974</v>
      </c>
      <c r="I1195">
        <v>26</v>
      </c>
      <c r="J1195" s="3">
        <v>72783.90217239382</v>
      </c>
      <c r="K1195" s="3">
        <v>39849.322988103551</v>
      </c>
    </row>
    <row r="1196" spans="1:11" x14ac:dyDescent="0.3">
      <c r="A1196" t="s">
        <v>1272</v>
      </c>
      <c r="B1196" s="2">
        <v>45200</v>
      </c>
      <c r="C1196">
        <v>2023</v>
      </c>
      <c r="D1196">
        <v>10</v>
      </c>
      <c r="E1196" t="s">
        <v>54</v>
      </c>
      <c r="F1196" t="s">
        <v>67</v>
      </c>
      <c r="G1196" t="s">
        <v>29</v>
      </c>
      <c r="H1196" s="3">
        <v>38097.931517033241</v>
      </c>
      <c r="I1196">
        <v>9</v>
      </c>
      <c r="J1196" s="3">
        <v>24696.803462985368</v>
      </c>
      <c r="K1196" s="3">
        <v>13401.128054047869</v>
      </c>
    </row>
    <row r="1197" spans="1:11" x14ac:dyDescent="0.3">
      <c r="A1197" t="s">
        <v>1273</v>
      </c>
      <c r="B1197" s="2">
        <v>45200</v>
      </c>
      <c r="C1197">
        <v>2023</v>
      </c>
      <c r="D1197">
        <v>10</v>
      </c>
      <c r="E1197" t="s">
        <v>54</v>
      </c>
      <c r="F1197" t="s">
        <v>48</v>
      </c>
      <c r="G1197" t="s">
        <v>29</v>
      </c>
      <c r="H1197" s="3">
        <v>88472.857187146947</v>
      </c>
      <c r="I1197">
        <v>21</v>
      </c>
      <c r="J1197" s="3">
        <v>59062.979763116367</v>
      </c>
      <c r="K1197" s="3">
        <v>29409.877424030568</v>
      </c>
    </row>
    <row r="1198" spans="1:11" x14ac:dyDescent="0.3">
      <c r="A1198" t="s">
        <v>1274</v>
      </c>
      <c r="B1198" s="2">
        <v>45200</v>
      </c>
      <c r="C1198">
        <v>2023</v>
      </c>
      <c r="D1198">
        <v>10</v>
      </c>
      <c r="E1198" t="s">
        <v>58</v>
      </c>
      <c r="F1198" t="s">
        <v>67</v>
      </c>
      <c r="G1198" t="s">
        <v>29</v>
      </c>
      <c r="H1198" s="3">
        <v>25954.067650142159</v>
      </c>
      <c r="I1198">
        <v>6</v>
      </c>
      <c r="J1198" s="3">
        <v>17263.926696474638</v>
      </c>
      <c r="K1198" s="3">
        <v>8690.1409536675201</v>
      </c>
    </row>
    <row r="1199" spans="1:11" x14ac:dyDescent="0.3">
      <c r="A1199" t="s">
        <v>1275</v>
      </c>
      <c r="B1199" s="2">
        <v>45200</v>
      </c>
      <c r="C1199">
        <v>2023</v>
      </c>
      <c r="D1199">
        <v>10</v>
      </c>
      <c r="E1199" t="s">
        <v>58</v>
      </c>
      <c r="F1199" t="s">
        <v>48</v>
      </c>
      <c r="G1199" t="s">
        <v>29</v>
      </c>
      <c r="H1199" s="3">
        <v>60064.038564640578</v>
      </c>
      <c r="I1199">
        <v>14</v>
      </c>
      <c r="J1199" s="3">
        <v>37965.820429714637</v>
      </c>
      <c r="K1199" s="3">
        <v>22098.21813492593</v>
      </c>
    </row>
    <row r="1200" spans="1:11" x14ac:dyDescent="0.3">
      <c r="A1200" t="s">
        <v>1276</v>
      </c>
      <c r="B1200" s="2">
        <v>45200</v>
      </c>
      <c r="C1200">
        <v>2023</v>
      </c>
      <c r="D1200">
        <v>10</v>
      </c>
      <c r="E1200" t="s">
        <v>62</v>
      </c>
      <c r="F1200" t="s">
        <v>67</v>
      </c>
      <c r="G1200" t="s">
        <v>29</v>
      </c>
      <c r="H1200" s="3">
        <v>22189.434060190371</v>
      </c>
      <c r="I1200">
        <v>5</v>
      </c>
      <c r="J1200" s="3">
        <v>14616.33898344835</v>
      </c>
      <c r="K1200" s="3">
        <v>7573.0950767420136</v>
      </c>
    </row>
    <row r="1201" spans="1:11" x14ac:dyDescent="0.3">
      <c r="A1201" t="s">
        <v>1277</v>
      </c>
      <c r="B1201" s="2">
        <v>45200</v>
      </c>
      <c r="C1201">
        <v>2023</v>
      </c>
      <c r="D1201">
        <v>10</v>
      </c>
      <c r="E1201" t="s">
        <v>62</v>
      </c>
      <c r="F1201" t="s">
        <v>48</v>
      </c>
      <c r="G1201" t="s">
        <v>29</v>
      </c>
      <c r="H1201" s="3">
        <v>42944.177764128872</v>
      </c>
      <c r="I1201">
        <v>10</v>
      </c>
      <c r="J1201" s="3">
        <v>27673.83355872707</v>
      </c>
      <c r="K1201" s="3">
        <v>15270.3442054018</v>
      </c>
    </row>
    <row r="1202" spans="1:11" x14ac:dyDescent="0.3">
      <c r="A1202" t="s">
        <v>1278</v>
      </c>
      <c r="B1202" s="2">
        <v>45200</v>
      </c>
      <c r="C1202">
        <v>2023</v>
      </c>
      <c r="D1202">
        <v>10</v>
      </c>
      <c r="E1202" t="s">
        <v>50</v>
      </c>
      <c r="F1202" t="s">
        <v>67</v>
      </c>
      <c r="G1202" t="s">
        <v>34</v>
      </c>
      <c r="H1202" s="3">
        <v>45698.355925891767</v>
      </c>
      <c r="I1202">
        <v>54</v>
      </c>
      <c r="J1202" s="3">
        <v>22132.270739682011</v>
      </c>
      <c r="K1202" s="3">
        <v>23566.085186209759</v>
      </c>
    </row>
    <row r="1203" spans="1:11" x14ac:dyDescent="0.3">
      <c r="A1203" t="s">
        <v>1279</v>
      </c>
      <c r="B1203" s="2">
        <v>45200</v>
      </c>
      <c r="C1203">
        <v>2023</v>
      </c>
      <c r="D1203">
        <v>10</v>
      </c>
      <c r="E1203" t="s">
        <v>50</v>
      </c>
      <c r="F1203" t="s">
        <v>48</v>
      </c>
      <c r="G1203" t="s">
        <v>34</v>
      </c>
      <c r="H1203" s="3">
        <v>89877.896548979857</v>
      </c>
      <c r="I1203">
        <v>106</v>
      </c>
      <c r="J1203" s="3">
        <v>41827.265846242823</v>
      </c>
      <c r="K1203" s="3">
        <v>48050.630702737042</v>
      </c>
    </row>
    <row r="1204" spans="1:11" x14ac:dyDescent="0.3">
      <c r="A1204" t="s">
        <v>1280</v>
      </c>
      <c r="B1204" s="2">
        <v>45200</v>
      </c>
      <c r="C1204">
        <v>2023</v>
      </c>
      <c r="D1204">
        <v>10</v>
      </c>
      <c r="E1204" t="s">
        <v>54</v>
      </c>
      <c r="F1204" t="s">
        <v>67</v>
      </c>
      <c r="G1204" t="s">
        <v>34</v>
      </c>
      <c r="H1204" s="3">
        <v>35041.323237147793</v>
      </c>
      <c r="I1204">
        <v>41</v>
      </c>
      <c r="J1204" s="3">
        <v>16768.249665075939</v>
      </c>
      <c r="K1204" s="3">
        <v>18273.073572071851</v>
      </c>
    </row>
    <row r="1205" spans="1:11" x14ac:dyDescent="0.3">
      <c r="A1205" t="s">
        <v>1281</v>
      </c>
      <c r="B1205" s="2">
        <v>45200</v>
      </c>
      <c r="C1205">
        <v>2023</v>
      </c>
      <c r="D1205">
        <v>10</v>
      </c>
      <c r="E1205" t="s">
        <v>54</v>
      </c>
      <c r="F1205" t="s">
        <v>48</v>
      </c>
      <c r="G1205" t="s">
        <v>34</v>
      </c>
      <c r="H1205" s="3">
        <v>79861.85780231221</v>
      </c>
      <c r="I1205">
        <v>94</v>
      </c>
      <c r="J1205" s="3">
        <v>37772.838223917781</v>
      </c>
      <c r="K1205" s="3">
        <v>42089.019578394429</v>
      </c>
    </row>
    <row r="1206" spans="1:11" x14ac:dyDescent="0.3">
      <c r="A1206" t="s">
        <v>1282</v>
      </c>
      <c r="B1206" s="2">
        <v>45200</v>
      </c>
      <c r="C1206">
        <v>2023</v>
      </c>
      <c r="D1206">
        <v>10</v>
      </c>
      <c r="E1206" t="s">
        <v>58</v>
      </c>
      <c r="F1206" t="s">
        <v>67</v>
      </c>
      <c r="G1206" t="s">
        <v>34</v>
      </c>
      <c r="H1206" s="3">
        <v>25309.607730020551</v>
      </c>
      <c r="I1206">
        <v>30</v>
      </c>
      <c r="J1206" s="3">
        <v>12329.687480689239</v>
      </c>
      <c r="K1206" s="3">
        <v>12979.92024933131</v>
      </c>
    </row>
    <row r="1207" spans="1:11" x14ac:dyDescent="0.3">
      <c r="A1207" t="s">
        <v>1283</v>
      </c>
      <c r="B1207" s="2">
        <v>45200</v>
      </c>
      <c r="C1207">
        <v>2023</v>
      </c>
      <c r="D1207">
        <v>10</v>
      </c>
      <c r="E1207" t="s">
        <v>58</v>
      </c>
      <c r="F1207" t="s">
        <v>48</v>
      </c>
      <c r="G1207" t="s">
        <v>34</v>
      </c>
      <c r="H1207" s="3">
        <v>57424.302934895837</v>
      </c>
      <c r="I1207">
        <v>68</v>
      </c>
      <c r="J1207" s="3">
        <v>28095.077690450911</v>
      </c>
      <c r="K1207" s="3">
        <v>29329.22524444493</v>
      </c>
    </row>
    <row r="1208" spans="1:11" x14ac:dyDescent="0.3">
      <c r="A1208" t="s">
        <v>1284</v>
      </c>
      <c r="B1208" s="2">
        <v>45200</v>
      </c>
      <c r="C1208">
        <v>2023</v>
      </c>
      <c r="D1208">
        <v>10</v>
      </c>
      <c r="E1208" t="s">
        <v>62</v>
      </c>
      <c r="F1208" t="s">
        <v>67</v>
      </c>
      <c r="G1208" t="s">
        <v>34</v>
      </c>
      <c r="H1208" s="3">
        <v>20712.51451063656</v>
      </c>
      <c r="I1208">
        <v>24</v>
      </c>
      <c r="J1208" s="3">
        <v>9570.76492559078</v>
      </c>
      <c r="K1208" s="3">
        <v>11141.74958504578</v>
      </c>
    </row>
    <row r="1209" spans="1:11" x14ac:dyDescent="0.3">
      <c r="A1209" t="s">
        <v>1285</v>
      </c>
      <c r="B1209" s="2">
        <v>45200</v>
      </c>
      <c r="C1209">
        <v>2023</v>
      </c>
      <c r="D1209">
        <v>10</v>
      </c>
      <c r="E1209" t="s">
        <v>62</v>
      </c>
      <c r="F1209" t="s">
        <v>48</v>
      </c>
      <c r="G1209" t="s">
        <v>34</v>
      </c>
      <c r="H1209" s="3">
        <v>42985.198494957163</v>
      </c>
      <c r="I1209">
        <v>51</v>
      </c>
      <c r="J1209" s="3">
        <v>20624.711702833229</v>
      </c>
      <c r="K1209" s="3">
        <v>22360.486792123931</v>
      </c>
    </row>
    <row r="1210" spans="1:11" x14ac:dyDescent="0.3">
      <c r="A1210" t="s">
        <v>1286</v>
      </c>
      <c r="B1210" s="2">
        <v>45200</v>
      </c>
      <c r="C1210">
        <v>2023</v>
      </c>
      <c r="D1210">
        <v>10</v>
      </c>
      <c r="E1210" t="s">
        <v>50</v>
      </c>
      <c r="F1210" t="s">
        <v>67</v>
      </c>
      <c r="G1210" t="s">
        <v>37</v>
      </c>
      <c r="H1210" s="3">
        <v>40298.414062772259</v>
      </c>
      <c r="I1210">
        <v>56</v>
      </c>
      <c r="J1210" s="3">
        <v>22611.699204993449</v>
      </c>
      <c r="K1210" s="3">
        <v>17686.71485777881</v>
      </c>
    </row>
    <row r="1211" spans="1:11" x14ac:dyDescent="0.3">
      <c r="A1211" t="s">
        <v>1287</v>
      </c>
      <c r="B1211" s="2">
        <v>45200</v>
      </c>
      <c r="C1211">
        <v>2023</v>
      </c>
      <c r="D1211">
        <v>10</v>
      </c>
      <c r="E1211" t="s">
        <v>50</v>
      </c>
      <c r="F1211" t="s">
        <v>48</v>
      </c>
      <c r="G1211" t="s">
        <v>37</v>
      </c>
      <c r="H1211" s="3">
        <v>91432.65311488547</v>
      </c>
      <c r="I1211">
        <v>127</v>
      </c>
      <c r="J1211" s="3">
        <v>50118.980540416997</v>
      </c>
      <c r="K1211" s="3">
        <v>41313.672574468474</v>
      </c>
    </row>
    <row r="1212" spans="1:11" x14ac:dyDescent="0.3">
      <c r="A1212" t="s">
        <v>1288</v>
      </c>
      <c r="B1212" s="2">
        <v>45200</v>
      </c>
      <c r="C1212">
        <v>2023</v>
      </c>
      <c r="D1212">
        <v>10</v>
      </c>
      <c r="E1212" t="s">
        <v>54</v>
      </c>
      <c r="F1212" t="s">
        <v>67</v>
      </c>
      <c r="G1212" t="s">
        <v>37</v>
      </c>
      <c r="H1212" s="3">
        <v>32341.746507951131</v>
      </c>
      <c r="I1212">
        <v>45</v>
      </c>
      <c r="J1212" s="3">
        <v>18021.394576161929</v>
      </c>
      <c r="K1212" s="3">
        <v>14320.351931789201</v>
      </c>
    </row>
    <row r="1213" spans="1:11" x14ac:dyDescent="0.3">
      <c r="A1213" t="s">
        <v>1289</v>
      </c>
      <c r="B1213" s="2">
        <v>45200</v>
      </c>
      <c r="C1213">
        <v>2023</v>
      </c>
      <c r="D1213">
        <v>10</v>
      </c>
      <c r="E1213" t="s">
        <v>54</v>
      </c>
      <c r="F1213" t="s">
        <v>48</v>
      </c>
      <c r="G1213" t="s">
        <v>37</v>
      </c>
      <c r="H1213" s="3">
        <v>68887.739200266675</v>
      </c>
      <c r="I1213">
        <v>96</v>
      </c>
      <c r="J1213" s="3">
        <v>38127.747412132019</v>
      </c>
      <c r="K1213" s="3">
        <v>30759.991788134659</v>
      </c>
    </row>
    <row r="1214" spans="1:11" x14ac:dyDescent="0.3">
      <c r="A1214" t="s">
        <v>1290</v>
      </c>
      <c r="B1214" s="2">
        <v>45200</v>
      </c>
      <c r="C1214">
        <v>2023</v>
      </c>
      <c r="D1214">
        <v>10</v>
      </c>
      <c r="E1214" t="s">
        <v>58</v>
      </c>
      <c r="F1214" t="s">
        <v>67</v>
      </c>
      <c r="G1214" t="s">
        <v>37</v>
      </c>
      <c r="H1214" s="3">
        <v>24077.519921220079</v>
      </c>
      <c r="I1214">
        <v>33</v>
      </c>
      <c r="J1214" s="3">
        <v>13324.076633978209</v>
      </c>
      <c r="K1214" s="3">
        <v>10753.443287241869</v>
      </c>
    </row>
    <row r="1215" spans="1:11" x14ac:dyDescent="0.3">
      <c r="A1215" t="s">
        <v>1291</v>
      </c>
      <c r="B1215" s="2">
        <v>45200</v>
      </c>
      <c r="C1215">
        <v>2023</v>
      </c>
      <c r="D1215">
        <v>10</v>
      </c>
      <c r="E1215" t="s">
        <v>58</v>
      </c>
      <c r="F1215" t="s">
        <v>48</v>
      </c>
      <c r="G1215" t="s">
        <v>37</v>
      </c>
      <c r="H1215" s="3">
        <v>47068.777893302067</v>
      </c>
      <c r="I1215">
        <v>65</v>
      </c>
      <c r="J1215" s="3">
        <v>25761.400243342101</v>
      </c>
      <c r="K1215" s="3">
        <v>21307.377649959981</v>
      </c>
    </row>
    <row r="1216" spans="1:11" x14ac:dyDescent="0.3">
      <c r="A1216" t="s">
        <v>1292</v>
      </c>
      <c r="B1216" s="2">
        <v>45200</v>
      </c>
      <c r="C1216">
        <v>2023</v>
      </c>
      <c r="D1216">
        <v>10</v>
      </c>
      <c r="E1216" t="s">
        <v>62</v>
      </c>
      <c r="F1216" t="s">
        <v>67</v>
      </c>
      <c r="G1216" t="s">
        <v>37</v>
      </c>
      <c r="H1216" s="3">
        <v>15516.48678583229</v>
      </c>
      <c r="I1216">
        <v>22</v>
      </c>
      <c r="J1216" s="3">
        <v>8347.1848384921977</v>
      </c>
      <c r="K1216" s="3">
        <v>7169.3019473400927</v>
      </c>
    </row>
    <row r="1217" spans="1:11" x14ac:dyDescent="0.3">
      <c r="A1217" t="s">
        <v>1293</v>
      </c>
      <c r="B1217" s="2">
        <v>45200</v>
      </c>
      <c r="C1217">
        <v>2023</v>
      </c>
      <c r="D1217">
        <v>10</v>
      </c>
      <c r="E1217" t="s">
        <v>62</v>
      </c>
      <c r="F1217" t="s">
        <v>48</v>
      </c>
      <c r="G1217" t="s">
        <v>37</v>
      </c>
      <c r="H1217" s="3">
        <v>35575.22073124809</v>
      </c>
      <c r="I1217">
        <v>49</v>
      </c>
      <c r="J1217" s="3">
        <v>19171.374444927649</v>
      </c>
      <c r="K1217" s="3">
        <v>16403.84628632044</v>
      </c>
    </row>
    <row r="1218" spans="1:11" x14ac:dyDescent="0.3">
      <c r="A1218" t="s">
        <v>1294</v>
      </c>
      <c r="B1218" s="2">
        <v>45200</v>
      </c>
      <c r="C1218">
        <v>2023</v>
      </c>
      <c r="D1218">
        <v>10</v>
      </c>
      <c r="E1218" t="s">
        <v>50</v>
      </c>
      <c r="F1218" t="s">
        <v>67</v>
      </c>
      <c r="G1218" t="s">
        <v>40</v>
      </c>
      <c r="H1218" s="3">
        <v>38041.684589391683</v>
      </c>
      <c r="I1218">
        <v>7</v>
      </c>
      <c r="J1218" s="3">
        <v>26583.915627230861</v>
      </c>
      <c r="K1218" s="3">
        <v>11457.768962160821</v>
      </c>
    </row>
    <row r="1219" spans="1:11" x14ac:dyDescent="0.3">
      <c r="A1219" t="s">
        <v>1295</v>
      </c>
      <c r="B1219" s="2">
        <v>45200</v>
      </c>
      <c r="C1219">
        <v>2023</v>
      </c>
      <c r="D1219">
        <v>10</v>
      </c>
      <c r="E1219" t="s">
        <v>50</v>
      </c>
      <c r="F1219" t="s">
        <v>48</v>
      </c>
      <c r="G1219" t="s">
        <v>40</v>
      </c>
      <c r="H1219" s="3">
        <v>72159.924529753305</v>
      </c>
      <c r="I1219">
        <v>13</v>
      </c>
      <c r="J1219" s="3">
        <v>49807.78692515134</v>
      </c>
      <c r="K1219" s="3">
        <v>22352.137604601961</v>
      </c>
    </row>
    <row r="1220" spans="1:11" x14ac:dyDescent="0.3">
      <c r="A1220" t="s">
        <v>1296</v>
      </c>
      <c r="B1220" s="2">
        <v>45200</v>
      </c>
      <c r="C1220">
        <v>2023</v>
      </c>
      <c r="D1220">
        <v>10</v>
      </c>
      <c r="E1220" t="s">
        <v>54</v>
      </c>
      <c r="F1220" t="s">
        <v>67</v>
      </c>
      <c r="G1220" t="s">
        <v>40</v>
      </c>
      <c r="H1220" s="3">
        <v>28279.287163954308</v>
      </c>
      <c r="I1220">
        <v>5</v>
      </c>
      <c r="J1220" s="3">
        <v>19464.058661069601</v>
      </c>
      <c r="K1220" s="3">
        <v>8815.2285028847036</v>
      </c>
    </row>
    <row r="1221" spans="1:11" x14ac:dyDescent="0.3">
      <c r="A1221" t="s">
        <v>1297</v>
      </c>
      <c r="B1221" s="2">
        <v>45200</v>
      </c>
      <c r="C1221">
        <v>2023</v>
      </c>
      <c r="D1221">
        <v>10</v>
      </c>
      <c r="E1221" t="s">
        <v>54</v>
      </c>
      <c r="F1221" t="s">
        <v>48</v>
      </c>
      <c r="G1221" t="s">
        <v>40</v>
      </c>
      <c r="H1221" s="3">
        <v>63085.635997722937</v>
      </c>
      <c r="I1221">
        <v>12</v>
      </c>
      <c r="J1221" s="3">
        <v>43196.960986849277</v>
      </c>
      <c r="K1221" s="3">
        <v>19888.675010873671</v>
      </c>
    </row>
    <row r="1222" spans="1:11" x14ac:dyDescent="0.3">
      <c r="A1222" t="s">
        <v>1298</v>
      </c>
      <c r="B1222" s="2">
        <v>45200</v>
      </c>
      <c r="C1222">
        <v>2023</v>
      </c>
      <c r="D1222">
        <v>10</v>
      </c>
      <c r="E1222" t="s">
        <v>58</v>
      </c>
      <c r="F1222" t="s">
        <v>67</v>
      </c>
      <c r="G1222" t="s">
        <v>40</v>
      </c>
      <c r="H1222" s="3">
        <v>18606.151005401131</v>
      </c>
      <c r="I1222">
        <v>3</v>
      </c>
      <c r="J1222" s="3">
        <v>12767.718593104069</v>
      </c>
      <c r="K1222" s="3">
        <v>5838.4324122970538</v>
      </c>
    </row>
    <row r="1223" spans="1:11" x14ac:dyDescent="0.3">
      <c r="A1223" t="s">
        <v>1299</v>
      </c>
      <c r="B1223" s="2">
        <v>45200</v>
      </c>
      <c r="C1223">
        <v>2023</v>
      </c>
      <c r="D1223">
        <v>10</v>
      </c>
      <c r="E1223" t="s">
        <v>58</v>
      </c>
      <c r="F1223" t="s">
        <v>48</v>
      </c>
      <c r="G1223" t="s">
        <v>40</v>
      </c>
      <c r="H1223" s="3">
        <v>44509.812863328058</v>
      </c>
      <c r="I1223">
        <v>8</v>
      </c>
      <c r="J1223" s="3">
        <v>31290.516148565272</v>
      </c>
      <c r="K1223" s="3">
        <v>13219.29671476279</v>
      </c>
    </row>
    <row r="1224" spans="1:11" x14ac:dyDescent="0.3">
      <c r="A1224" t="s">
        <v>1300</v>
      </c>
      <c r="B1224" s="2">
        <v>45200</v>
      </c>
      <c r="C1224">
        <v>2023</v>
      </c>
      <c r="D1224">
        <v>10</v>
      </c>
      <c r="E1224" t="s">
        <v>62</v>
      </c>
      <c r="F1224" t="s">
        <v>67</v>
      </c>
      <c r="G1224" t="s">
        <v>40</v>
      </c>
      <c r="H1224" s="3">
        <v>15129.649159152719</v>
      </c>
      <c r="I1224">
        <v>3</v>
      </c>
      <c r="J1224" s="3">
        <v>10376.46212307586</v>
      </c>
      <c r="K1224" s="3">
        <v>4753.1870360768526</v>
      </c>
    </row>
    <row r="1225" spans="1:11" x14ac:dyDescent="0.3">
      <c r="A1225" t="s">
        <v>1301</v>
      </c>
      <c r="B1225" s="2">
        <v>45200</v>
      </c>
      <c r="C1225">
        <v>2023</v>
      </c>
      <c r="D1225">
        <v>10</v>
      </c>
      <c r="E1225" t="s">
        <v>62</v>
      </c>
      <c r="F1225" t="s">
        <v>48</v>
      </c>
      <c r="G1225" t="s">
        <v>40</v>
      </c>
      <c r="H1225" s="3">
        <v>30303.885614534742</v>
      </c>
      <c r="I1225">
        <v>6</v>
      </c>
      <c r="J1225" s="3">
        <v>20404.93883584311</v>
      </c>
      <c r="K1225" s="3">
        <v>9898.9467786916284</v>
      </c>
    </row>
    <row r="1226" spans="1:11" x14ac:dyDescent="0.3">
      <c r="A1226" t="s">
        <v>1302</v>
      </c>
      <c r="B1226" s="2">
        <v>45200</v>
      </c>
      <c r="C1226">
        <v>2023</v>
      </c>
      <c r="D1226">
        <v>10</v>
      </c>
      <c r="E1226" t="s">
        <v>50</v>
      </c>
      <c r="F1226" t="s">
        <v>67</v>
      </c>
      <c r="G1226" t="s">
        <v>43</v>
      </c>
      <c r="H1226" s="3">
        <v>72114.888684039746</v>
      </c>
      <c r="I1226">
        <v>21</v>
      </c>
      <c r="J1226" s="3">
        <v>43117.317560019052</v>
      </c>
      <c r="K1226" s="3">
        <v>28997.571124020691</v>
      </c>
    </row>
    <row r="1227" spans="1:11" x14ac:dyDescent="0.3">
      <c r="A1227" t="s">
        <v>1303</v>
      </c>
      <c r="B1227" s="2">
        <v>45200</v>
      </c>
      <c r="C1227">
        <v>2023</v>
      </c>
      <c r="D1227">
        <v>10</v>
      </c>
      <c r="E1227" t="s">
        <v>50</v>
      </c>
      <c r="F1227" t="s">
        <v>48</v>
      </c>
      <c r="G1227" t="s">
        <v>43</v>
      </c>
      <c r="H1227" s="3">
        <v>151116.60884003481</v>
      </c>
      <c r="I1227">
        <v>43</v>
      </c>
      <c r="J1227" s="3">
        <v>88830.001183545915</v>
      </c>
      <c r="K1227" s="3">
        <v>62286.607656488923</v>
      </c>
    </row>
    <row r="1228" spans="1:11" x14ac:dyDescent="0.3">
      <c r="A1228" t="s">
        <v>1304</v>
      </c>
      <c r="B1228" s="2">
        <v>45200</v>
      </c>
      <c r="C1228">
        <v>2023</v>
      </c>
      <c r="D1228">
        <v>10</v>
      </c>
      <c r="E1228" t="s">
        <v>54</v>
      </c>
      <c r="F1228" t="s">
        <v>67</v>
      </c>
      <c r="G1228" t="s">
        <v>43</v>
      </c>
      <c r="H1228" s="3">
        <v>63336.270486624911</v>
      </c>
      <c r="I1228">
        <v>18</v>
      </c>
      <c r="J1228" s="3">
        <v>37389.517425583719</v>
      </c>
      <c r="K1228" s="3">
        <v>25946.753061041189</v>
      </c>
    </row>
    <row r="1229" spans="1:11" x14ac:dyDescent="0.3">
      <c r="A1229" t="s">
        <v>1305</v>
      </c>
      <c r="B1229" s="2">
        <v>45200</v>
      </c>
      <c r="C1229">
        <v>2023</v>
      </c>
      <c r="D1229">
        <v>10</v>
      </c>
      <c r="E1229" t="s">
        <v>54</v>
      </c>
      <c r="F1229" t="s">
        <v>48</v>
      </c>
      <c r="G1229" t="s">
        <v>43</v>
      </c>
      <c r="H1229" s="3">
        <v>131075.4017539635</v>
      </c>
      <c r="I1229">
        <v>37</v>
      </c>
      <c r="J1229" s="3">
        <v>79572.269421325822</v>
      </c>
      <c r="K1229" s="3">
        <v>51503.132332637702</v>
      </c>
    </row>
    <row r="1230" spans="1:11" x14ac:dyDescent="0.3">
      <c r="A1230" t="s">
        <v>1306</v>
      </c>
      <c r="B1230" s="2">
        <v>45200</v>
      </c>
      <c r="C1230">
        <v>2023</v>
      </c>
      <c r="D1230">
        <v>10</v>
      </c>
      <c r="E1230" t="s">
        <v>58</v>
      </c>
      <c r="F1230" t="s">
        <v>67</v>
      </c>
      <c r="G1230" t="s">
        <v>43</v>
      </c>
      <c r="H1230" s="3">
        <v>40452.748893136282</v>
      </c>
      <c r="I1230">
        <v>12</v>
      </c>
      <c r="J1230" s="3">
        <v>23858.288863054939</v>
      </c>
      <c r="K1230" s="3">
        <v>16594.460030081329</v>
      </c>
    </row>
    <row r="1231" spans="1:11" x14ac:dyDescent="0.3">
      <c r="A1231" t="s">
        <v>1307</v>
      </c>
      <c r="B1231" s="2">
        <v>45200</v>
      </c>
      <c r="C1231">
        <v>2023</v>
      </c>
      <c r="D1231">
        <v>10</v>
      </c>
      <c r="E1231" t="s">
        <v>58</v>
      </c>
      <c r="F1231" t="s">
        <v>48</v>
      </c>
      <c r="G1231" t="s">
        <v>43</v>
      </c>
      <c r="H1231" s="3">
        <v>92769.72936603897</v>
      </c>
      <c r="I1231">
        <v>27</v>
      </c>
      <c r="J1231" s="3">
        <v>55019.048281363241</v>
      </c>
      <c r="K1231" s="3">
        <v>37750.681084675729</v>
      </c>
    </row>
    <row r="1232" spans="1:11" x14ac:dyDescent="0.3">
      <c r="A1232" t="s">
        <v>1308</v>
      </c>
      <c r="B1232" s="2">
        <v>45200</v>
      </c>
      <c r="C1232">
        <v>2023</v>
      </c>
      <c r="D1232">
        <v>10</v>
      </c>
      <c r="E1232" t="s">
        <v>62</v>
      </c>
      <c r="F1232" t="s">
        <v>67</v>
      </c>
      <c r="G1232" t="s">
        <v>43</v>
      </c>
      <c r="H1232" s="3">
        <v>30966.188656713952</v>
      </c>
      <c r="I1232">
        <v>9</v>
      </c>
      <c r="J1232" s="3">
        <v>17882.34943933658</v>
      </c>
      <c r="K1232" s="3">
        <v>13083.83921737737</v>
      </c>
    </row>
    <row r="1233" spans="1:11" x14ac:dyDescent="0.3">
      <c r="A1233" t="s">
        <v>1309</v>
      </c>
      <c r="B1233" s="2">
        <v>45200</v>
      </c>
      <c r="C1233">
        <v>2023</v>
      </c>
      <c r="D1233">
        <v>10</v>
      </c>
      <c r="E1233" t="s">
        <v>62</v>
      </c>
      <c r="F1233" t="s">
        <v>48</v>
      </c>
      <c r="G1233" t="s">
        <v>43</v>
      </c>
      <c r="H1233" s="3">
        <v>60780.04332428929</v>
      </c>
      <c r="I1233">
        <v>17</v>
      </c>
      <c r="J1233" s="3">
        <v>35718.432431346373</v>
      </c>
      <c r="K1233" s="3">
        <v>25061.610892942921</v>
      </c>
    </row>
    <row r="1234" spans="1:11" x14ac:dyDescent="0.3">
      <c r="A1234" t="s">
        <v>1310</v>
      </c>
      <c r="B1234" s="2">
        <v>45231</v>
      </c>
      <c r="C1234">
        <v>2023</v>
      </c>
      <c r="D1234">
        <v>11</v>
      </c>
      <c r="E1234" t="s">
        <v>50</v>
      </c>
      <c r="F1234" t="s">
        <v>67</v>
      </c>
      <c r="G1234" t="s">
        <v>19</v>
      </c>
      <c r="H1234" s="3">
        <v>85113.499720539025</v>
      </c>
      <c r="I1234">
        <v>16</v>
      </c>
      <c r="J1234" s="3">
        <v>53349.338293578519</v>
      </c>
      <c r="K1234" s="3">
        <v>31764.161426960509</v>
      </c>
    </row>
    <row r="1235" spans="1:11" x14ac:dyDescent="0.3">
      <c r="A1235" t="s">
        <v>1311</v>
      </c>
      <c r="B1235" s="2">
        <v>45231</v>
      </c>
      <c r="C1235">
        <v>2023</v>
      </c>
      <c r="D1235">
        <v>11</v>
      </c>
      <c r="E1235" t="s">
        <v>50</v>
      </c>
      <c r="F1235" t="s">
        <v>48</v>
      </c>
      <c r="G1235" t="s">
        <v>19</v>
      </c>
      <c r="H1235" s="3">
        <v>178115.89207144271</v>
      </c>
      <c r="I1235">
        <v>34</v>
      </c>
      <c r="J1235" s="3">
        <v>107340.1226182934</v>
      </c>
      <c r="K1235" s="3">
        <v>70775.769453149333</v>
      </c>
    </row>
    <row r="1236" spans="1:11" x14ac:dyDescent="0.3">
      <c r="A1236" t="s">
        <v>1312</v>
      </c>
      <c r="B1236" s="2">
        <v>45231</v>
      </c>
      <c r="C1236">
        <v>2023</v>
      </c>
      <c r="D1236">
        <v>11</v>
      </c>
      <c r="E1236" t="s">
        <v>54</v>
      </c>
      <c r="F1236" t="s">
        <v>67</v>
      </c>
      <c r="G1236" t="s">
        <v>19</v>
      </c>
      <c r="H1236" s="3">
        <v>71531.060316198505</v>
      </c>
      <c r="I1236">
        <v>14</v>
      </c>
      <c r="J1236" s="3">
        <v>44509.58934920685</v>
      </c>
      <c r="K1236" s="3">
        <v>27021.470966991659</v>
      </c>
    </row>
    <row r="1237" spans="1:11" x14ac:dyDescent="0.3">
      <c r="A1237" t="s">
        <v>1313</v>
      </c>
      <c r="B1237" s="2">
        <v>45231</v>
      </c>
      <c r="C1237">
        <v>2023</v>
      </c>
      <c r="D1237">
        <v>11</v>
      </c>
      <c r="E1237" t="s">
        <v>54</v>
      </c>
      <c r="F1237" t="s">
        <v>48</v>
      </c>
      <c r="G1237" t="s">
        <v>19</v>
      </c>
      <c r="H1237" s="3">
        <v>134328.50677609211</v>
      </c>
      <c r="I1237">
        <v>26</v>
      </c>
      <c r="J1237" s="3">
        <v>83434.77071659475</v>
      </c>
      <c r="K1237" s="3">
        <v>50893.7360594973</v>
      </c>
    </row>
    <row r="1238" spans="1:11" x14ac:dyDescent="0.3">
      <c r="A1238" t="s">
        <v>1314</v>
      </c>
      <c r="B1238" s="2">
        <v>45231</v>
      </c>
      <c r="C1238">
        <v>2023</v>
      </c>
      <c r="D1238">
        <v>11</v>
      </c>
      <c r="E1238" t="s">
        <v>58</v>
      </c>
      <c r="F1238" t="s">
        <v>67</v>
      </c>
      <c r="G1238" t="s">
        <v>19</v>
      </c>
      <c r="H1238" s="3">
        <v>44928.479770072961</v>
      </c>
      <c r="I1238">
        <v>9</v>
      </c>
      <c r="J1238" s="3">
        <v>27876.359063407632</v>
      </c>
      <c r="K1238" s="3">
        <v>17052.12070666533</v>
      </c>
    </row>
    <row r="1239" spans="1:11" x14ac:dyDescent="0.3">
      <c r="A1239" t="s">
        <v>1315</v>
      </c>
      <c r="B1239" s="2">
        <v>45231</v>
      </c>
      <c r="C1239">
        <v>2023</v>
      </c>
      <c r="D1239">
        <v>11</v>
      </c>
      <c r="E1239" t="s">
        <v>58</v>
      </c>
      <c r="F1239" t="s">
        <v>48</v>
      </c>
      <c r="G1239" t="s">
        <v>19</v>
      </c>
      <c r="H1239" s="3">
        <v>91666.459228765118</v>
      </c>
      <c r="I1239">
        <v>18</v>
      </c>
      <c r="J1239" s="3">
        <v>57894.215874131667</v>
      </c>
      <c r="K1239" s="3">
        <v>33772.243354633451</v>
      </c>
    </row>
    <row r="1240" spans="1:11" x14ac:dyDescent="0.3">
      <c r="A1240" t="s">
        <v>1316</v>
      </c>
      <c r="B1240" s="2">
        <v>45231</v>
      </c>
      <c r="C1240">
        <v>2023</v>
      </c>
      <c r="D1240">
        <v>11</v>
      </c>
      <c r="E1240" t="s">
        <v>62</v>
      </c>
      <c r="F1240" t="s">
        <v>67</v>
      </c>
      <c r="G1240" t="s">
        <v>19</v>
      </c>
      <c r="H1240" s="3">
        <v>33503.11163297989</v>
      </c>
      <c r="I1240">
        <v>6</v>
      </c>
      <c r="J1240" s="3">
        <v>20896.97400926183</v>
      </c>
      <c r="K1240" s="3">
        <v>12606.137623718059</v>
      </c>
    </row>
    <row r="1241" spans="1:11" x14ac:dyDescent="0.3">
      <c r="A1241" t="s">
        <v>1317</v>
      </c>
      <c r="B1241" s="2">
        <v>45231</v>
      </c>
      <c r="C1241">
        <v>2023</v>
      </c>
      <c r="D1241">
        <v>11</v>
      </c>
      <c r="E1241" t="s">
        <v>62</v>
      </c>
      <c r="F1241" t="s">
        <v>48</v>
      </c>
      <c r="G1241" t="s">
        <v>19</v>
      </c>
      <c r="H1241" s="3">
        <v>71512.807909174619</v>
      </c>
      <c r="I1241">
        <v>14</v>
      </c>
      <c r="J1241" s="3">
        <v>45517.56486434141</v>
      </c>
      <c r="K1241" s="3">
        <v>25995.243044833209</v>
      </c>
    </row>
    <row r="1242" spans="1:11" x14ac:dyDescent="0.3">
      <c r="A1242" t="s">
        <v>1318</v>
      </c>
      <c r="B1242" s="2">
        <v>45231</v>
      </c>
      <c r="C1242">
        <v>2023</v>
      </c>
      <c r="D1242">
        <v>11</v>
      </c>
      <c r="E1242" t="s">
        <v>50</v>
      </c>
      <c r="F1242" t="s">
        <v>67</v>
      </c>
      <c r="G1242" t="s">
        <v>24</v>
      </c>
      <c r="H1242" s="3">
        <v>91212.354783014962</v>
      </c>
      <c r="I1242">
        <v>15</v>
      </c>
      <c r="J1242" s="3">
        <v>59123.497800657911</v>
      </c>
      <c r="K1242" s="3">
        <v>32088.856982357051</v>
      </c>
    </row>
    <row r="1243" spans="1:11" x14ac:dyDescent="0.3">
      <c r="A1243" t="s">
        <v>1319</v>
      </c>
      <c r="B1243" s="2">
        <v>45231</v>
      </c>
      <c r="C1243">
        <v>2023</v>
      </c>
      <c r="D1243">
        <v>11</v>
      </c>
      <c r="E1243" t="s">
        <v>50</v>
      </c>
      <c r="F1243" t="s">
        <v>48</v>
      </c>
      <c r="G1243" t="s">
        <v>24</v>
      </c>
      <c r="H1243" s="3">
        <v>191113.7693394885</v>
      </c>
      <c r="I1243">
        <v>31</v>
      </c>
      <c r="J1243" s="3">
        <v>126443.6951939392</v>
      </c>
      <c r="K1243" s="3">
        <v>64670.074145549268</v>
      </c>
    </row>
    <row r="1244" spans="1:11" x14ac:dyDescent="0.3">
      <c r="A1244" t="s">
        <v>1320</v>
      </c>
      <c r="B1244" s="2">
        <v>45231</v>
      </c>
      <c r="C1244">
        <v>2023</v>
      </c>
      <c r="D1244">
        <v>11</v>
      </c>
      <c r="E1244" t="s">
        <v>54</v>
      </c>
      <c r="F1244" t="s">
        <v>67</v>
      </c>
      <c r="G1244" t="s">
        <v>24</v>
      </c>
      <c r="H1244" s="3">
        <v>71762.199412158909</v>
      </c>
      <c r="I1244">
        <v>12</v>
      </c>
      <c r="J1244" s="3">
        <v>47435.062497764069</v>
      </c>
      <c r="K1244" s="3">
        <v>24327.13691439484</v>
      </c>
    </row>
    <row r="1245" spans="1:11" x14ac:dyDescent="0.3">
      <c r="A1245" t="s">
        <v>1321</v>
      </c>
      <c r="B1245" s="2">
        <v>45231</v>
      </c>
      <c r="C1245">
        <v>2023</v>
      </c>
      <c r="D1245">
        <v>11</v>
      </c>
      <c r="E1245" t="s">
        <v>54</v>
      </c>
      <c r="F1245" t="s">
        <v>48</v>
      </c>
      <c r="G1245" t="s">
        <v>24</v>
      </c>
      <c r="H1245" s="3">
        <v>160083.48355492839</v>
      </c>
      <c r="I1245">
        <v>26</v>
      </c>
      <c r="J1245" s="3">
        <v>103621.5997343479</v>
      </c>
      <c r="K1245" s="3">
        <v>56461.883820580508</v>
      </c>
    </row>
    <row r="1246" spans="1:11" x14ac:dyDescent="0.3">
      <c r="A1246" t="s">
        <v>1322</v>
      </c>
      <c r="B1246" s="2">
        <v>45231</v>
      </c>
      <c r="C1246">
        <v>2023</v>
      </c>
      <c r="D1246">
        <v>11</v>
      </c>
      <c r="E1246" t="s">
        <v>58</v>
      </c>
      <c r="F1246" t="s">
        <v>67</v>
      </c>
      <c r="G1246" t="s">
        <v>24</v>
      </c>
      <c r="H1246" s="3">
        <v>44774.104566414288</v>
      </c>
      <c r="I1246">
        <v>7</v>
      </c>
      <c r="J1246" s="3">
        <v>30059.577972582749</v>
      </c>
      <c r="K1246" s="3">
        <v>14714.526593831541</v>
      </c>
    </row>
    <row r="1247" spans="1:11" x14ac:dyDescent="0.3">
      <c r="A1247" t="s">
        <v>1323</v>
      </c>
      <c r="B1247" s="2">
        <v>45231</v>
      </c>
      <c r="C1247">
        <v>2023</v>
      </c>
      <c r="D1247">
        <v>11</v>
      </c>
      <c r="E1247" t="s">
        <v>58</v>
      </c>
      <c r="F1247" t="s">
        <v>48</v>
      </c>
      <c r="G1247" t="s">
        <v>24</v>
      </c>
      <c r="H1247" s="3">
        <v>104808.0434295484</v>
      </c>
      <c r="I1247">
        <v>17</v>
      </c>
      <c r="J1247" s="3">
        <v>72067.804857797993</v>
      </c>
      <c r="K1247" s="3">
        <v>32740.23857175036</v>
      </c>
    </row>
    <row r="1248" spans="1:11" x14ac:dyDescent="0.3">
      <c r="A1248" t="s">
        <v>1324</v>
      </c>
      <c r="B1248" s="2">
        <v>45231</v>
      </c>
      <c r="C1248">
        <v>2023</v>
      </c>
      <c r="D1248">
        <v>11</v>
      </c>
      <c r="E1248" t="s">
        <v>62</v>
      </c>
      <c r="F1248" t="s">
        <v>67</v>
      </c>
      <c r="G1248" t="s">
        <v>24</v>
      </c>
      <c r="H1248" s="3">
        <v>37222.022861937701</v>
      </c>
      <c r="I1248">
        <v>6</v>
      </c>
      <c r="J1248" s="3">
        <v>24559.015043019321</v>
      </c>
      <c r="K1248" s="3">
        <v>12663.007818918381</v>
      </c>
    </row>
    <row r="1249" spans="1:11" x14ac:dyDescent="0.3">
      <c r="A1249" t="s">
        <v>1325</v>
      </c>
      <c r="B1249" s="2">
        <v>45231</v>
      </c>
      <c r="C1249">
        <v>2023</v>
      </c>
      <c r="D1249">
        <v>11</v>
      </c>
      <c r="E1249" t="s">
        <v>62</v>
      </c>
      <c r="F1249" t="s">
        <v>48</v>
      </c>
      <c r="G1249" t="s">
        <v>24</v>
      </c>
      <c r="H1249" s="3">
        <v>70404.881112804185</v>
      </c>
      <c r="I1249">
        <v>12</v>
      </c>
      <c r="J1249" s="3">
        <v>46889.626216641722</v>
      </c>
      <c r="K1249" s="3">
        <v>23515.25489616246</v>
      </c>
    </row>
    <row r="1250" spans="1:11" x14ac:dyDescent="0.3">
      <c r="A1250" t="s">
        <v>1326</v>
      </c>
      <c r="B1250" s="2">
        <v>45231</v>
      </c>
      <c r="C1250">
        <v>2023</v>
      </c>
      <c r="D1250">
        <v>11</v>
      </c>
      <c r="E1250" t="s">
        <v>50</v>
      </c>
      <c r="F1250" t="s">
        <v>67</v>
      </c>
      <c r="G1250" t="s">
        <v>29</v>
      </c>
      <c r="H1250" s="3">
        <v>54831.333747589073</v>
      </c>
      <c r="I1250">
        <v>13</v>
      </c>
      <c r="J1250" s="3">
        <v>35145.440282357697</v>
      </c>
      <c r="K1250" s="3">
        <v>19685.89346523138</v>
      </c>
    </row>
    <row r="1251" spans="1:11" x14ac:dyDescent="0.3">
      <c r="A1251" t="s">
        <v>1327</v>
      </c>
      <c r="B1251" s="2">
        <v>45231</v>
      </c>
      <c r="C1251">
        <v>2023</v>
      </c>
      <c r="D1251">
        <v>11</v>
      </c>
      <c r="E1251" t="s">
        <v>50</v>
      </c>
      <c r="F1251" t="s">
        <v>48</v>
      </c>
      <c r="G1251" t="s">
        <v>29</v>
      </c>
      <c r="H1251" s="3">
        <v>121561.530088342</v>
      </c>
      <c r="I1251">
        <v>28</v>
      </c>
      <c r="J1251" s="3">
        <v>76800.083257955164</v>
      </c>
      <c r="K1251" s="3">
        <v>44761.446830386791</v>
      </c>
    </row>
    <row r="1252" spans="1:11" x14ac:dyDescent="0.3">
      <c r="A1252" t="s">
        <v>1328</v>
      </c>
      <c r="B1252" s="2">
        <v>45231</v>
      </c>
      <c r="C1252">
        <v>2023</v>
      </c>
      <c r="D1252">
        <v>11</v>
      </c>
      <c r="E1252" t="s">
        <v>54</v>
      </c>
      <c r="F1252" t="s">
        <v>67</v>
      </c>
      <c r="G1252" t="s">
        <v>29</v>
      </c>
      <c r="H1252" s="3">
        <v>47365.441657840973</v>
      </c>
      <c r="I1252">
        <v>11</v>
      </c>
      <c r="J1252" s="3">
        <v>29320.385019545822</v>
      </c>
      <c r="K1252" s="3">
        <v>18045.056638295151</v>
      </c>
    </row>
    <row r="1253" spans="1:11" x14ac:dyDescent="0.3">
      <c r="A1253" t="s">
        <v>1329</v>
      </c>
      <c r="B1253" s="2">
        <v>45231</v>
      </c>
      <c r="C1253">
        <v>2023</v>
      </c>
      <c r="D1253">
        <v>11</v>
      </c>
      <c r="E1253" t="s">
        <v>54</v>
      </c>
      <c r="F1253" t="s">
        <v>48</v>
      </c>
      <c r="G1253" t="s">
        <v>29</v>
      </c>
      <c r="H1253" s="3">
        <v>97378.514494497693</v>
      </c>
      <c r="I1253">
        <v>23</v>
      </c>
      <c r="J1253" s="3">
        <v>61530.512239446973</v>
      </c>
      <c r="K1253" s="3">
        <v>35848.00225505072</v>
      </c>
    </row>
    <row r="1254" spans="1:11" x14ac:dyDescent="0.3">
      <c r="A1254" t="s">
        <v>1330</v>
      </c>
      <c r="B1254" s="2">
        <v>45231</v>
      </c>
      <c r="C1254">
        <v>2023</v>
      </c>
      <c r="D1254">
        <v>11</v>
      </c>
      <c r="E1254" t="s">
        <v>58</v>
      </c>
      <c r="F1254" t="s">
        <v>67</v>
      </c>
      <c r="G1254" t="s">
        <v>29</v>
      </c>
      <c r="H1254" s="3">
        <v>31156.78469660426</v>
      </c>
      <c r="I1254">
        <v>7</v>
      </c>
      <c r="J1254" s="3">
        <v>19440.731929682701</v>
      </c>
      <c r="K1254" s="3">
        <v>11716.052766921561</v>
      </c>
    </row>
    <row r="1255" spans="1:11" x14ac:dyDescent="0.3">
      <c r="A1255" t="s">
        <v>1331</v>
      </c>
      <c r="B1255" s="2">
        <v>45231</v>
      </c>
      <c r="C1255">
        <v>2023</v>
      </c>
      <c r="D1255">
        <v>11</v>
      </c>
      <c r="E1255" t="s">
        <v>58</v>
      </c>
      <c r="F1255" t="s">
        <v>48</v>
      </c>
      <c r="G1255" t="s">
        <v>29</v>
      </c>
      <c r="H1255" s="3">
        <v>70578.380019033852</v>
      </c>
      <c r="I1255">
        <v>16</v>
      </c>
      <c r="J1255" s="3">
        <v>46555.705454112343</v>
      </c>
      <c r="K1255" s="3">
        <v>24022.674564921519</v>
      </c>
    </row>
    <row r="1256" spans="1:11" x14ac:dyDescent="0.3">
      <c r="A1256" t="s">
        <v>1332</v>
      </c>
      <c r="B1256" s="2">
        <v>45231</v>
      </c>
      <c r="C1256">
        <v>2023</v>
      </c>
      <c r="D1256">
        <v>11</v>
      </c>
      <c r="E1256" t="s">
        <v>62</v>
      </c>
      <c r="F1256" t="s">
        <v>67</v>
      </c>
      <c r="G1256" t="s">
        <v>29</v>
      </c>
      <c r="H1256" s="3">
        <v>23507.895675413802</v>
      </c>
      <c r="I1256">
        <v>5</v>
      </c>
      <c r="J1256" s="3">
        <v>15013.88026575758</v>
      </c>
      <c r="K1256" s="3">
        <v>8494.0154096562146</v>
      </c>
    </row>
    <row r="1257" spans="1:11" x14ac:dyDescent="0.3">
      <c r="A1257" t="s">
        <v>1333</v>
      </c>
      <c r="B1257" s="2">
        <v>45231</v>
      </c>
      <c r="C1257">
        <v>2023</v>
      </c>
      <c r="D1257">
        <v>11</v>
      </c>
      <c r="E1257" t="s">
        <v>62</v>
      </c>
      <c r="F1257" t="s">
        <v>48</v>
      </c>
      <c r="G1257" t="s">
        <v>29</v>
      </c>
      <c r="H1257" s="3">
        <v>50129.466367792287</v>
      </c>
      <c r="I1257">
        <v>12</v>
      </c>
      <c r="J1257" s="3">
        <v>31883.09301958809</v>
      </c>
      <c r="K1257" s="3">
        <v>18246.373348204201</v>
      </c>
    </row>
    <row r="1258" spans="1:11" x14ac:dyDescent="0.3">
      <c r="A1258" t="s">
        <v>1334</v>
      </c>
      <c r="B1258" s="2">
        <v>45231</v>
      </c>
      <c r="C1258">
        <v>2023</v>
      </c>
      <c r="D1258">
        <v>11</v>
      </c>
      <c r="E1258" t="s">
        <v>50</v>
      </c>
      <c r="F1258" t="s">
        <v>67</v>
      </c>
      <c r="G1258" t="s">
        <v>34</v>
      </c>
      <c r="H1258" s="3">
        <v>57101.798391206918</v>
      </c>
      <c r="I1258">
        <v>67</v>
      </c>
      <c r="J1258" s="3">
        <v>27847.535748076501</v>
      </c>
      <c r="K1258" s="3">
        <v>29254.26264313042</v>
      </c>
    </row>
    <row r="1259" spans="1:11" x14ac:dyDescent="0.3">
      <c r="A1259" t="s">
        <v>1335</v>
      </c>
      <c r="B1259" s="2">
        <v>45231</v>
      </c>
      <c r="C1259">
        <v>2023</v>
      </c>
      <c r="D1259">
        <v>11</v>
      </c>
      <c r="E1259" t="s">
        <v>50</v>
      </c>
      <c r="F1259" t="s">
        <v>48</v>
      </c>
      <c r="G1259" t="s">
        <v>34</v>
      </c>
      <c r="H1259" s="3">
        <v>120032.397148098</v>
      </c>
      <c r="I1259">
        <v>141</v>
      </c>
      <c r="J1259" s="3">
        <v>56452.205096769743</v>
      </c>
      <c r="K1259" s="3">
        <v>63580.192051328231</v>
      </c>
    </row>
    <row r="1260" spans="1:11" x14ac:dyDescent="0.3">
      <c r="A1260" t="s">
        <v>1336</v>
      </c>
      <c r="B1260" s="2">
        <v>45231</v>
      </c>
      <c r="C1260">
        <v>2023</v>
      </c>
      <c r="D1260">
        <v>11</v>
      </c>
      <c r="E1260" t="s">
        <v>54</v>
      </c>
      <c r="F1260" t="s">
        <v>67</v>
      </c>
      <c r="G1260" t="s">
        <v>34</v>
      </c>
      <c r="H1260" s="3">
        <v>45026.156369880438</v>
      </c>
      <c r="I1260">
        <v>53</v>
      </c>
      <c r="J1260" s="3">
        <v>21314.225015168198</v>
      </c>
      <c r="K1260" s="3">
        <v>23711.93135471224</v>
      </c>
    </row>
    <row r="1261" spans="1:11" x14ac:dyDescent="0.3">
      <c r="A1261" t="s">
        <v>1337</v>
      </c>
      <c r="B1261" s="2">
        <v>45231</v>
      </c>
      <c r="C1261">
        <v>2023</v>
      </c>
      <c r="D1261">
        <v>11</v>
      </c>
      <c r="E1261" t="s">
        <v>54</v>
      </c>
      <c r="F1261" t="s">
        <v>48</v>
      </c>
      <c r="G1261" t="s">
        <v>34</v>
      </c>
      <c r="H1261" s="3">
        <v>93540.07222934415</v>
      </c>
      <c r="I1261">
        <v>110</v>
      </c>
      <c r="J1261" s="3">
        <v>44954.249740332532</v>
      </c>
      <c r="K1261" s="3">
        <v>48585.822489011618</v>
      </c>
    </row>
    <row r="1262" spans="1:11" x14ac:dyDescent="0.3">
      <c r="A1262" t="s">
        <v>1338</v>
      </c>
      <c r="B1262" s="2">
        <v>45231</v>
      </c>
      <c r="C1262">
        <v>2023</v>
      </c>
      <c r="D1262">
        <v>11</v>
      </c>
      <c r="E1262" t="s">
        <v>58</v>
      </c>
      <c r="F1262" t="s">
        <v>67</v>
      </c>
      <c r="G1262" t="s">
        <v>34</v>
      </c>
      <c r="H1262" s="3">
        <v>30816.195403535148</v>
      </c>
      <c r="I1262">
        <v>36</v>
      </c>
      <c r="J1262" s="3">
        <v>15065.685521424781</v>
      </c>
      <c r="K1262" s="3">
        <v>15750.50988211038</v>
      </c>
    </row>
    <row r="1263" spans="1:11" x14ac:dyDescent="0.3">
      <c r="A1263" t="s">
        <v>1339</v>
      </c>
      <c r="B1263" s="2">
        <v>45231</v>
      </c>
      <c r="C1263">
        <v>2023</v>
      </c>
      <c r="D1263">
        <v>11</v>
      </c>
      <c r="E1263" t="s">
        <v>58</v>
      </c>
      <c r="F1263" t="s">
        <v>48</v>
      </c>
      <c r="G1263" t="s">
        <v>34</v>
      </c>
      <c r="H1263" s="3">
        <v>66176.908598011156</v>
      </c>
      <c r="I1263">
        <v>78</v>
      </c>
      <c r="J1263" s="3">
        <v>32051.76382792099</v>
      </c>
      <c r="K1263" s="3">
        <v>34125.14477009017</v>
      </c>
    </row>
    <row r="1264" spans="1:11" x14ac:dyDescent="0.3">
      <c r="A1264" t="s">
        <v>1340</v>
      </c>
      <c r="B1264" s="2">
        <v>45231</v>
      </c>
      <c r="C1264">
        <v>2023</v>
      </c>
      <c r="D1264">
        <v>11</v>
      </c>
      <c r="E1264" t="s">
        <v>62</v>
      </c>
      <c r="F1264" t="s">
        <v>67</v>
      </c>
      <c r="G1264" t="s">
        <v>34</v>
      </c>
      <c r="H1264" s="3">
        <v>21411.476109587849</v>
      </c>
      <c r="I1264">
        <v>25</v>
      </c>
      <c r="J1264" s="3">
        <v>10323.447480481371</v>
      </c>
      <c r="K1264" s="3">
        <v>11088.02862910648</v>
      </c>
    </row>
    <row r="1265" spans="1:11" x14ac:dyDescent="0.3">
      <c r="A1265" t="s">
        <v>1341</v>
      </c>
      <c r="B1265" s="2">
        <v>45231</v>
      </c>
      <c r="C1265">
        <v>2023</v>
      </c>
      <c r="D1265">
        <v>11</v>
      </c>
      <c r="E1265" t="s">
        <v>62</v>
      </c>
      <c r="F1265" t="s">
        <v>48</v>
      </c>
      <c r="G1265" t="s">
        <v>34</v>
      </c>
      <c r="H1265" s="3">
        <v>45291.914325705038</v>
      </c>
      <c r="I1265">
        <v>53</v>
      </c>
      <c r="J1265" s="3">
        <v>21770.688075645281</v>
      </c>
      <c r="K1265" s="3">
        <v>23521.226250059761</v>
      </c>
    </row>
    <row r="1266" spans="1:11" x14ac:dyDescent="0.3">
      <c r="A1266" t="s">
        <v>1342</v>
      </c>
      <c r="B1266" s="2">
        <v>45231</v>
      </c>
      <c r="C1266">
        <v>2023</v>
      </c>
      <c r="D1266">
        <v>11</v>
      </c>
      <c r="E1266" t="s">
        <v>50</v>
      </c>
      <c r="F1266" t="s">
        <v>67</v>
      </c>
      <c r="G1266" t="s">
        <v>37</v>
      </c>
      <c r="H1266" s="3">
        <v>43963.292521548108</v>
      </c>
      <c r="I1266">
        <v>61</v>
      </c>
      <c r="J1266" s="3">
        <v>24354.00817819341</v>
      </c>
      <c r="K1266" s="3">
        <v>19609.284343354699</v>
      </c>
    </row>
    <row r="1267" spans="1:11" x14ac:dyDescent="0.3">
      <c r="A1267" t="s">
        <v>1343</v>
      </c>
      <c r="B1267" s="2">
        <v>45231</v>
      </c>
      <c r="C1267">
        <v>2023</v>
      </c>
      <c r="D1267">
        <v>11</v>
      </c>
      <c r="E1267" t="s">
        <v>50</v>
      </c>
      <c r="F1267" t="s">
        <v>48</v>
      </c>
      <c r="G1267" t="s">
        <v>37</v>
      </c>
      <c r="H1267" s="3">
        <v>91811.595994032192</v>
      </c>
      <c r="I1267">
        <v>128</v>
      </c>
      <c r="J1267" s="3">
        <v>50679.667139779529</v>
      </c>
      <c r="K1267" s="3">
        <v>41131.928854252663</v>
      </c>
    </row>
    <row r="1268" spans="1:11" x14ac:dyDescent="0.3">
      <c r="A1268" t="s">
        <v>1344</v>
      </c>
      <c r="B1268" s="2">
        <v>45231</v>
      </c>
      <c r="C1268">
        <v>2023</v>
      </c>
      <c r="D1268">
        <v>11</v>
      </c>
      <c r="E1268" t="s">
        <v>54</v>
      </c>
      <c r="F1268" t="s">
        <v>67</v>
      </c>
      <c r="G1268" t="s">
        <v>37</v>
      </c>
      <c r="H1268" s="3">
        <v>36660.755471632459</v>
      </c>
      <c r="I1268">
        <v>51</v>
      </c>
      <c r="J1268" s="3">
        <v>19789.59584848709</v>
      </c>
      <c r="K1268" s="3">
        <v>16871.15962314537</v>
      </c>
    </row>
    <row r="1269" spans="1:11" x14ac:dyDescent="0.3">
      <c r="A1269" t="s">
        <v>1345</v>
      </c>
      <c r="B1269" s="2">
        <v>45231</v>
      </c>
      <c r="C1269">
        <v>2023</v>
      </c>
      <c r="D1269">
        <v>11</v>
      </c>
      <c r="E1269" t="s">
        <v>54</v>
      </c>
      <c r="F1269" t="s">
        <v>48</v>
      </c>
      <c r="G1269" t="s">
        <v>37</v>
      </c>
      <c r="H1269" s="3">
        <v>79604.826077691716</v>
      </c>
      <c r="I1269">
        <v>111</v>
      </c>
      <c r="J1269" s="3">
        <v>43818.968814127082</v>
      </c>
      <c r="K1269" s="3">
        <v>35785.857263564627</v>
      </c>
    </row>
    <row r="1270" spans="1:11" x14ac:dyDescent="0.3">
      <c r="A1270" t="s">
        <v>1346</v>
      </c>
      <c r="B1270" s="2">
        <v>45231</v>
      </c>
      <c r="C1270">
        <v>2023</v>
      </c>
      <c r="D1270">
        <v>11</v>
      </c>
      <c r="E1270" t="s">
        <v>58</v>
      </c>
      <c r="F1270" t="s">
        <v>67</v>
      </c>
      <c r="G1270" t="s">
        <v>37</v>
      </c>
      <c r="H1270" s="3">
        <v>26453.67440379375</v>
      </c>
      <c r="I1270">
        <v>37</v>
      </c>
      <c r="J1270" s="3">
        <v>14268.331121165411</v>
      </c>
      <c r="K1270" s="3">
        <v>12185.343282628341</v>
      </c>
    </row>
    <row r="1271" spans="1:11" x14ac:dyDescent="0.3">
      <c r="A1271" t="s">
        <v>1347</v>
      </c>
      <c r="B1271" s="2">
        <v>45231</v>
      </c>
      <c r="C1271">
        <v>2023</v>
      </c>
      <c r="D1271">
        <v>11</v>
      </c>
      <c r="E1271" t="s">
        <v>58</v>
      </c>
      <c r="F1271" t="s">
        <v>48</v>
      </c>
      <c r="G1271" t="s">
        <v>37</v>
      </c>
      <c r="H1271" s="3">
        <v>51229.419421507249</v>
      </c>
      <c r="I1271">
        <v>71</v>
      </c>
      <c r="J1271" s="3">
        <v>28217.303416649469</v>
      </c>
      <c r="K1271" s="3">
        <v>23012.11600485778</v>
      </c>
    </row>
    <row r="1272" spans="1:11" x14ac:dyDescent="0.3">
      <c r="A1272" t="s">
        <v>1348</v>
      </c>
      <c r="B1272" s="2">
        <v>45231</v>
      </c>
      <c r="C1272">
        <v>2023</v>
      </c>
      <c r="D1272">
        <v>11</v>
      </c>
      <c r="E1272" t="s">
        <v>62</v>
      </c>
      <c r="F1272" t="s">
        <v>67</v>
      </c>
      <c r="G1272" t="s">
        <v>37</v>
      </c>
      <c r="H1272" s="3">
        <v>20577.709609141231</v>
      </c>
      <c r="I1272">
        <v>29</v>
      </c>
      <c r="J1272" s="3">
        <v>11219.823010762329</v>
      </c>
      <c r="K1272" s="3">
        <v>9357.8865983789019</v>
      </c>
    </row>
    <row r="1273" spans="1:11" x14ac:dyDescent="0.3">
      <c r="A1273" t="s">
        <v>1349</v>
      </c>
      <c r="B1273" s="2">
        <v>45231</v>
      </c>
      <c r="C1273">
        <v>2023</v>
      </c>
      <c r="D1273">
        <v>11</v>
      </c>
      <c r="E1273" t="s">
        <v>62</v>
      </c>
      <c r="F1273" t="s">
        <v>48</v>
      </c>
      <c r="G1273" t="s">
        <v>37</v>
      </c>
      <c r="H1273" s="3">
        <v>37547.268200252664</v>
      </c>
      <c r="I1273">
        <v>52</v>
      </c>
      <c r="J1273" s="3">
        <v>21594.93125438783</v>
      </c>
      <c r="K1273" s="3">
        <v>15952.33694586483</v>
      </c>
    </row>
    <row r="1274" spans="1:11" x14ac:dyDescent="0.3">
      <c r="A1274" t="s">
        <v>1350</v>
      </c>
      <c r="B1274" s="2">
        <v>45231</v>
      </c>
      <c r="C1274">
        <v>2023</v>
      </c>
      <c r="D1274">
        <v>11</v>
      </c>
      <c r="E1274" t="s">
        <v>50</v>
      </c>
      <c r="F1274" t="s">
        <v>67</v>
      </c>
      <c r="G1274" t="s">
        <v>40</v>
      </c>
      <c r="H1274" s="3">
        <v>39299.988196894483</v>
      </c>
      <c r="I1274">
        <v>7</v>
      </c>
      <c r="J1274" s="3">
        <v>27097.519173629978</v>
      </c>
      <c r="K1274" s="3">
        <v>12202.469023264501</v>
      </c>
    </row>
    <row r="1275" spans="1:11" x14ac:dyDescent="0.3">
      <c r="A1275" t="s">
        <v>1351</v>
      </c>
      <c r="B1275" s="2">
        <v>45231</v>
      </c>
      <c r="C1275">
        <v>2023</v>
      </c>
      <c r="D1275">
        <v>11</v>
      </c>
      <c r="E1275" t="s">
        <v>50</v>
      </c>
      <c r="F1275" t="s">
        <v>48</v>
      </c>
      <c r="G1275" t="s">
        <v>40</v>
      </c>
      <c r="H1275" s="3">
        <v>81141.241420188482</v>
      </c>
      <c r="I1275">
        <v>15</v>
      </c>
      <c r="J1275" s="3">
        <v>54572.300148540016</v>
      </c>
      <c r="K1275" s="3">
        <v>26568.941271648469</v>
      </c>
    </row>
    <row r="1276" spans="1:11" x14ac:dyDescent="0.3">
      <c r="A1276" t="s">
        <v>1352</v>
      </c>
      <c r="B1276" s="2">
        <v>45231</v>
      </c>
      <c r="C1276">
        <v>2023</v>
      </c>
      <c r="D1276">
        <v>11</v>
      </c>
      <c r="E1276" t="s">
        <v>54</v>
      </c>
      <c r="F1276" t="s">
        <v>67</v>
      </c>
      <c r="G1276" t="s">
        <v>40</v>
      </c>
      <c r="H1276" s="3">
        <v>35030.550590059633</v>
      </c>
      <c r="I1276">
        <v>6</v>
      </c>
      <c r="J1276" s="3">
        <v>24112.70085644503</v>
      </c>
      <c r="K1276" s="3">
        <v>10917.84973361461</v>
      </c>
    </row>
    <row r="1277" spans="1:11" x14ac:dyDescent="0.3">
      <c r="A1277" t="s">
        <v>1353</v>
      </c>
      <c r="B1277" s="2">
        <v>45231</v>
      </c>
      <c r="C1277">
        <v>2023</v>
      </c>
      <c r="D1277">
        <v>11</v>
      </c>
      <c r="E1277" t="s">
        <v>54</v>
      </c>
      <c r="F1277" t="s">
        <v>48</v>
      </c>
      <c r="G1277" t="s">
        <v>40</v>
      </c>
      <c r="H1277" s="3">
        <v>69742.708454258216</v>
      </c>
      <c r="I1277">
        <v>13</v>
      </c>
      <c r="J1277" s="3">
        <v>48572.339684344151</v>
      </c>
      <c r="K1277" s="3">
        <v>21170.368769914061</v>
      </c>
    </row>
    <row r="1278" spans="1:11" x14ac:dyDescent="0.3">
      <c r="A1278" t="s">
        <v>1354</v>
      </c>
      <c r="B1278" s="2">
        <v>45231</v>
      </c>
      <c r="C1278">
        <v>2023</v>
      </c>
      <c r="D1278">
        <v>11</v>
      </c>
      <c r="E1278" t="s">
        <v>58</v>
      </c>
      <c r="F1278" t="s">
        <v>67</v>
      </c>
      <c r="G1278" t="s">
        <v>40</v>
      </c>
      <c r="H1278" s="3">
        <v>22839.08057970661</v>
      </c>
      <c r="I1278">
        <v>4</v>
      </c>
      <c r="J1278" s="3">
        <v>16233.63432754405</v>
      </c>
      <c r="K1278" s="3">
        <v>6605.446252162561</v>
      </c>
    </row>
    <row r="1279" spans="1:11" x14ac:dyDescent="0.3">
      <c r="A1279" t="s">
        <v>1355</v>
      </c>
      <c r="B1279" s="2">
        <v>45231</v>
      </c>
      <c r="C1279">
        <v>2023</v>
      </c>
      <c r="D1279">
        <v>11</v>
      </c>
      <c r="E1279" t="s">
        <v>58</v>
      </c>
      <c r="F1279" t="s">
        <v>48</v>
      </c>
      <c r="G1279" t="s">
        <v>40</v>
      </c>
      <c r="H1279" s="3">
        <v>50147.14569441176</v>
      </c>
      <c r="I1279">
        <v>9</v>
      </c>
      <c r="J1279" s="3">
        <v>34234.403335328883</v>
      </c>
      <c r="K1279" s="3">
        <v>15912.74235908288</v>
      </c>
    </row>
    <row r="1280" spans="1:11" x14ac:dyDescent="0.3">
      <c r="A1280" t="s">
        <v>1356</v>
      </c>
      <c r="B1280" s="2">
        <v>45231</v>
      </c>
      <c r="C1280">
        <v>2023</v>
      </c>
      <c r="D1280">
        <v>11</v>
      </c>
      <c r="E1280" t="s">
        <v>62</v>
      </c>
      <c r="F1280" t="s">
        <v>67</v>
      </c>
      <c r="G1280" t="s">
        <v>40</v>
      </c>
      <c r="H1280" s="3">
        <v>15963.72551481168</v>
      </c>
      <c r="I1280">
        <v>3</v>
      </c>
      <c r="J1280" s="3">
        <v>10701.22344808259</v>
      </c>
      <c r="K1280" s="3">
        <v>5262.5020667290919</v>
      </c>
    </row>
    <row r="1281" spans="1:11" x14ac:dyDescent="0.3">
      <c r="A1281" t="s">
        <v>1357</v>
      </c>
      <c r="B1281" s="2">
        <v>45231</v>
      </c>
      <c r="C1281">
        <v>2023</v>
      </c>
      <c r="D1281">
        <v>11</v>
      </c>
      <c r="E1281" t="s">
        <v>62</v>
      </c>
      <c r="F1281" t="s">
        <v>48</v>
      </c>
      <c r="G1281" t="s">
        <v>40</v>
      </c>
      <c r="H1281" s="3">
        <v>35224.267277641848</v>
      </c>
      <c r="I1281">
        <v>7</v>
      </c>
      <c r="J1281" s="3">
        <v>24662.098687917281</v>
      </c>
      <c r="K1281" s="3">
        <v>10562.16858972457</v>
      </c>
    </row>
    <row r="1282" spans="1:11" x14ac:dyDescent="0.3">
      <c r="A1282" t="s">
        <v>1358</v>
      </c>
      <c r="B1282" s="2">
        <v>45231</v>
      </c>
      <c r="C1282">
        <v>2023</v>
      </c>
      <c r="D1282">
        <v>11</v>
      </c>
      <c r="E1282" t="s">
        <v>50</v>
      </c>
      <c r="F1282" t="s">
        <v>67</v>
      </c>
      <c r="G1282" t="s">
        <v>43</v>
      </c>
      <c r="H1282" s="3">
        <v>82962.145638265196</v>
      </c>
      <c r="I1282">
        <v>24</v>
      </c>
      <c r="J1282" s="3">
        <v>47731.27841034576</v>
      </c>
      <c r="K1282" s="3">
        <v>35230.867227919443</v>
      </c>
    </row>
    <row r="1283" spans="1:11" x14ac:dyDescent="0.3">
      <c r="A1283" t="s">
        <v>1359</v>
      </c>
      <c r="B1283" s="2">
        <v>45231</v>
      </c>
      <c r="C1283">
        <v>2023</v>
      </c>
      <c r="D1283">
        <v>11</v>
      </c>
      <c r="E1283" t="s">
        <v>50</v>
      </c>
      <c r="F1283" t="s">
        <v>48</v>
      </c>
      <c r="G1283" t="s">
        <v>43</v>
      </c>
      <c r="H1283" s="3">
        <v>173229.32772364709</v>
      </c>
      <c r="I1283">
        <v>49</v>
      </c>
      <c r="J1283" s="3">
        <v>101402.91017117081</v>
      </c>
      <c r="K1283" s="3">
        <v>71826.417552476356</v>
      </c>
    </row>
    <row r="1284" spans="1:11" x14ac:dyDescent="0.3">
      <c r="A1284" t="s">
        <v>1360</v>
      </c>
      <c r="B1284" s="2">
        <v>45231</v>
      </c>
      <c r="C1284">
        <v>2023</v>
      </c>
      <c r="D1284">
        <v>11</v>
      </c>
      <c r="E1284" t="s">
        <v>54</v>
      </c>
      <c r="F1284" t="s">
        <v>67</v>
      </c>
      <c r="G1284" t="s">
        <v>43</v>
      </c>
      <c r="H1284" s="3">
        <v>71555.173658119966</v>
      </c>
      <c r="I1284">
        <v>20</v>
      </c>
      <c r="J1284" s="3">
        <v>42021.782543785746</v>
      </c>
      <c r="K1284" s="3">
        <v>29533.391114334208</v>
      </c>
    </row>
    <row r="1285" spans="1:11" x14ac:dyDescent="0.3">
      <c r="A1285" t="s">
        <v>1361</v>
      </c>
      <c r="B1285" s="2">
        <v>45231</v>
      </c>
      <c r="C1285">
        <v>2023</v>
      </c>
      <c r="D1285">
        <v>11</v>
      </c>
      <c r="E1285" t="s">
        <v>54</v>
      </c>
      <c r="F1285" t="s">
        <v>48</v>
      </c>
      <c r="G1285" t="s">
        <v>43</v>
      </c>
      <c r="H1285" s="3">
        <v>151413.6578049729</v>
      </c>
      <c r="I1285">
        <v>43</v>
      </c>
      <c r="J1285" s="3">
        <v>89222.086603597141</v>
      </c>
      <c r="K1285" s="3">
        <v>62191.571201375729</v>
      </c>
    </row>
    <row r="1286" spans="1:11" x14ac:dyDescent="0.3">
      <c r="A1286" t="s">
        <v>1362</v>
      </c>
      <c r="B1286" s="2">
        <v>45231</v>
      </c>
      <c r="C1286">
        <v>2023</v>
      </c>
      <c r="D1286">
        <v>11</v>
      </c>
      <c r="E1286" t="s">
        <v>58</v>
      </c>
      <c r="F1286" t="s">
        <v>67</v>
      </c>
      <c r="G1286" t="s">
        <v>43</v>
      </c>
      <c r="H1286" s="3">
        <v>44776.203646496338</v>
      </c>
      <c r="I1286">
        <v>13</v>
      </c>
      <c r="J1286" s="3">
        <v>26745.67389639877</v>
      </c>
      <c r="K1286" s="3">
        <v>18030.529750097568</v>
      </c>
    </row>
    <row r="1287" spans="1:11" x14ac:dyDescent="0.3">
      <c r="A1287" t="s">
        <v>1363</v>
      </c>
      <c r="B1287" s="2">
        <v>45231</v>
      </c>
      <c r="C1287">
        <v>2023</v>
      </c>
      <c r="D1287">
        <v>11</v>
      </c>
      <c r="E1287" t="s">
        <v>58</v>
      </c>
      <c r="F1287" t="s">
        <v>48</v>
      </c>
      <c r="G1287" t="s">
        <v>43</v>
      </c>
      <c r="H1287" s="3">
        <v>94423.402393465367</v>
      </c>
      <c r="I1287">
        <v>27</v>
      </c>
      <c r="J1287" s="3">
        <v>55024.274996427317</v>
      </c>
      <c r="K1287" s="3">
        <v>39399.12739703805</v>
      </c>
    </row>
    <row r="1288" spans="1:11" x14ac:dyDescent="0.3">
      <c r="A1288" t="s">
        <v>1364</v>
      </c>
      <c r="B1288" s="2">
        <v>45231</v>
      </c>
      <c r="C1288">
        <v>2023</v>
      </c>
      <c r="D1288">
        <v>11</v>
      </c>
      <c r="E1288" t="s">
        <v>62</v>
      </c>
      <c r="F1288" t="s">
        <v>67</v>
      </c>
      <c r="G1288" t="s">
        <v>43</v>
      </c>
      <c r="H1288" s="3">
        <v>34721.631970439987</v>
      </c>
      <c r="I1288">
        <v>10</v>
      </c>
      <c r="J1288" s="3">
        <v>20384.82691668778</v>
      </c>
      <c r="K1288" s="3">
        <v>14336.80505375221</v>
      </c>
    </row>
    <row r="1289" spans="1:11" x14ac:dyDescent="0.3">
      <c r="A1289" t="s">
        <v>1365</v>
      </c>
      <c r="B1289" s="2">
        <v>45231</v>
      </c>
      <c r="C1289">
        <v>2023</v>
      </c>
      <c r="D1289">
        <v>11</v>
      </c>
      <c r="E1289" t="s">
        <v>62</v>
      </c>
      <c r="F1289" t="s">
        <v>48</v>
      </c>
      <c r="G1289" t="s">
        <v>43</v>
      </c>
      <c r="H1289" s="3">
        <v>78802.194374025537</v>
      </c>
      <c r="I1289">
        <v>23</v>
      </c>
      <c r="J1289" s="3">
        <v>46481.352117627357</v>
      </c>
      <c r="K1289" s="3">
        <v>32320.842256398169</v>
      </c>
    </row>
    <row r="1290" spans="1:11" x14ac:dyDescent="0.3">
      <c r="A1290" t="s">
        <v>1366</v>
      </c>
      <c r="B1290" s="2">
        <v>45261</v>
      </c>
      <c r="C1290">
        <v>2023</v>
      </c>
      <c r="D1290">
        <v>12</v>
      </c>
      <c r="E1290" t="s">
        <v>50</v>
      </c>
      <c r="F1290" t="s">
        <v>67</v>
      </c>
      <c r="G1290" t="s">
        <v>19</v>
      </c>
      <c r="H1290" s="3">
        <v>84903.1308001172</v>
      </c>
      <c r="I1290">
        <v>16</v>
      </c>
      <c r="J1290" s="3">
        <v>52781.687994166539</v>
      </c>
      <c r="K1290" s="3">
        <v>32121.442805950661</v>
      </c>
    </row>
    <row r="1291" spans="1:11" x14ac:dyDescent="0.3">
      <c r="A1291" t="s">
        <v>1367</v>
      </c>
      <c r="B1291" s="2">
        <v>45261</v>
      </c>
      <c r="C1291">
        <v>2023</v>
      </c>
      <c r="D1291">
        <v>12</v>
      </c>
      <c r="E1291" t="s">
        <v>50</v>
      </c>
      <c r="F1291" t="s">
        <v>48</v>
      </c>
      <c r="G1291" t="s">
        <v>19</v>
      </c>
      <c r="H1291" s="3">
        <v>176559.14733810021</v>
      </c>
      <c r="I1291">
        <v>34</v>
      </c>
      <c r="J1291" s="3">
        <v>109659.4300229128</v>
      </c>
      <c r="K1291" s="3">
        <v>66899.717315187401</v>
      </c>
    </row>
    <row r="1292" spans="1:11" x14ac:dyDescent="0.3">
      <c r="A1292" t="s">
        <v>1368</v>
      </c>
      <c r="B1292" s="2">
        <v>45261</v>
      </c>
      <c r="C1292">
        <v>2023</v>
      </c>
      <c r="D1292">
        <v>12</v>
      </c>
      <c r="E1292" t="s">
        <v>54</v>
      </c>
      <c r="F1292" t="s">
        <v>67</v>
      </c>
      <c r="G1292" t="s">
        <v>19</v>
      </c>
      <c r="H1292" s="3">
        <v>69288.485532220351</v>
      </c>
      <c r="I1292">
        <v>13</v>
      </c>
      <c r="J1292" s="3">
        <v>43296.006637085593</v>
      </c>
      <c r="K1292" s="3">
        <v>25992.478895134769</v>
      </c>
    </row>
    <row r="1293" spans="1:11" x14ac:dyDescent="0.3">
      <c r="A1293" t="s">
        <v>1369</v>
      </c>
      <c r="B1293" s="2">
        <v>45261</v>
      </c>
      <c r="C1293">
        <v>2023</v>
      </c>
      <c r="D1293">
        <v>12</v>
      </c>
      <c r="E1293" t="s">
        <v>54</v>
      </c>
      <c r="F1293" t="s">
        <v>48</v>
      </c>
      <c r="G1293" t="s">
        <v>19</v>
      </c>
      <c r="H1293" s="3">
        <v>146366.65917793749</v>
      </c>
      <c r="I1293">
        <v>28</v>
      </c>
      <c r="J1293" s="3">
        <v>92125.699954501324</v>
      </c>
      <c r="K1293" s="3">
        <v>54240.959223436133</v>
      </c>
    </row>
    <row r="1294" spans="1:11" x14ac:dyDescent="0.3">
      <c r="A1294" t="s">
        <v>1370</v>
      </c>
      <c r="B1294" s="2">
        <v>45261</v>
      </c>
      <c r="C1294">
        <v>2023</v>
      </c>
      <c r="D1294">
        <v>12</v>
      </c>
      <c r="E1294" t="s">
        <v>58</v>
      </c>
      <c r="F1294" t="s">
        <v>67</v>
      </c>
      <c r="G1294" t="s">
        <v>19</v>
      </c>
      <c r="H1294" s="3">
        <v>44637.320254143342</v>
      </c>
      <c r="I1294">
        <v>9</v>
      </c>
      <c r="J1294" s="3">
        <v>27870.730221524122</v>
      </c>
      <c r="K1294" s="3">
        <v>16766.59003261922</v>
      </c>
    </row>
    <row r="1295" spans="1:11" x14ac:dyDescent="0.3">
      <c r="A1295" t="s">
        <v>1371</v>
      </c>
      <c r="B1295" s="2">
        <v>45261</v>
      </c>
      <c r="C1295">
        <v>2023</v>
      </c>
      <c r="D1295">
        <v>12</v>
      </c>
      <c r="E1295" t="s">
        <v>58</v>
      </c>
      <c r="F1295" t="s">
        <v>48</v>
      </c>
      <c r="G1295" t="s">
        <v>19</v>
      </c>
      <c r="H1295" s="3">
        <v>100083.1814104454</v>
      </c>
      <c r="I1295">
        <v>19</v>
      </c>
      <c r="J1295" s="3">
        <v>62558.194984213471</v>
      </c>
      <c r="K1295" s="3">
        <v>37524.986426231968</v>
      </c>
    </row>
    <row r="1296" spans="1:11" x14ac:dyDescent="0.3">
      <c r="A1296" t="s">
        <v>1372</v>
      </c>
      <c r="B1296" s="2">
        <v>45261</v>
      </c>
      <c r="C1296">
        <v>2023</v>
      </c>
      <c r="D1296">
        <v>12</v>
      </c>
      <c r="E1296" t="s">
        <v>62</v>
      </c>
      <c r="F1296" t="s">
        <v>67</v>
      </c>
      <c r="G1296" t="s">
        <v>19</v>
      </c>
      <c r="H1296" s="3">
        <v>35536.134082598779</v>
      </c>
      <c r="I1296">
        <v>7</v>
      </c>
      <c r="J1296" s="3">
        <v>21404.919915451839</v>
      </c>
      <c r="K1296" s="3">
        <v>14131.21416714694</v>
      </c>
    </row>
    <row r="1297" spans="1:11" x14ac:dyDescent="0.3">
      <c r="A1297" t="s">
        <v>1373</v>
      </c>
      <c r="B1297" s="2">
        <v>45261</v>
      </c>
      <c r="C1297">
        <v>2023</v>
      </c>
      <c r="D1297">
        <v>12</v>
      </c>
      <c r="E1297" t="s">
        <v>62</v>
      </c>
      <c r="F1297" t="s">
        <v>48</v>
      </c>
      <c r="G1297" t="s">
        <v>19</v>
      </c>
      <c r="H1297" s="3">
        <v>79316.071408085394</v>
      </c>
      <c r="I1297">
        <v>15</v>
      </c>
      <c r="J1297" s="3">
        <v>49220.424192727311</v>
      </c>
      <c r="K1297" s="3">
        <v>30095.64721535808</v>
      </c>
    </row>
    <row r="1298" spans="1:11" x14ac:dyDescent="0.3">
      <c r="A1298" t="s">
        <v>1374</v>
      </c>
      <c r="B1298" s="2">
        <v>45261</v>
      </c>
      <c r="C1298">
        <v>2023</v>
      </c>
      <c r="D1298">
        <v>12</v>
      </c>
      <c r="E1298" t="s">
        <v>50</v>
      </c>
      <c r="F1298" t="s">
        <v>67</v>
      </c>
      <c r="G1298" t="s">
        <v>24</v>
      </c>
      <c r="H1298" s="3">
        <v>92896.671222295103</v>
      </c>
      <c r="I1298">
        <v>15</v>
      </c>
      <c r="J1298" s="3">
        <v>61840.993508534288</v>
      </c>
      <c r="K1298" s="3">
        <v>31055.677713760811</v>
      </c>
    </row>
    <row r="1299" spans="1:11" x14ac:dyDescent="0.3">
      <c r="A1299" t="s">
        <v>1375</v>
      </c>
      <c r="B1299" s="2">
        <v>45261</v>
      </c>
      <c r="C1299">
        <v>2023</v>
      </c>
      <c r="D1299">
        <v>12</v>
      </c>
      <c r="E1299" t="s">
        <v>50</v>
      </c>
      <c r="F1299" t="s">
        <v>48</v>
      </c>
      <c r="G1299" t="s">
        <v>24</v>
      </c>
      <c r="H1299" s="3">
        <v>198891.4752138957</v>
      </c>
      <c r="I1299">
        <v>33</v>
      </c>
      <c r="J1299" s="3">
        <v>132990.73829281481</v>
      </c>
      <c r="K1299" s="3">
        <v>65900.736921080854</v>
      </c>
    </row>
    <row r="1300" spans="1:11" x14ac:dyDescent="0.3">
      <c r="A1300" t="s">
        <v>1376</v>
      </c>
      <c r="B1300" s="2">
        <v>45261</v>
      </c>
      <c r="C1300">
        <v>2023</v>
      </c>
      <c r="D1300">
        <v>12</v>
      </c>
      <c r="E1300" t="s">
        <v>54</v>
      </c>
      <c r="F1300" t="s">
        <v>67</v>
      </c>
      <c r="G1300" t="s">
        <v>24</v>
      </c>
      <c r="H1300" s="3">
        <v>72305.284960283941</v>
      </c>
      <c r="I1300">
        <v>12</v>
      </c>
      <c r="J1300" s="3">
        <v>47126.767907908827</v>
      </c>
      <c r="K1300" s="3">
        <v>25178.517052375111</v>
      </c>
    </row>
    <row r="1301" spans="1:11" x14ac:dyDescent="0.3">
      <c r="A1301" t="s">
        <v>1377</v>
      </c>
      <c r="B1301" s="2">
        <v>45261</v>
      </c>
      <c r="C1301">
        <v>2023</v>
      </c>
      <c r="D1301">
        <v>12</v>
      </c>
      <c r="E1301" t="s">
        <v>54</v>
      </c>
      <c r="F1301" t="s">
        <v>48</v>
      </c>
      <c r="G1301" t="s">
        <v>24</v>
      </c>
      <c r="H1301" s="3">
        <v>173861.72362247881</v>
      </c>
      <c r="I1301">
        <v>29</v>
      </c>
      <c r="J1301" s="3">
        <v>113387.5069441435</v>
      </c>
      <c r="K1301" s="3">
        <v>60474.216678335353</v>
      </c>
    </row>
    <row r="1302" spans="1:11" x14ac:dyDescent="0.3">
      <c r="A1302" t="s">
        <v>1378</v>
      </c>
      <c r="B1302" s="2">
        <v>45261</v>
      </c>
      <c r="C1302">
        <v>2023</v>
      </c>
      <c r="D1302">
        <v>12</v>
      </c>
      <c r="E1302" t="s">
        <v>58</v>
      </c>
      <c r="F1302" t="s">
        <v>67</v>
      </c>
      <c r="G1302" t="s">
        <v>24</v>
      </c>
      <c r="H1302" s="3">
        <v>45065.231204458243</v>
      </c>
      <c r="I1302">
        <v>7</v>
      </c>
      <c r="J1302" s="3">
        <v>29435.693476506902</v>
      </c>
      <c r="K1302" s="3">
        <v>15629.53772795134</v>
      </c>
    </row>
    <row r="1303" spans="1:11" x14ac:dyDescent="0.3">
      <c r="A1303" t="s">
        <v>1379</v>
      </c>
      <c r="B1303" s="2">
        <v>45261</v>
      </c>
      <c r="C1303">
        <v>2023</v>
      </c>
      <c r="D1303">
        <v>12</v>
      </c>
      <c r="E1303" t="s">
        <v>58</v>
      </c>
      <c r="F1303" t="s">
        <v>48</v>
      </c>
      <c r="G1303" t="s">
        <v>24</v>
      </c>
      <c r="H1303" s="3">
        <v>109206.9124679183</v>
      </c>
      <c r="I1303">
        <v>18</v>
      </c>
      <c r="J1303" s="3">
        <v>72772.493885872755</v>
      </c>
      <c r="K1303" s="3">
        <v>36434.418582045582</v>
      </c>
    </row>
    <row r="1304" spans="1:11" x14ac:dyDescent="0.3">
      <c r="A1304" t="s">
        <v>1380</v>
      </c>
      <c r="B1304" s="2">
        <v>45261</v>
      </c>
      <c r="C1304">
        <v>2023</v>
      </c>
      <c r="D1304">
        <v>12</v>
      </c>
      <c r="E1304" t="s">
        <v>62</v>
      </c>
      <c r="F1304" t="s">
        <v>67</v>
      </c>
      <c r="G1304" t="s">
        <v>24</v>
      </c>
      <c r="H1304" s="3">
        <v>39491.051957948133</v>
      </c>
      <c r="I1304">
        <v>6</v>
      </c>
      <c r="J1304" s="3">
        <v>26549.143411690959</v>
      </c>
      <c r="K1304" s="3">
        <v>12941.908546257169</v>
      </c>
    </row>
    <row r="1305" spans="1:11" x14ac:dyDescent="0.3">
      <c r="A1305" t="s">
        <v>1381</v>
      </c>
      <c r="B1305" s="2">
        <v>45261</v>
      </c>
      <c r="C1305">
        <v>2023</v>
      </c>
      <c r="D1305">
        <v>12</v>
      </c>
      <c r="E1305" t="s">
        <v>62</v>
      </c>
      <c r="F1305" t="s">
        <v>48</v>
      </c>
      <c r="G1305" t="s">
        <v>24</v>
      </c>
      <c r="H1305" s="3">
        <v>89260.832491038425</v>
      </c>
      <c r="I1305">
        <v>15</v>
      </c>
      <c r="J1305" s="3">
        <v>58480.071130886572</v>
      </c>
      <c r="K1305" s="3">
        <v>30780.76136015185</v>
      </c>
    </row>
    <row r="1306" spans="1:11" x14ac:dyDescent="0.3">
      <c r="A1306" t="s">
        <v>1382</v>
      </c>
      <c r="B1306" s="2">
        <v>45261</v>
      </c>
      <c r="C1306">
        <v>2023</v>
      </c>
      <c r="D1306">
        <v>12</v>
      </c>
      <c r="E1306" t="s">
        <v>50</v>
      </c>
      <c r="F1306" t="s">
        <v>67</v>
      </c>
      <c r="G1306" t="s">
        <v>29</v>
      </c>
      <c r="H1306" s="3">
        <v>64326.40819476606</v>
      </c>
      <c r="I1306">
        <v>15</v>
      </c>
      <c r="J1306" s="3">
        <v>41841.737839474648</v>
      </c>
      <c r="K1306" s="3">
        <v>22484.670355291411</v>
      </c>
    </row>
    <row r="1307" spans="1:11" x14ac:dyDescent="0.3">
      <c r="A1307" t="s">
        <v>1383</v>
      </c>
      <c r="B1307" s="2">
        <v>45261</v>
      </c>
      <c r="C1307">
        <v>2023</v>
      </c>
      <c r="D1307">
        <v>12</v>
      </c>
      <c r="E1307" t="s">
        <v>50</v>
      </c>
      <c r="F1307" t="s">
        <v>48</v>
      </c>
      <c r="G1307" t="s">
        <v>29</v>
      </c>
      <c r="H1307" s="3">
        <v>138105.40882168501</v>
      </c>
      <c r="I1307">
        <v>32</v>
      </c>
      <c r="J1307" s="3">
        <v>88583.914850016794</v>
      </c>
      <c r="K1307" s="3">
        <v>49521.493971668242</v>
      </c>
    </row>
    <row r="1308" spans="1:11" x14ac:dyDescent="0.3">
      <c r="A1308" t="s">
        <v>1384</v>
      </c>
      <c r="B1308" s="2">
        <v>45261</v>
      </c>
      <c r="C1308">
        <v>2023</v>
      </c>
      <c r="D1308">
        <v>12</v>
      </c>
      <c r="E1308" t="s">
        <v>54</v>
      </c>
      <c r="F1308" t="s">
        <v>67</v>
      </c>
      <c r="G1308" t="s">
        <v>29</v>
      </c>
      <c r="H1308" s="3">
        <v>60506.32719537073</v>
      </c>
      <c r="I1308">
        <v>14</v>
      </c>
      <c r="J1308" s="3">
        <v>38637.418130683996</v>
      </c>
      <c r="K1308" s="3">
        <v>21868.90906468673</v>
      </c>
    </row>
    <row r="1309" spans="1:11" x14ac:dyDescent="0.3">
      <c r="A1309" t="s">
        <v>1385</v>
      </c>
      <c r="B1309" s="2">
        <v>45261</v>
      </c>
      <c r="C1309">
        <v>2023</v>
      </c>
      <c r="D1309">
        <v>12</v>
      </c>
      <c r="E1309" t="s">
        <v>54</v>
      </c>
      <c r="F1309" t="s">
        <v>48</v>
      </c>
      <c r="G1309" t="s">
        <v>29</v>
      </c>
      <c r="H1309" s="3">
        <v>114827.8838750435</v>
      </c>
      <c r="I1309">
        <v>27</v>
      </c>
      <c r="J1309" s="3">
        <v>73210.222980314604</v>
      </c>
      <c r="K1309" s="3">
        <v>41617.660894728921</v>
      </c>
    </row>
    <row r="1310" spans="1:11" x14ac:dyDescent="0.3">
      <c r="A1310" t="s">
        <v>1386</v>
      </c>
      <c r="B1310" s="2">
        <v>45261</v>
      </c>
      <c r="C1310">
        <v>2023</v>
      </c>
      <c r="D1310">
        <v>12</v>
      </c>
      <c r="E1310" t="s">
        <v>58</v>
      </c>
      <c r="F1310" t="s">
        <v>67</v>
      </c>
      <c r="G1310" t="s">
        <v>29</v>
      </c>
      <c r="H1310" s="3">
        <v>40976.353635624233</v>
      </c>
      <c r="I1310">
        <v>10</v>
      </c>
      <c r="J1310" s="3">
        <v>26577.302425025198</v>
      </c>
      <c r="K1310" s="3">
        <v>14399.051210599029</v>
      </c>
    </row>
    <row r="1311" spans="1:11" x14ac:dyDescent="0.3">
      <c r="A1311" t="s">
        <v>1387</v>
      </c>
      <c r="B1311" s="2">
        <v>45261</v>
      </c>
      <c r="C1311">
        <v>2023</v>
      </c>
      <c r="D1311">
        <v>12</v>
      </c>
      <c r="E1311" t="s">
        <v>58</v>
      </c>
      <c r="F1311" t="s">
        <v>48</v>
      </c>
      <c r="G1311" t="s">
        <v>29</v>
      </c>
      <c r="H1311" s="3">
        <v>82029.40377477376</v>
      </c>
      <c r="I1311">
        <v>19</v>
      </c>
      <c r="J1311" s="3">
        <v>52806.482528162443</v>
      </c>
      <c r="K1311" s="3">
        <v>29222.92124661132</v>
      </c>
    </row>
    <row r="1312" spans="1:11" x14ac:dyDescent="0.3">
      <c r="A1312" t="s">
        <v>1388</v>
      </c>
      <c r="B1312" s="2">
        <v>45261</v>
      </c>
      <c r="C1312">
        <v>2023</v>
      </c>
      <c r="D1312">
        <v>12</v>
      </c>
      <c r="E1312" t="s">
        <v>62</v>
      </c>
      <c r="F1312" t="s">
        <v>67</v>
      </c>
      <c r="G1312" t="s">
        <v>29</v>
      </c>
      <c r="H1312" s="3">
        <v>28868.114169980268</v>
      </c>
      <c r="I1312">
        <v>7</v>
      </c>
      <c r="J1312" s="3">
        <v>19232.44310973008</v>
      </c>
      <c r="K1312" s="3">
        <v>9635.6710602501917</v>
      </c>
    </row>
    <row r="1313" spans="1:11" x14ac:dyDescent="0.3">
      <c r="A1313" t="s">
        <v>1389</v>
      </c>
      <c r="B1313" s="2">
        <v>45261</v>
      </c>
      <c r="C1313">
        <v>2023</v>
      </c>
      <c r="D1313">
        <v>12</v>
      </c>
      <c r="E1313" t="s">
        <v>62</v>
      </c>
      <c r="F1313" t="s">
        <v>48</v>
      </c>
      <c r="G1313" t="s">
        <v>29</v>
      </c>
      <c r="H1313" s="3">
        <v>60261.840336643567</v>
      </c>
      <c r="I1313">
        <v>14</v>
      </c>
      <c r="J1313" s="3">
        <v>37975.949491221079</v>
      </c>
      <c r="K1313" s="3">
        <v>22285.890845422491</v>
      </c>
    </row>
    <row r="1314" spans="1:11" x14ac:dyDescent="0.3">
      <c r="A1314" t="s">
        <v>1390</v>
      </c>
      <c r="B1314" s="2">
        <v>45261</v>
      </c>
      <c r="C1314">
        <v>2023</v>
      </c>
      <c r="D1314">
        <v>12</v>
      </c>
      <c r="E1314" t="s">
        <v>50</v>
      </c>
      <c r="F1314" t="s">
        <v>67</v>
      </c>
      <c r="G1314" t="s">
        <v>34</v>
      </c>
      <c r="H1314" s="3">
        <v>54227.161086821208</v>
      </c>
      <c r="I1314">
        <v>64</v>
      </c>
      <c r="J1314" s="3">
        <v>26271.77971536828</v>
      </c>
      <c r="K1314" s="3">
        <v>27955.381371452931</v>
      </c>
    </row>
    <row r="1315" spans="1:11" x14ac:dyDescent="0.3">
      <c r="A1315" t="s">
        <v>1391</v>
      </c>
      <c r="B1315" s="2">
        <v>45261</v>
      </c>
      <c r="C1315">
        <v>2023</v>
      </c>
      <c r="D1315">
        <v>12</v>
      </c>
      <c r="E1315" t="s">
        <v>50</v>
      </c>
      <c r="F1315" t="s">
        <v>48</v>
      </c>
      <c r="G1315" t="s">
        <v>34</v>
      </c>
      <c r="H1315" s="3">
        <v>124901.7507269615</v>
      </c>
      <c r="I1315">
        <v>147</v>
      </c>
      <c r="J1315" s="3">
        <v>59381.752483174409</v>
      </c>
      <c r="K1315" s="3">
        <v>65519.998243787093</v>
      </c>
    </row>
    <row r="1316" spans="1:11" x14ac:dyDescent="0.3">
      <c r="A1316" t="s">
        <v>1392</v>
      </c>
      <c r="B1316" s="2">
        <v>45261</v>
      </c>
      <c r="C1316">
        <v>2023</v>
      </c>
      <c r="D1316">
        <v>12</v>
      </c>
      <c r="E1316" t="s">
        <v>54</v>
      </c>
      <c r="F1316" t="s">
        <v>67</v>
      </c>
      <c r="G1316" t="s">
        <v>34</v>
      </c>
      <c r="H1316" s="3">
        <v>45967.049582216081</v>
      </c>
      <c r="I1316">
        <v>54</v>
      </c>
      <c r="J1316" s="3">
        <v>21718.94185806653</v>
      </c>
      <c r="K1316" s="3">
        <v>24248.107724149551</v>
      </c>
    </row>
    <row r="1317" spans="1:11" x14ac:dyDescent="0.3">
      <c r="A1317" t="s">
        <v>1393</v>
      </c>
      <c r="B1317" s="2">
        <v>45261</v>
      </c>
      <c r="C1317">
        <v>2023</v>
      </c>
      <c r="D1317">
        <v>12</v>
      </c>
      <c r="E1317" t="s">
        <v>54</v>
      </c>
      <c r="F1317" t="s">
        <v>48</v>
      </c>
      <c r="G1317" t="s">
        <v>34</v>
      </c>
      <c r="H1317" s="3">
        <v>101152.3519397768</v>
      </c>
      <c r="I1317">
        <v>119</v>
      </c>
      <c r="J1317" s="3">
        <v>48543.631527992613</v>
      </c>
      <c r="K1317" s="3">
        <v>52608.720411784227</v>
      </c>
    </row>
    <row r="1318" spans="1:11" x14ac:dyDescent="0.3">
      <c r="A1318" t="s">
        <v>1394</v>
      </c>
      <c r="B1318" s="2">
        <v>45261</v>
      </c>
      <c r="C1318">
        <v>2023</v>
      </c>
      <c r="D1318">
        <v>12</v>
      </c>
      <c r="E1318" t="s">
        <v>58</v>
      </c>
      <c r="F1318" t="s">
        <v>67</v>
      </c>
      <c r="G1318" t="s">
        <v>34</v>
      </c>
      <c r="H1318" s="3">
        <v>32500.309592152538</v>
      </c>
      <c r="I1318">
        <v>38</v>
      </c>
      <c r="J1318" s="3">
        <v>15638.717547851589</v>
      </c>
      <c r="K1318" s="3">
        <v>16861.592044300949</v>
      </c>
    </row>
    <row r="1319" spans="1:11" x14ac:dyDescent="0.3">
      <c r="A1319" t="s">
        <v>1395</v>
      </c>
      <c r="B1319" s="2">
        <v>45261</v>
      </c>
      <c r="C1319">
        <v>2023</v>
      </c>
      <c r="D1319">
        <v>12</v>
      </c>
      <c r="E1319" t="s">
        <v>58</v>
      </c>
      <c r="F1319" t="s">
        <v>48</v>
      </c>
      <c r="G1319" t="s">
        <v>34</v>
      </c>
      <c r="H1319" s="3">
        <v>67363.656765872875</v>
      </c>
      <c r="I1319">
        <v>79</v>
      </c>
      <c r="J1319" s="3">
        <v>34032.996440307143</v>
      </c>
      <c r="K1319" s="3">
        <v>33330.660325565739</v>
      </c>
    </row>
    <row r="1320" spans="1:11" x14ac:dyDescent="0.3">
      <c r="A1320" t="s">
        <v>1396</v>
      </c>
      <c r="B1320" s="2">
        <v>45261</v>
      </c>
      <c r="C1320">
        <v>2023</v>
      </c>
      <c r="D1320">
        <v>12</v>
      </c>
      <c r="E1320" t="s">
        <v>62</v>
      </c>
      <c r="F1320" t="s">
        <v>67</v>
      </c>
      <c r="G1320" t="s">
        <v>34</v>
      </c>
      <c r="H1320" s="3">
        <v>24879.004043724341</v>
      </c>
      <c r="I1320">
        <v>29</v>
      </c>
      <c r="J1320" s="3">
        <v>11902.338951768021</v>
      </c>
      <c r="K1320" s="3">
        <v>12976.665091956331</v>
      </c>
    </row>
    <row r="1321" spans="1:11" x14ac:dyDescent="0.3">
      <c r="A1321" t="s">
        <v>1397</v>
      </c>
      <c r="B1321" s="2">
        <v>45261</v>
      </c>
      <c r="C1321">
        <v>2023</v>
      </c>
      <c r="D1321">
        <v>12</v>
      </c>
      <c r="E1321" t="s">
        <v>62</v>
      </c>
      <c r="F1321" t="s">
        <v>48</v>
      </c>
      <c r="G1321" t="s">
        <v>34</v>
      </c>
      <c r="H1321" s="3">
        <v>53770.856921343002</v>
      </c>
      <c r="I1321">
        <v>63</v>
      </c>
      <c r="J1321" s="3">
        <v>25284.952657769769</v>
      </c>
      <c r="K1321" s="3">
        <v>28485.90426357324</v>
      </c>
    </row>
    <row r="1322" spans="1:11" x14ac:dyDescent="0.3">
      <c r="A1322" t="s">
        <v>1398</v>
      </c>
      <c r="B1322" s="2">
        <v>45261</v>
      </c>
      <c r="C1322">
        <v>2023</v>
      </c>
      <c r="D1322">
        <v>12</v>
      </c>
      <c r="E1322" t="s">
        <v>50</v>
      </c>
      <c r="F1322" t="s">
        <v>67</v>
      </c>
      <c r="G1322" t="s">
        <v>37</v>
      </c>
      <c r="H1322" s="3">
        <v>46387.85706715678</v>
      </c>
      <c r="I1322">
        <v>64</v>
      </c>
      <c r="J1322" s="3">
        <v>25638.69877013145</v>
      </c>
      <c r="K1322" s="3">
        <v>20749.158297025329</v>
      </c>
    </row>
    <row r="1323" spans="1:11" x14ac:dyDescent="0.3">
      <c r="A1323" t="s">
        <v>1399</v>
      </c>
      <c r="B1323" s="2">
        <v>45261</v>
      </c>
      <c r="C1323">
        <v>2023</v>
      </c>
      <c r="D1323">
        <v>12</v>
      </c>
      <c r="E1323" t="s">
        <v>50</v>
      </c>
      <c r="F1323" t="s">
        <v>48</v>
      </c>
      <c r="G1323" t="s">
        <v>37</v>
      </c>
      <c r="H1323" s="3">
        <v>102245.8634289925</v>
      </c>
      <c r="I1323">
        <v>142</v>
      </c>
      <c r="J1323" s="3">
        <v>54135.203602707363</v>
      </c>
      <c r="K1323" s="3">
        <v>48110.659826285148</v>
      </c>
    </row>
    <row r="1324" spans="1:11" x14ac:dyDescent="0.3">
      <c r="A1324" t="s">
        <v>1400</v>
      </c>
      <c r="B1324" s="2">
        <v>45261</v>
      </c>
      <c r="C1324">
        <v>2023</v>
      </c>
      <c r="D1324">
        <v>12</v>
      </c>
      <c r="E1324" t="s">
        <v>54</v>
      </c>
      <c r="F1324" t="s">
        <v>67</v>
      </c>
      <c r="G1324" t="s">
        <v>37</v>
      </c>
      <c r="H1324" s="3">
        <v>34895.79009686975</v>
      </c>
      <c r="I1324">
        <v>48</v>
      </c>
      <c r="J1324" s="3">
        <v>19160.91639789932</v>
      </c>
      <c r="K1324" s="3">
        <v>15734.87369897043</v>
      </c>
    </row>
    <row r="1325" spans="1:11" x14ac:dyDescent="0.3">
      <c r="A1325" t="s">
        <v>1401</v>
      </c>
      <c r="B1325" s="2">
        <v>45261</v>
      </c>
      <c r="C1325">
        <v>2023</v>
      </c>
      <c r="D1325">
        <v>12</v>
      </c>
      <c r="E1325" t="s">
        <v>54</v>
      </c>
      <c r="F1325" t="s">
        <v>48</v>
      </c>
      <c r="G1325" t="s">
        <v>37</v>
      </c>
      <c r="H1325" s="3">
        <v>86691.502276650557</v>
      </c>
      <c r="I1325">
        <v>120</v>
      </c>
      <c r="J1325" s="3">
        <v>47694.079884543899</v>
      </c>
      <c r="K1325" s="3">
        <v>38997.422392106659</v>
      </c>
    </row>
    <row r="1326" spans="1:11" x14ac:dyDescent="0.3">
      <c r="A1326" t="s">
        <v>1402</v>
      </c>
      <c r="B1326" s="2">
        <v>45261</v>
      </c>
      <c r="C1326">
        <v>2023</v>
      </c>
      <c r="D1326">
        <v>12</v>
      </c>
      <c r="E1326" t="s">
        <v>58</v>
      </c>
      <c r="F1326" t="s">
        <v>67</v>
      </c>
      <c r="G1326" t="s">
        <v>37</v>
      </c>
      <c r="H1326" s="3">
        <v>26858.510716673562</v>
      </c>
      <c r="I1326">
        <v>37</v>
      </c>
      <c r="J1326" s="3">
        <v>14983.464544888449</v>
      </c>
      <c r="K1326" s="3">
        <v>11875.04617178511</v>
      </c>
    </row>
    <row r="1327" spans="1:11" x14ac:dyDescent="0.3">
      <c r="A1327" t="s">
        <v>1403</v>
      </c>
      <c r="B1327" s="2">
        <v>45261</v>
      </c>
      <c r="C1327">
        <v>2023</v>
      </c>
      <c r="D1327">
        <v>12</v>
      </c>
      <c r="E1327" t="s">
        <v>58</v>
      </c>
      <c r="F1327" t="s">
        <v>48</v>
      </c>
      <c r="G1327" t="s">
        <v>37</v>
      </c>
      <c r="H1327" s="3">
        <v>58903.809756773167</v>
      </c>
      <c r="I1327">
        <v>82</v>
      </c>
      <c r="J1327" s="3">
        <v>32964.860957802317</v>
      </c>
      <c r="K1327" s="3">
        <v>25938.94879897085</v>
      </c>
    </row>
    <row r="1328" spans="1:11" x14ac:dyDescent="0.3">
      <c r="A1328" t="s">
        <v>1404</v>
      </c>
      <c r="B1328" s="2">
        <v>45261</v>
      </c>
      <c r="C1328">
        <v>2023</v>
      </c>
      <c r="D1328">
        <v>12</v>
      </c>
      <c r="E1328" t="s">
        <v>62</v>
      </c>
      <c r="F1328" t="s">
        <v>67</v>
      </c>
      <c r="G1328" t="s">
        <v>37</v>
      </c>
      <c r="H1328" s="3">
        <v>22039.24736651254</v>
      </c>
      <c r="I1328">
        <v>31</v>
      </c>
      <c r="J1328" s="3">
        <v>12011.712927147961</v>
      </c>
      <c r="K1328" s="3">
        <v>10027.534439364579</v>
      </c>
    </row>
    <row r="1329" spans="1:11" x14ac:dyDescent="0.3">
      <c r="A1329" t="s">
        <v>1405</v>
      </c>
      <c r="B1329" s="2">
        <v>45261</v>
      </c>
      <c r="C1329">
        <v>2023</v>
      </c>
      <c r="D1329">
        <v>12</v>
      </c>
      <c r="E1329" t="s">
        <v>62</v>
      </c>
      <c r="F1329" t="s">
        <v>48</v>
      </c>
      <c r="G1329" t="s">
        <v>37</v>
      </c>
      <c r="H1329" s="3">
        <v>45886.227608456917</v>
      </c>
      <c r="I1329">
        <v>64</v>
      </c>
      <c r="J1329" s="3">
        <v>25169.00520598362</v>
      </c>
      <c r="K1329" s="3">
        <v>20717.2224024733</v>
      </c>
    </row>
    <row r="1330" spans="1:11" x14ac:dyDescent="0.3">
      <c r="A1330" t="s">
        <v>1406</v>
      </c>
      <c r="B1330" s="2">
        <v>45261</v>
      </c>
      <c r="C1330">
        <v>2023</v>
      </c>
      <c r="D1330">
        <v>12</v>
      </c>
      <c r="E1330" t="s">
        <v>50</v>
      </c>
      <c r="F1330" t="s">
        <v>67</v>
      </c>
      <c r="G1330" t="s">
        <v>40</v>
      </c>
      <c r="H1330" s="3">
        <v>46474.424066078667</v>
      </c>
      <c r="I1330">
        <v>9</v>
      </c>
      <c r="J1330" s="3">
        <v>31625.138202947979</v>
      </c>
      <c r="K1330" s="3">
        <v>14849.28586313069</v>
      </c>
    </row>
    <row r="1331" spans="1:11" x14ac:dyDescent="0.3">
      <c r="A1331" t="s">
        <v>1407</v>
      </c>
      <c r="B1331" s="2">
        <v>45261</v>
      </c>
      <c r="C1331">
        <v>2023</v>
      </c>
      <c r="D1331">
        <v>12</v>
      </c>
      <c r="E1331" t="s">
        <v>50</v>
      </c>
      <c r="F1331" t="s">
        <v>48</v>
      </c>
      <c r="G1331" t="s">
        <v>40</v>
      </c>
      <c r="H1331" s="3">
        <v>92956.305403652557</v>
      </c>
      <c r="I1331">
        <v>17</v>
      </c>
      <c r="J1331" s="3">
        <v>62837.482978719883</v>
      </c>
      <c r="K1331" s="3">
        <v>30118.82242493267</v>
      </c>
    </row>
    <row r="1332" spans="1:11" x14ac:dyDescent="0.3">
      <c r="A1332" t="s">
        <v>1408</v>
      </c>
      <c r="B1332" s="2">
        <v>45261</v>
      </c>
      <c r="C1332">
        <v>2023</v>
      </c>
      <c r="D1332">
        <v>12</v>
      </c>
      <c r="E1332" t="s">
        <v>54</v>
      </c>
      <c r="F1332" t="s">
        <v>67</v>
      </c>
      <c r="G1332" t="s">
        <v>40</v>
      </c>
      <c r="H1332" s="3">
        <v>33535.773615836028</v>
      </c>
      <c r="I1332">
        <v>6</v>
      </c>
      <c r="J1332" s="3">
        <v>23268.75940460906</v>
      </c>
      <c r="K1332" s="3">
        <v>10267.01421122698</v>
      </c>
    </row>
    <row r="1333" spans="1:11" x14ac:dyDescent="0.3">
      <c r="A1333" t="s">
        <v>1409</v>
      </c>
      <c r="B1333" s="2">
        <v>45261</v>
      </c>
      <c r="C1333">
        <v>2023</v>
      </c>
      <c r="D1333">
        <v>12</v>
      </c>
      <c r="E1333" t="s">
        <v>54</v>
      </c>
      <c r="F1333" t="s">
        <v>48</v>
      </c>
      <c r="G1333" t="s">
        <v>40</v>
      </c>
      <c r="H1333" s="3">
        <v>74087.714468429476</v>
      </c>
      <c r="I1333">
        <v>14</v>
      </c>
      <c r="J1333" s="3">
        <v>49948.608515670086</v>
      </c>
      <c r="K1333" s="3">
        <v>24139.10595275939</v>
      </c>
    </row>
    <row r="1334" spans="1:11" x14ac:dyDescent="0.3">
      <c r="A1334" t="s">
        <v>1410</v>
      </c>
      <c r="B1334" s="2">
        <v>45261</v>
      </c>
      <c r="C1334">
        <v>2023</v>
      </c>
      <c r="D1334">
        <v>12</v>
      </c>
      <c r="E1334" t="s">
        <v>58</v>
      </c>
      <c r="F1334" t="s">
        <v>67</v>
      </c>
      <c r="G1334" t="s">
        <v>40</v>
      </c>
      <c r="H1334" s="3">
        <v>21751.524163346159</v>
      </c>
      <c r="I1334">
        <v>4</v>
      </c>
      <c r="J1334" s="3">
        <v>14896.538585990549</v>
      </c>
      <c r="K1334" s="3">
        <v>6854.9855773556119</v>
      </c>
    </row>
    <row r="1335" spans="1:11" x14ac:dyDescent="0.3">
      <c r="A1335" t="s">
        <v>1411</v>
      </c>
      <c r="B1335" s="2">
        <v>45261</v>
      </c>
      <c r="C1335">
        <v>2023</v>
      </c>
      <c r="D1335">
        <v>12</v>
      </c>
      <c r="E1335" t="s">
        <v>58</v>
      </c>
      <c r="F1335" t="s">
        <v>48</v>
      </c>
      <c r="G1335" t="s">
        <v>40</v>
      </c>
      <c r="H1335" s="3">
        <v>48546.912278588701</v>
      </c>
      <c r="I1335">
        <v>9</v>
      </c>
      <c r="J1335" s="3">
        <v>32897.326695396303</v>
      </c>
      <c r="K1335" s="3">
        <v>15649.5855831924</v>
      </c>
    </row>
    <row r="1336" spans="1:11" x14ac:dyDescent="0.3">
      <c r="A1336" t="s">
        <v>1412</v>
      </c>
      <c r="B1336" s="2">
        <v>45261</v>
      </c>
      <c r="C1336">
        <v>2023</v>
      </c>
      <c r="D1336">
        <v>12</v>
      </c>
      <c r="E1336" t="s">
        <v>62</v>
      </c>
      <c r="F1336" t="s">
        <v>67</v>
      </c>
      <c r="G1336" t="s">
        <v>40</v>
      </c>
      <c r="H1336" s="3">
        <v>19440.941716299691</v>
      </c>
      <c r="I1336">
        <v>4</v>
      </c>
      <c r="J1336" s="3">
        <v>13546.974360382559</v>
      </c>
      <c r="K1336" s="3">
        <v>5893.967355917137</v>
      </c>
    </row>
    <row r="1337" spans="1:11" x14ac:dyDescent="0.3">
      <c r="A1337" t="s">
        <v>1413</v>
      </c>
      <c r="B1337" s="2">
        <v>45261</v>
      </c>
      <c r="C1337">
        <v>2023</v>
      </c>
      <c r="D1337">
        <v>12</v>
      </c>
      <c r="E1337" t="s">
        <v>62</v>
      </c>
      <c r="F1337" t="s">
        <v>48</v>
      </c>
      <c r="G1337" t="s">
        <v>40</v>
      </c>
      <c r="H1337" s="3">
        <v>37193.806395818952</v>
      </c>
      <c r="I1337">
        <v>7</v>
      </c>
      <c r="J1337" s="3">
        <v>26495.89177907374</v>
      </c>
      <c r="K1337" s="3">
        <v>10697.914616745211</v>
      </c>
    </row>
    <row r="1338" spans="1:11" x14ac:dyDescent="0.3">
      <c r="A1338" t="s">
        <v>1414</v>
      </c>
      <c r="B1338" s="2">
        <v>45261</v>
      </c>
      <c r="C1338">
        <v>2023</v>
      </c>
      <c r="D1338">
        <v>12</v>
      </c>
      <c r="E1338" t="s">
        <v>50</v>
      </c>
      <c r="F1338" t="s">
        <v>67</v>
      </c>
      <c r="G1338" t="s">
        <v>43</v>
      </c>
      <c r="H1338" s="3">
        <v>86355.453653783814</v>
      </c>
      <c r="I1338">
        <v>25</v>
      </c>
      <c r="J1338" s="3">
        <v>49756.03793162982</v>
      </c>
      <c r="K1338" s="3">
        <v>36599.415722153994</v>
      </c>
    </row>
    <row r="1339" spans="1:11" x14ac:dyDescent="0.3">
      <c r="A1339" t="s">
        <v>1415</v>
      </c>
      <c r="B1339" s="2">
        <v>45261</v>
      </c>
      <c r="C1339">
        <v>2023</v>
      </c>
      <c r="D1339">
        <v>12</v>
      </c>
      <c r="E1339" t="s">
        <v>50</v>
      </c>
      <c r="F1339" t="s">
        <v>48</v>
      </c>
      <c r="G1339" t="s">
        <v>43</v>
      </c>
      <c r="H1339" s="3">
        <v>203228.02011827199</v>
      </c>
      <c r="I1339">
        <v>58</v>
      </c>
      <c r="J1339" s="3">
        <v>115905.19622249861</v>
      </c>
      <c r="K1339" s="3">
        <v>87322.823895773399</v>
      </c>
    </row>
    <row r="1340" spans="1:11" x14ac:dyDescent="0.3">
      <c r="A1340" t="s">
        <v>1416</v>
      </c>
      <c r="B1340" s="2">
        <v>45261</v>
      </c>
      <c r="C1340">
        <v>2023</v>
      </c>
      <c r="D1340">
        <v>12</v>
      </c>
      <c r="E1340" t="s">
        <v>54</v>
      </c>
      <c r="F1340" t="s">
        <v>67</v>
      </c>
      <c r="G1340" t="s">
        <v>43</v>
      </c>
      <c r="H1340" s="3">
        <v>68802.825530742251</v>
      </c>
      <c r="I1340">
        <v>20</v>
      </c>
      <c r="J1340" s="3">
        <v>40502.41396353778</v>
      </c>
      <c r="K1340" s="3">
        <v>28300.411567204472</v>
      </c>
    </row>
    <row r="1341" spans="1:11" x14ac:dyDescent="0.3">
      <c r="A1341" t="s">
        <v>1417</v>
      </c>
      <c r="B1341" s="2">
        <v>45261</v>
      </c>
      <c r="C1341">
        <v>2023</v>
      </c>
      <c r="D1341">
        <v>12</v>
      </c>
      <c r="E1341" t="s">
        <v>54</v>
      </c>
      <c r="F1341" t="s">
        <v>48</v>
      </c>
      <c r="G1341" t="s">
        <v>43</v>
      </c>
      <c r="H1341" s="3">
        <v>169703.82104734809</v>
      </c>
      <c r="I1341">
        <v>48</v>
      </c>
      <c r="J1341" s="3">
        <v>100153.5458425886</v>
      </c>
      <c r="K1341" s="3">
        <v>69550.275204759411</v>
      </c>
    </row>
    <row r="1342" spans="1:11" x14ac:dyDescent="0.3">
      <c r="A1342" t="s">
        <v>1418</v>
      </c>
      <c r="B1342" s="2">
        <v>45261</v>
      </c>
      <c r="C1342">
        <v>2023</v>
      </c>
      <c r="D1342">
        <v>12</v>
      </c>
      <c r="E1342" t="s">
        <v>58</v>
      </c>
      <c r="F1342" t="s">
        <v>67</v>
      </c>
      <c r="G1342" t="s">
        <v>43</v>
      </c>
      <c r="H1342" s="3">
        <v>51775.959996168604</v>
      </c>
      <c r="I1342">
        <v>15</v>
      </c>
      <c r="J1342" s="3">
        <v>30668.0485561561</v>
      </c>
      <c r="K1342" s="3">
        <v>21107.9114400125</v>
      </c>
    </row>
    <row r="1343" spans="1:11" x14ac:dyDescent="0.3">
      <c r="A1343" t="s">
        <v>1419</v>
      </c>
      <c r="B1343" s="2">
        <v>45261</v>
      </c>
      <c r="C1343">
        <v>2023</v>
      </c>
      <c r="D1343">
        <v>12</v>
      </c>
      <c r="E1343" t="s">
        <v>58</v>
      </c>
      <c r="F1343" t="s">
        <v>48</v>
      </c>
      <c r="G1343" t="s">
        <v>43</v>
      </c>
      <c r="H1343" s="3">
        <v>113755.6380225434</v>
      </c>
      <c r="I1343">
        <v>33</v>
      </c>
      <c r="J1343" s="3">
        <v>66576.633369087023</v>
      </c>
      <c r="K1343" s="3">
        <v>47179.004653456417</v>
      </c>
    </row>
    <row r="1344" spans="1:11" x14ac:dyDescent="0.3">
      <c r="A1344" t="s">
        <v>1420</v>
      </c>
      <c r="B1344" s="2">
        <v>45261</v>
      </c>
      <c r="C1344">
        <v>2023</v>
      </c>
      <c r="D1344">
        <v>12</v>
      </c>
      <c r="E1344" t="s">
        <v>62</v>
      </c>
      <c r="F1344" t="s">
        <v>67</v>
      </c>
      <c r="G1344" t="s">
        <v>43</v>
      </c>
      <c r="H1344" s="3">
        <v>35150.114159978708</v>
      </c>
      <c r="I1344">
        <v>10</v>
      </c>
      <c r="J1344" s="3">
        <v>20663.669865360131</v>
      </c>
      <c r="K1344" s="3">
        <v>14486.444294618581</v>
      </c>
    </row>
    <row r="1345" spans="1:11" x14ac:dyDescent="0.3">
      <c r="A1345" t="s">
        <v>1421</v>
      </c>
      <c r="B1345" s="2">
        <v>45261</v>
      </c>
      <c r="C1345">
        <v>2023</v>
      </c>
      <c r="D1345">
        <v>12</v>
      </c>
      <c r="E1345" t="s">
        <v>62</v>
      </c>
      <c r="F1345" t="s">
        <v>48</v>
      </c>
      <c r="G1345" t="s">
        <v>43</v>
      </c>
      <c r="H1345" s="3">
        <v>85607.684709142981</v>
      </c>
      <c r="I1345">
        <v>24</v>
      </c>
      <c r="J1345" s="3">
        <v>50842.657395442031</v>
      </c>
      <c r="K1345" s="3">
        <v>34765.02731370095</v>
      </c>
    </row>
    <row r="1346" spans="1:11" x14ac:dyDescent="0.3">
      <c r="A1346" t="s">
        <v>1422</v>
      </c>
      <c r="B1346" s="2">
        <v>45292</v>
      </c>
      <c r="C1346">
        <v>2024</v>
      </c>
      <c r="D1346">
        <v>1</v>
      </c>
      <c r="E1346" t="s">
        <v>50</v>
      </c>
      <c r="F1346" t="s">
        <v>67</v>
      </c>
      <c r="G1346" t="s">
        <v>19</v>
      </c>
      <c r="H1346" s="3">
        <v>57107.653620886464</v>
      </c>
      <c r="I1346">
        <v>11</v>
      </c>
      <c r="J1346" s="3">
        <v>36069.834133044933</v>
      </c>
      <c r="K1346" s="3">
        <v>21037.819487841531</v>
      </c>
    </row>
    <row r="1347" spans="1:11" x14ac:dyDescent="0.3">
      <c r="A1347" t="s">
        <v>1423</v>
      </c>
      <c r="B1347" s="2">
        <v>45292</v>
      </c>
      <c r="C1347">
        <v>2024</v>
      </c>
      <c r="D1347">
        <v>1</v>
      </c>
      <c r="E1347" t="s">
        <v>50</v>
      </c>
      <c r="F1347" t="s">
        <v>48</v>
      </c>
      <c r="G1347" t="s">
        <v>19</v>
      </c>
      <c r="H1347" s="3">
        <v>128961.63306118239</v>
      </c>
      <c r="I1347">
        <v>25</v>
      </c>
      <c r="J1347" s="3">
        <v>77142.483189312057</v>
      </c>
      <c r="K1347" s="3">
        <v>51819.149871870351</v>
      </c>
    </row>
    <row r="1348" spans="1:11" x14ac:dyDescent="0.3">
      <c r="A1348" t="s">
        <v>1424</v>
      </c>
      <c r="B1348" s="2">
        <v>45292</v>
      </c>
      <c r="C1348">
        <v>2024</v>
      </c>
      <c r="D1348">
        <v>1</v>
      </c>
      <c r="E1348" t="s">
        <v>54</v>
      </c>
      <c r="F1348" t="s">
        <v>67</v>
      </c>
      <c r="G1348" t="s">
        <v>19</v>
      </c>
      <c r="H1348" s="3">
        <v>58799.114937328042</v>
      </c>
      <c r="I1348">
        <v>11</v>
      </c>
      <c r="J1348" s="3">
        <v>36213.353893860738</v>
      </c>
      <c r="K1348" s="3">
        <v>22585.761043467301</v>
      </c>
    </row>
    <row r="1349" spans="1:11" x14ac:dyDescent="0.3">
      <c r="A1349" t="s">
        <v>1425</v>
      </c>
      <c r="B1349" s="2">
        <v>45292</v>
      </c>
      <c r="C1349">
        <v>2024</v>
      </c>
      <c r="D1349">
        <v>1</v>
      </c>
      <c r="E1349" t="s">
        <v>54</v>
      </c>
      <c r="F1349" t="s">
        <v>48</v>
      </c>
      <c r="G1349" t="s">
        <v>19</v>
      </c>
      <c r="H1349" s="3">
        <v>97339.091232775652</v>
      </c>
      <c r="I1349">
        <v>19</v>
      </c>
      <c r="J1349" s="3">
        <v>60582.49796761066</v>
      </c>
      <c r="K1349" s="3">
        <v>36756.593265164993</v>
      </c>
    </row>
    <row r="1350" spans="1:11" x14ac:dyDescent="0.3">
      <c r="A1350" t="s">
        <v>1426</v>
      </c>
      <c r="B1350" s="2">
        <v>45292</v>
      </c>
      <c r="C1350">
        <v>2024</v>
      </c>
      <c r="D1350">
        <v>1</v>
      </c>
      <c r="E1350" t="s">
        <v>58</v>
      </c>
      <c r="F1350" t="s">
        <v>67</v>
      </c>
      <c r="G1350" t="s">
        <v>19</v>
      </c>
      <c r="H1350" s="3">
        <v>39136.345650927928</v>
      </c>
      <c r="I1350">
        <v>8</v>
      </c>
      <c r="J1350" s="3">
        <v>23863.5975753319</v>
      </c>
      <c r="K1350" s="3">
        <v>15272.74807559603</v>
      </c>
    </row>
    <row r="1351" spans="1:11" x14ac:dyDescent="0.3">
      <c r="A1351" t="s">
        <v>1427</v>
      </c>
      <c r="B1351" s="2">
        <v>45292</v>
      </c>
      <c r="C1351">
        <v>2024</v>
      </c>
      <c r="D1351">
        <v>1</v>
      </c>
      <c r="E1351" t="s">
        <v>58</v>
      </c>
      <c r="F1351" t="s">
        <v>48</v>
      </c>
      <c r="G1351" t="s">
        <v>19</v>
      </c>
      <c r="H1351" s="3">
        <v>74916.052971654761</v>
      </c>
      <c r="I1351">
        <v>14</v>
      </c>
      <c r="J1351" s="3">
        <v>47895.319979960157</v>
      </c>
      <c r="K1351" s="3">
        <v>27020.7329916946</v>
      </c>
    </row>
    <row r="1352" spans="1:11" x14ac:dyDescent="0.3">
      <c r="A1352" t="s">
        <v>1428</v>
      </c>
      <c r="B1352" s="2">
        <v>45292</v>
      </c>
      <c r="C1352">
        <v>2024</v>
      </c>
      <c r="D1352">
        <v>1</v>
      </c>
      <c r="E1352" t="s">
        <v>62</v>
      </c>
      <c r="F1352" t="s">
        <v>67</v>
      </c>
      <c r="G1352" t="s">
        <v>19</v>
      </c>
      <c r="H1352" s="3">
        <v>28253.73720950797</v>
      </c>
      <c r="I1352">
        <v>5</v>
      </c>
      <c r="J1352" s="3">
        <v>17316.964895751349</v>
      </c>
      <c r="K1352" s="3">
        <v>10936.772313756621</v>
      </c>
    </row>
    <row r="1353" spans="1:11" x14ac:dyDescent="0.3">
      <c r="A1353" t="s">
        <v>1429</v>
      </c>
      <c r="B1353" s="2">
        <v>45292</v>
      </c>
      <c r="C1353">
        <v>2024</v>
      </c>
      <c r="D1353">
        <v>1</v>
      </c>
      <c r="E1353" t="s">
        <v>62</v>
      </c>
      <c r="F1353" t="s">
        <v>48</v>
      </c>
      <c r="G1353" t="s">
        <v>19</v>
      </c>
      <c r="H1353" s="3">
        <v>50881.376080713242</v>
      </c>
      <c r="I1353">
        <v>10</v>
      </c>
      <c r="J1353" s="3">
        <v>31523.005689337278</v>
      </c>
      <c r="K1353" s="3">
        <v>19358.37039137596</v>
      </c>
    </row>
    <row r="1354" spans="1:11" x14ac:dyDescent="0.3">
      <c r="A1354" t="s">
        <v>1430</v>
      </c>
      <c r="B1354" s="2">
        <v>45292</v>
      </c>
      <c r="C1354">
        <v>2024</v>
      </c>
      <c r="D1354">
        <v>1</v>
      </c>
      <c r="E1354" t="s">
        <v>50</v>
      </c>
      <c r="F1354" t="s">
        <v>67</v>
      </c>
      <c r="G1354" t="s">
        <v>24</v>
      </c>
      <c r="H1354" s="3">
        <v>73929.778511646873</v>
      </c>
      <c r="I1354">
        <v>12</v>
      </c>
      <c r="J1354" s="3">
        <v>49282.000112436457</v>
      </c>
      <c r="K1354" s="3">
        <v>24647.778399210409</v>
      </c>
    </row>
    <row r="1355" spans="1:11" x14ac:dyDescent="0.3">
      <c r="A1355" t="s">
        <v>1431</v>
      </c>
      <c r="B1355" s="2">
        <v>45292</v>
      </c>
      <c r="C1355">
        <v>2024</v>
      </c>
      <c r="D1355">
        <v>1</v>
      </c>
      <c r="E1355" t="s">
        <v>50</v>
      </c>
      <c r="F1355" t="s">
        <v>48</v>
      </c>
      <c r="G1355" t="s">
        <v>24</v>
      </c>
      <c r="H1355" s="3">
        <v>130583.5752232326</v>
      </c>
      <c r="I1355">
        <v>21</v>
      </c>
      <c r="J1355" s="3">
        <v>85267.880116774759</v>
      </c>
      <c r="K1355" s="3">
        <v>45315.695106457861</v>
      </c>
    </row>
    <row r="1356" spans="1:11" x14ac:dyDescent="0.3">
      <c r="A1356" t="s">
        <v>1432</v>
      </c>
      <c r="B1356" s="2">
        <v>45292</v>
      </c>
      <c r="C1356">
        <v>2024</v>
      </c>
      <c r="D1356">
        <v>1</v>
      </c>
      <c r="E1356" t="s">
        <v>54</v>
      </c>
      <c r="F1356" t="s">
        <v>67</v>
      </c>
      <c r="G1356" t="s">
        <v>24</v>
      </c>
      <c r="H1356" s="3">
        <v>59253.53047184107</v>
      </c>
      <c r="I1356">
        <v>10</v>
      </c>
      <c r="J1356" s="3">
        <v>37807.468359819177</v>
      </c>
      <c r="K1356" s="3">
        <v>21446.062112021889</v>
      </c>
    </row>
    <row r="1357" spans="1:11" x14ac:dyDescent="0.3">
      <c r="A1357" t="s">
        <v>1433</v>
      </c>
      <c r="B1357" s="2">
        <v>45292</v>
      </c>
      <c r="C1357">
        <v>2024</v>
      </c>
      <c r="D1357">
        <v>1</v>
      </c>
      <c r="E1357" t="s">
        <v>54</v>
      </c>
      <c r="F1357" t="s">
        <v>48</v>
      </c>
      <c r="G1357" t="s">
        <v>24</v>
      </c>
      <c r="H1357" s="3">
        <v>110772.0747678789</v>
      </c>
      <c r="I1357">
        <v>18</v>
      </c>
      <c r="J1357" s="3">
        <v>72545.47188529445</v>
      </c>
      <c r="K1357" s="3">
        <v>38226.602882584477</v>
      </c>
    </row>
    <row r="1358" spans="1:11" x14ac:dyDescent="0.3">
      <c r="A1358" t="s">
        <v>1434</v>
      </c>
      <c r="B1358" s="2">
        <v>45292</v>
      </c>
      <c r="C1358">
        <v>2024</v>
      </c>
      <c r="D1358">
        <v>1</v>
      </c>
      <c r="E1358" t="s">
        <v>58</v>
      </c>
      <c r="F1358" t="s">
        <v>67</v>
      </c>
      <c r="G1358" t="s">
        <v>24</v>
      </c>
      <c r="H1358" s="3">
        <v>37600.187032817114</v>
      </c>
      <c r="I1358">
        <v>6</v>
      </c>
      <c r="J1358" s="3">
        <v>25275.96447207054</v>
      </c>
      <c r="K1358" s="3">
        <v>12324.22256074657</v>
      </c>
    </row>
    <row r="1359" spans="1:11" x14ac:dyDescent="0.3">
      <c r="A1359" t="s">
        <v>1435</v>
      </c>
      <c r="B1359" s="2">
        <v>45292</v>
      </c>
      <c r="C1359">
        <v>2024</v>
      </c>
      <c r="D1359">
        <v>1</v>
      </c>
      <c r="E1359" t="s">
        <v>58</v>
      </c>
      <c r="F1359" t="s">
        <v>48</v>
      </c>
      <c r="G1359" t="s">
        <v>24</v>
      </c>
      <c r="H1359" s="3">
        <v>74029.293344071397</v>
      </c>
      <c r="I1359">
        <v>12</v>
      </c>
      <c r="J1359" s="3">
        <v>48563.045122063573</v>
      </c>
      <c r="K1359" s="3">
        <v>25466.24822200782</v>
      </c>
    </row>
    <row r="1360" spans="1:11" x14ac:dyDescent="0.3">
      <c r="A1360" t="s">
        <v>1436</v>
      </c>
      <c r="B1360" s="2">
        <v>45292</v>
      </c>
      <c r="C1360">
        <v>2024</v>
      </c>
      <c r="D1360">
        <v>1</v>
      </c>
      <c r="E1360" t="s">
        <v>62</v>
      </c>
      <c r="F1360" t="s">
        <v>67</v>
      </c>
      <c r="G1360" t="s">
        <v>24</v>
      </c>
      <c r="H1360" s="3">
        <v>28380.820489477661</v>
      </c>
      <c r="I1360">
        <v>5</v>
      </c>
      <c r="J1360" s="3">
        <v>18445.954223461031</v>
      </c>
      <c r="K1360" s="3">
        <v>9934.8662660166301</v>
      </c>
    </row>
    <row r="1361" spans="1:11" x14ac:dyDescent="0.3">
      <c r="A1361" t="s">
        <v>1437</v>
      </c>
      <c r="B1361" s="2">
        <v>45292</v>
      </c>
      <c r="C1361">
        <v>2024</v>
      </c>
      <c r="D1361">
        <v>1</v>
      </c>
      <c r="E1361" t="s">
        <v>62</v>
      </c>
      <c r="F1361" t="s">
        <v>48</v>
      </c>
      <c r="G1361" t="s">
        <v>24</v>
      </c>
      <c r="H1361" s="3">
        <v>53502.012333754094</v>
      </c>
      <c r="I1361">
        <v>9</v>
      </c>
      <c r="J1361" s="3">
        <v>35899.689012799237</v>
      </c>
      <c r="K1361" s="3">
        <v>17602.323320954842</v>
      </c>
    </row>
    <row r="1362" spans="1:11" x14ac:dyDescent="0.3">
      <c r="A1362" t="s">
        <v>1438</v>
      </c>
      <c r="B1362" s="2">
        <v>45292</v>
      </c>
      <c r="C1362">
        <v>2024</v>
      </c>
      <c r="D1362">
        <v>1</v>
      </c>
      <c r="E1362" t="s">
        <v>50</v>
      </c>
      <c r="F1362" t="s">
        <v>67</v>
      </c>
      <c r="G1362" t="s">
        <v>29</v>
      </c>
      <c r="H1362" s="3">
        <v>49982.821607055717</v>
      </c>
      <c r="I1362">
        <v>12</v>
      </c>
      <c r="J1362" s="3">
        <v>31798.544947133119</v>
      </c>
      <c r="K1362" s="3">
        <v>18184.276659922609</v>
      </c>
    </row>
    <row r="1363" spans="1:11" x14ac:dyDescent="0.3">
      <c r="A1363" t="s">
        <v>1439</v>
      </c>
      <c r="B1363" s="2">
        <v>45292</v>
      </c>
      <c r="C1363">
        <v>2024</v>
      </c>
      <c r="D1363">
        <v>1</v>
      </c>
      <c r="E1363" t="s">
        <v>50</v>
      </c>
      <c r="F1363" t="s">
        <v>48</v>
      </c>
      <c r="G1363" t="s">
        <v>29</v>
      </c>
      <c r="H1363" s="3">
        <v>97916.21408275982</v>
      </c>
      <c r="I1363">
        <v>23</v>
      </c>
      <c r="J1363" s="3">
        <v>62090.918275028263</v>
      </c>
      <c r="K1363" s="3">
        <v>35825.295807731563</v>
      </c>
    </row>
    <row r="1364" spans="1:11" x14ac:dyDescent="0.3">
      <c r="A1364" t="s">
        <v>1440</v>
      </c>
      <c r="B1364" s="2">
        <v>45292</v>
      </c>
      <c r="C1364">
        <v>2024</v>
      </c>
      <c r="D1364">
        <v>1</v>
      </c>
      <c r="E1364" t="s">
        <v>54</v>
      </c>
      <c r="F1364" t="s">
        <v>67</v>
      </c>
      <c r="G1364" t="s">
        <v>29</v>
      </c>
      <c r="H1364" s="3">
        <v>42024.266737254082</v>
      </c>
      <c r="I1364">
        <v>10</v>
      </c>
      <c r="J1364" s="3">
        <v>26967.88532713562</v>
      </c>
      <c r="K1364" s="3">
        <v>15056.38141011846</v>
      </c>
    </row>
    <row r="1365" spans="1:11" x14ac:dyDescent="0.3">
      <c r="A1365" t="s">
        <v>1441</v>
      </c>
      <c r="B1365" s="2">
        <v>45292</v>
      </c>
      <c r="C1365">
        <v>2024</v>
      </c>
      <c r="D1365">
        <v>1</v>
      </c>
      <c r="E1365" t="s">
        <v>54</v>
      </c>
      <c r="F1365" t="s">
        <v>48</v>
      </c>
      <c r="G1365" t="s">
        <v>29</v>
      </c>
      <c r="H1365" s="3">
        <v>79456.624079591391</v>
      </c>
      <c r="I1365">
        <v>18</v>
      </c>
      <c r="J1365" s="3">
        <v>51557.738146278673</v>
      </c>
      <c r="K1365" s="3">
        <v>27898.885933312718</v>
      </c>
    </row>
    <row r="1366" spans="1:11" x14ac:dyDescent="0.3">
      <c r="A1366" t="s">
        <v>1442</v>
      </c>
      <c r="B1366" s="2">
        <v>45292</v>
      </c>
      <c r="C1366">
        <v>2024</v>
      </c>
      <c r="D1366">
        <v>1</v>
      </c>
      <c r="E1366" t="s">
        <v>58</v>
      </c>
      <c r="F1366" t="s">
        <v>67</v>
      </c>
      <c r="G1366" t="s">
        <v>29</v>
      </c>
      <c r="H1366" s="3">
        <v>26954.512250888169</v>
      </c>
      <c r="I1366">
        <v>6</v>
      </c>
      <c r="J1366" s="3">
        <v>17990.447954645511</v>
      </c>
      <c r="K1366" s="3">
        <v>8964.0642962426573</v>
      </c>
    </row>
    <row r="1367" spans="1:11" x14ac:dyDescent="0.3">
      <c r="A1367" t="s">
        <v>1443</v>
      </c>
      <c r="B1367" s="2">
        <v>45292</v>
      </c>
      <c r="C1367">
        <v>2024</v>
      </c>
      <c r="D1367">
        <v>1</v>
      </c>
      <c r="E1367" t="s">
        <v>58</v>
      </c>
      <c r="F1367" t="s">
        <v>48</v>
      </c>
      <c r="G1367" t="s">
        <v>29</v>
      </c>
      <c r="H1367" s="3">
        <v>52606.18041276541</v>
      </c>
      <c r="I1367">
        <v>12</v>
      </c>
      <c r="J1367" s="3">
        <v>34169.279735927201</v>
      </c>
      <c r="K1367" s="3">
        <v>18436.90067683821</v>
      </c>
    </row>
    <row r="1368" spans="1:11" x14ac:dyDescent="0.3">
      <c r="A1368" t="s">
        <v>1444</v>
      </c>
      <c r="B1368" s="2">
        <v>45292</v>
      </c>
      <c r="C1368">
        <v>2024</v>
      </c>
      <c r="D1368">
        <v>1</v>
      </c>
      <c r="E1368" t="s">
        <v>62</v>
      </c>
      <c r="F1368" t="s">
        <v>67</v>
      </c>
      <c r="G1368" t="s">
        <v>29</v>
      </c>
      <c r="H1368" s="3">
        <v>19851.62951727186</v>
      </c>
      <c r="I1368">
        <v>5</v>
      </c>
      <c r="J1368" s="3">
        <v>12970.287588409001</v>
      </c>
      <c r="K1368" s="3">
        <v>6881.3419288628666</v>
      </c>
    </row>
    <row r="1369" spans="1:11" x14ac:dyDescent="0.3">
      <c r="A1369" t="s">
        <v>1445</v>
      </c>
      <c r="B1369" s="2">
        <v>45292</v>
      </c>
      <c r="C1369">
        <v>2024</v>
      </c>
      <c r="D1369">
        <v>1</v>
      </c>
      <c r="E1369" t="s">
        <v>62</v>
      </c>
      <c r="F1369" t="s">
        <v>48</v>
      </c>
      <c r="G1369" t="s">
        <v>29</v>
      </c>
      <c r="H1369" s="3">
        <v>34796.810455935163</v>
      </c>
      <c r="I1369">
        <v>8</v>
      </c>
      <c r="J1369" s="3">
        <v>22067.1374574822</v>
      </c>
      <c r="K1369" s="3">
        <v>12729.67299845297</v>
      </c>
    </row>
    <row r="1370" spans="1:11" x14ac:dyDescent="0.3">
      <c r="A1370" t="s">
        <v>1446</v>
      </c>
      <c r="B1370" s="2">
        <v>45292</v>
      </c>
      <c r="C1370">
        <v>2024</v>
      </c>
      <c r="D1370">
        <v>1</v>
      </c>
      <c r="E1370" t="s">
        <v>50</v>
      </c>
      <c r="F1370" t="s">
        <v>67</v>
      </c>
      <c r="G1370" t="s">
        <v>34</v>
      </c>
      <c r="H1370" s="3">
        <v>46398.77453456002</v>
      </c>
      <c r="I1370">
        <v>55</v>
      </c>
      <c r="J1370" s="3">
        <v>21860.15621829153</v>
      </c>
      <c r="K1370" s="3">
        <v>24538.61831626849</v>
      </c>
    </row>
    <row r="1371" spans="1:11" x14ac:dyDescent="0.3">
      <c r="A1371" t="s">
        <v>1447</v>
      </c>
      <c r="B1371" s="2">
        <v>45292</v>
      </c>
      <c r="C1371">
        <v>2024</v>
      </c>
      <c r="D1371">
        <v>1</v>
      </c>
      <c r="E1371" t="s">
        <v>50</v>
      </c>
      <c r="F1371" t="s">
        <v>48</v>
      </c>
      <c r="G1371" t="s">
        <v>34</v>
      </c>
      <c r="H1371" s="3">
        <v>85789.635717970057</v>
      </c>
      <c r="I1371">
        <v>101</v>
      </c>
      <c r="J1371" s="3">
        <v>41225.226540464377</v>
      </c>
      <c r="K1371" s="3">
        <v>44564.40917750568</v>
      </c>
    </row>
    <row r="1372" spans="1:11" x14ac:dyDescent="0.3">
      <c r="A1372" t="s">
        <v>1448</v>
      </c>
      <c r="B1372" s="2">
        <v>45292</v>
      </c>
      <c r="C1372">
        <v>2024</v>
      </c>
      <c r="D1372">
        <v>1</v>
      </c>
      <c r="E1372" t="s">
        <v>54</v>
      </c>
      <c r="F1372" t="s">
        <v>67</v>
      </c>
      <c r="G1372" t="s">
        <v>34</v>
      </c>
      <c r="H1372" s="3">
        <v>35753.96397597302</v>
      </c>
      <c r="I1372">
        <v>42</v>
      </c>
      <c r="J1372" s="3">
        <v>17195.00902232833</v>
      </c>
      <c r="K1372" s="3">
        <v>18558.95495364469</v>
      </c>
    </row>
    <row r="1373" spans="1:11" x14ac:dyDescent="0.3">
      <c r="A1373" t="s">
        <v>1449</v>
      </c>
      <c r="B1373" s="2">
        <v>45292</v>
      </c>
      <c r="C1373">
        <v>2024</v>
      </c>
      <c r="D1373">
        <v>1</v>
      </c>
      <c r="E1373" t="s">
        <v>54</v>
      </c>
      <c r="F1373" t="s">
        <v>48</v>
      </c>
      <c r="G1373" t="s">
        <v>34</v>
      </c>
      <c r="H1373" s="3">
        <v>73732.089340975173</v>
      </c>
      <c r="I1373">
        <v>87</v>
      </c>
      <c r="J1373" s="3">
        <v>34704.341462661607</v>
      </c>
      <c r="K1373" s="3">
        <v>39027.747878313559</v>
      </c>
    </row>
    <row r="1374" spans="1:11" x14ac:dyDescent="0.3">
      <c r="A1374" t="s">
        <v>1450</v>
      </c>
      <c r="B1374" s="2">
        <v>45292</v>
      </c>
      <c r="C1374">
        <v>2024</v>
      </c>
      <c r="D1374">
        <v>1</v>
      </c>
      <c r="E1374" t="s">
        <v>58</v>
      </c>
      <c r="F1374" t="s">
        <v>67</v>
      </c>
      <c r="G1374" t="s">
        <v>34</v>
      </c>
      <c r="H1374" s="3">
        <v>26345.505165989729</v>
      </c>
      <c r="I1374">
        <v>31</v>
      </c>
      <c r="J1374" s="3">
        <v>12605.941033446201</v>
      </c>
      <c r="K1374" s="3">
        <v>13739.56413254353</v>
      </c>
    </row>
    <row r="1375" spans="1:11" x14ac:dyDescent="0.3">
      <c r="A1375" t="s">
        <v>1451</v>
      </c>
      <c r="B1375" s="2">
        <v>45292</v>
      </c>
      <c r="C1375">
        <v>2024</v>
      </c>
      <c r="D1375">
        <v>1</v>
      </c>
      <c r="E1375" t="s">
        <v>58</v>
      </c>
      <c r="F1375" t="s">
        <v>48</v>
      </c>
      <c r="G1375" t="s">
        <v>34</v>
      </c>
      <c r="H1375" s="3">
        <v>46449.433232889081</v>
      </c>
      <c r="I1375">
        <v>55</v>
      </c>
      <c r="J1375" s="3">
        <v>22455.98333084397</v>
      </c>
      <c r="K1375" s="3">
        <v>23993.449902045111</v>
      </c>
    </row>
    <row r="1376" spans="1:11" x14ac:dyDescent="0.3">
      <c r="A1376" t="s">
        <v>1452</v>
      </c>
      <c r="B1376" s="2">
        <v>45292</v>
      </c>
      <c r="C1376">
        <v>2024</v>
      </c>
      <c r="D1376">
        <v>1</v>
      </c>
      <c r="E1376" t="s">
        <v>62</v>
      </c>
      <c r="F1376" t="s">
        <v>67</v>
      </c>
      <c r="G1376" t="s">
        <v>34</v>
      </c>
      <c r="H1376" s="3">
        <v>18848.669364273421</v>
      </c>
      <c r="I1376">
        <v>22</v>
      </c>
      <c r="J1376" s="3">
        <v>9106.0522614053607</v>
      </c>
      <c r="K1376" s="3">
        <v>9742.6171028680601</v>
      </c>
    </row>
    <row r="1377" spans="1:11" x14ac:dyDescent="0.3">
      <c r="A1377" t="s">
        <v>1453</v>
      </c>
      <c r="B1377" s="2">
        <v>45292</v>
      </c>
      <c r="C1377">
        <v>2024</v>
      </c>
      <c r="D1377">
        <v>1</v>
      </c>
      <c r="E1377" t="s">
        <v>62</v>
      </c>
      <c r="F1377" t="s">
        <v>48</v>
      </c>
      <c r="G1377" t="s">
        <v>34</v>
      </c>
      <c r="H1377" s="3">
        <v>34335.558027211038</v>
      </c>
      <c r="I1377">
        <v>40</v>
      </c>
      <c r="J1377" s="3">
        <v>16630.669494985112</v>
      </c>
      <c r="K1377" s="3">
        <v>17704.88853222593</v>
      </c>
    </row>
    <row r="1378" spans="1:11" x14ac:dyDescent="0.3">
      <c r="A1378" t="s">
        <v>1454</v>
      </c>
      <c r="B1378" s="2">
        <v>45292</v>
      </c>
      <c r="C1378">
        <v>2024</v>
      </c>
      <c r="D1378">
        <v>1</v>
      </c>
      <c r="E1378" t="s">
        <v>50</v>
      </c>
      <c r="F1378" t="s">
        <v>67</v>
      </c>
      <c r="G1378" t="s">
        <v>37</v>
      </c>
      <c r="H1378" s="3">
        <v>37483.016375263767</v>
      </c>
      <c r="I1378">
        <v>52</v>
      </c>
      <c r="J1378" s="3">
        <v>20723.6307402643</v>
      </c>
      <c r="K1378" s="3">
        <v>16759.385634999471</v>
      </c>
    </row>
    <row r="1379" spans="1:11" x14ac:dyDescent="0.3">
      <c r="A1379" t="s">
        <v>1455</v>
      </c>
      <c r="B1379" s="2">
        <v>45292</v>
      </c>
      <c r="C1379">
        <v>2024</v>
      </c>
      <c r="D1379">
        <v>1</v>
      </c>
      <c r="E1379" t="s">
        <v>50</v>
      </c>
      <c r="F1379" t="s">
        <v>48</v>
      </c>
      <c r="G1379" t="s">
        <v>37</v>
      </c>
      <c r="H1379" s="3">
        <v>69775.152130377886</v>
      </c>
      <c r="I1379">
        <v>97</v>
      </c>
      <c r="J1379" s="3">
        <v>38026.105269021173</v>
      </c>
      <c r="K1379" s="3">
        <v>31749.046861356721</v>
      </c>
    </row>
    <row r="1380" spans="1:11" x14ac:dyDescent="0.3">
      <c r="A1380" t="s">
        <v>1456</v>
      </c>
      <c r="B1380" s="2">
        <v>45292</v>
      </c>
      <c r="C1380">
        <v>2024</v>
      </c>
      <c r="D1380">
        <v>1</v>
      </c>
      <c r="E1380" t="s">
        <v>54</v>
      </c>
      <c r="F1380" t="s">
        <v>67</v>
      </c>
      <c r="G1380" t="s">
        <v>37</v>
      </c>
      <c r="H1380" s="3">
        <v>29474.381147605109</v>
      </c>
      <c r="I1380">
        <v>41</v>
      </c>
      <c r="J1380" s="3">
        <v>16060.955292058579</v>
      </c>
      <c r="K1380" s="3">
        <v>13413.42585554652</v>
      </c>
    </row>
    <row r="1381" spans="1:11" x14ac:dyDescent="0.3">
      <c r="A1381" t="s">
        <v>1457</v>
      </c>
      <c r="B1381" s="2">
        <v>45292</v>
      </c>
      <c r="C1381">
        <v>2024</v>
      </c>
      <c r="D1381">
        <v>1</v>
      </c>
      <c r="E1381" t="s">
        <v>54</v>
      </c>
      <c r="F1381" t="s">
        <v>48</v>
      </c>
      <c r="G1381" t="s">
        <v>37</v>
      </c>
      <c r="H1381" s="3">
        <v>50734.326215443143</v>
      </c>
      <c r="I1381">
        <v>70</v>
      </c>
      <c r="J1381" s="3">
        <v>27301.682304205129</v>
      </c>
      <c r="K1381" s="3">
        <v>23432.64391123801</v>
      </c>
    </row>
    <row r="1382" spans="1:11" x14ac:dyDescent="0.3">
      <c r="A1382" t="s">
        <v>1458</v>
      </c>
      <c r="B1382" s="2">
        <v>45292</v>
      </c>
      <c r="C1382">
        <v>2024</v>
      </c>
      <c r="D1382">
        <v>1</v>
      </c>
      <c r="E1382" t="s">
        <v>58</v>
      </c>
      <c r="F1382" t="s">
        <v>67</v>
      </c>
      <c r="G1382" t="s">
        <v>37</v>
      </c>
      <c r="H1382" s="3">
        <v>19298.885453412469</v>
      </c>
      <c r="I1382">
        <v>27</v>
      </c>
      <c r="J1382" s="3">
        <v>10955.384272886149</v>
      </c>
      <c r="K1382" s="3">
        <v>8343.5011805263148</v>
      </c>
    </row>
    <row r="1383" spans="1:11" x14ac:dyDescent="0.3">
      <c r="A1383" t="s">
        <v>1459</v>
      </c>
      <c r="B1383" s="2">
        <v>45292</v>
      </c>
      <c r="C1383">
        <v>2024</v>
      </c>
      <c r="D1383">
        <v>1</v>
      </c>
      <c r="E1383" t="s">
        <v>58</v>
      </c>
      <c r="F1383" t="s">
        <v>48</v>
      </c>
      <c r="G1383" t="s">
        <v>37</v>
      </c>
      <c r="H1383" s="3">
        <v>37824.399299833902</v>
      </c>
      <c r="I1383">
        <v>53</v>
      </c>
      <c r="J1383" s="3">
        <v>20808.456259333321</v>
      </c>
      <c r="K1383" s="3">
        <v>17015.943040500581</v>
      </c>
    </row>
    <row r="1384" spans="1:11" x14ac:dyDescent="0.3">
      <c r="A1384" t="s">
        <v>1460</v>
      </c>
      <c r="B1384" s="2">
        <v>45292</v>
      </c>
      <c r="C1384">
        <v>2024</v>
      </c>
      <c r="D1384">
        <v>1</v>
      </c>
      <c r="E1384" t="s">
        <v>62</v>
      </c>
      <c r="F1384" t="s">
        <v>67</v>
      </c>
      <c r="G1384" t="s">
        <v>37</v>
      </c>
      <c r="H1384" s="3">
        <v>16261.55978931255</v>
      </c>
      <c r="I1384">
        <v>23</v>
      </c>
      <c r="J1384" s="3">
        <v>8907.6589161567863</v>
      </c>
      <c r="K1384" s="3">
        <v>7353.9008731557587</v>
      </c>
    </row>
    <row r="1385" spans="1:11" x14ac:dyDescent="0.3">
      <c r="A1385" t="s">
        <v>1461</v>
      </c>
      <c r="B1385" s="2">
        <v>45292</v>
      </c>
      <c r="C1385">
        <v>2024</v>
      </c>
      <c r="D1385">
        <v>1</v>
      </c>
      <c r="E1385" t="s">
        <v>62</v>
      </c>
      <c r="F1385" t="s">
        <v>48</v>
      </c>
      <c r="G1385" t="s">
        <v>37</v>
      </c>
      <c r="H1385" s="3">
        <v>28020.16899804752</v>
      </c>
      <c r="I1385">
        <v>39</v>
      </c>
      <c r="J1385" s="3">
        <v>15153.446329171309</v>
      </c>
      <c r="K1385" s="3">
        <v>12866.722668876209</v>
      </c>
    </row>
    <row r="1386" spans="1:11" x14ac:dyDescent="0.3">
      <c r="A1386" t="s">
        <v>1462</v>
      </c>
      <c r="B1386" s="2">
        <v>45292</v>
      </c>
      <c r="C1386">
        <v>2024</v>
      </c>
      <c r="D1386">
        <v>1</v>
      </c>
      <c r="E1386" t="s">
        <v>50</v>
      </c>
      <c r="F1386" t="s">
        <v>67</v>
      </c>
      <c r="G1386" t="s">
        <v>40</v>
      </c>
      <c r="H1386" s="3">
        <v>34226.826724213621</v>
      </c>
      <c r="I1386">
        <v>6</v>
      </c>
      <c r="J1386" s="3">
        <v>24864.4503586666</v>
      </c>
      <c r="K1386" s="3">
        <v>9362.3763655470248</v>
      </c>
    </row>
    <row r="1387" spans="1:11" x14ac:dyDescent="0.3">
      <c r="A1387" t="s">
        <v>1463</v>
      </c>
      <c r="B1387" s="2">
        <v>45292</v>
      </c>
      <c r="C1387">
        <v>2024</v>
      </c>
      <c r="D1387">
        <v>1</v>
      </c>
      <c r="E1387" t="s">
        <v>50</v>
      </c>
      <c r="F1387" t="s">
        <v>48</v>
      </c>
      <c r="G1387" t="s">
        <v>40</v>
      </c>
      <c r="H1387" s="3">
        <v>61799.35206236619</v>
      </c>
      <c r="I1387">
        <v>11</v>
      </c>
      <c r="J1387" s="3">
        <v>41817.722189416141</v>
      </c>
      <c r="K1387" s="3">
        <v>19981.629872950049</v>
      </c>
    </row>
    <row r="1388" spans="1:11" x14ac:dyDescent="0.3">
      <c r="A1388" t="s">
        <v>1464</v>
      </c>
      <c r="B1388" s="2">
        <v>45292</v>
      </c>
      <c r="C1388">
        <v>2024</v>
      </c>
      <c r="D1388">
        <v>1</v>
      </c>
      <c r="E1388" t="s">
        <v>54</v>
      </c>
      <c r="F1388" t="s">
        <v>67</v>
      </c>
      <c r="G1388" t="s">
        <v>40</v>
      </c>
      <c r="H1388" s="3">
        <v>27880.335258837069</v>
      </c>
      <c r="I1388">
        <v>5</v>
      </c>
      <c r="J1388" s="3">
        <v>19088.932543250929</v>
      </c>
      <c r="K1388" s="3">
        <v>8791.4027155861404</v>
      </c>
    </row>
    <row r="1389" spans="1:11" x14ac:dyDescent="0.3">
      <c r="A1389" t="s">
        <v>1465</v>
      </c>
      <c r="B1389" s="2">
        <v>45292</v>
      </c>
      <c r="C1389">
        <v>2024</v>
      </c>
      <c r="D1389">
        <v>1</v>
      </c>
      <c r="E1389" t="s">
        <v>54</v>
      </c>
      <c r="F1389" t="s">
        <v>48</v>
      </c>
      <c r="G1389" t="s">
        <v>40</v>
      </c>
      <c r="H1389" s="3">
        <v>51179.929080667796</v>
      </c>
      <c r="I1389">
        <v>9</v>
      </c>
      <c r="J1389" s="3">
        <v>35578.479713055684</v>
      </c>
      <c r="K1389" s="3">
        <v>15601.44936761212</v>
      </c>
    </row>
    <row r="1390" spans="1:11" x14ac:dyDescent="0.3">
      <c r="A1390" t="s">
        <v>1466</v>
      </c>
      <c r="B1390" s="2">
        <v>45292</v>
      </c>
      <c r="C1390">
        <v>2024</v>
      </c>
      <c r="D1390">
        <v>1</v>
      </c>
      <c r="E1390" t="s">
        <v>58</v>
      </c>
      <c r="F1390" t="s">
        <v>67</v>
      </c>
      <c r="G1390" t="s">
        <v>40</v>
      </c>
      <c r="H1390" s="3">
        <v>17739.857923299049</v>
      </c>
      <c r="I1390">
        <v>3</v>
      </c>
      <c r="J1390" s="3">
        <v>12372.746310857779</v>
      </c>
      <c r="K1390" s="3">
        <v>5367.1116124412711</v>
      </c>
    </row>
    <row r="1391" spans="1:11" x14ac:dyDescent="0.3">
      <c r="A1391" t="s">
        <v>1467</v>
      </c>
      <c r="B1391" s="2">
        <v>45292</v>
      </c>
      <c r="C1391">
        <v>2024</v>
      </c>
      <c r="D1391">
        <v>1</v>
      </c>
      <c r="E1391" t="s">
        <v>58</v>
      </c>
      <c r="F1391" t="s">
        <v>48</v>
      </c>
      <c r="G1391" t="s">
        <v>40</v>
      </c>
      <c r="H1391" s="3">
        <v>34809.270935282737</v>
      </c>
      <c r="I1391">
        <v>6</v>
      </c>
      <c r="J1391" s="3">
        <v>24432.54080762422</v>
      </c>
      <c r="K1391" s="3">
        <v>10376.73012765852</v>
      </c>
    </row>
    <row r="1392" spans="1:11" x14ac:dyDescent="0.3">
      <c r="A1392" t="s">
        <v>1468</v>
      </c>
      <c r="B1392" s="2">
        <v>45292</v>
      </c>
      <c r="C1392">
        <v>2024</v>
      </c>
      <c r="D1392">
        <v>1</v>
      </c>
      <c r="E1392" t="s">
        <v>62</v>
      </c>
      <c r="F1392" t="s">
        <v>67</v>
      </c>
      <c r="G1392" t="s">
        <v>40</v>
      </c>
      <c r="H1392" s="3">
        <v>13371.773958399661</v>
      </c>
      <c r="I1392">
        <v>2</v>
      </c>
      <c r="J1392" s="3">
        <v>9526.7270113457053</v>
      </c>
      <c r="K1392" s="3">
        <v>3845.046947053956</v>
      </c>
    </row>
    <row r="1393" spans="1:11" x14ac:dyDescent="0.3">
      <c r="A1393" t="s">
        <v>1469</v>
      </c>
      <c r="B1393" s="2">
        <v>45292</v>
      </c>
      <c r="C1393">
        <v>2024</v>
      </c>
      <c r="D1393">
        <v>1</v>
      </c>
      <c r="E1393" t="s">
        <v>62</v>
      </c>
      <c r="F1393" t="s">
        <v>48</v>
      </c>
      <c r="G1393" t="s">
        <v>40</v>
      </c>
      <c r="H1393" s="3">
        <v>26673.319056747881</v>
      </c>
      <c r="I1393">
        <v>5</v>
      </c>
      <c r="J1393" s="3">
        <v>18572.27138474906</v>
      </c>
      <c r="K1393" s="3">
        <v>8101.0476719988264</v>
      </c>
    </row>
    <row r="1394" spans="1:11" x14ac:dyDescent="0.3">
      <c r="A1394" t="s">
        <v>1470</v>
      </c>
      <c r="B1394" s="2">
        <v>45292</v>
      </c>
      <c r="C1394">
        <v>2024</v>
      </c>
      <c r="D1394">
        <v>1</v>
      </c>
      <c r="E1394" t="s">
        <v>50</v>
      </c>
      <c r="F1394" t="s">
        <v>67</v>
      </c>
      <c r="G1394" t="s">
        <v>43</v>
      </c>
      <c r="H1394" s="3">
        <v>71016.670175258012</v>
      </c>
      <c r="I1394">
        <v>20</v>
      </c>
      <c r="J1394" s="3">
        <v>41103.380102810763</v>
      </c>
      <c r="K1394" s="3">
        <v>29913.29007244726</v>
      </c>
    </row>
    <row r="1395" spans="1:11" x14ac:dyDescent="0.3">
      <c r="A1395" t="s">
        <v>1471</v>
      </c>
      <c r="B1395" s="2">
        <v>45292</v>
      </c>
      <c r="C1395">
        <v>2024</v>
      </c>
      <c r="D1395">
        <v>1</v>
      </c>
      <c r="E1395" t="s">
        <v>50</v>
      </c>
      <c r="F1395" t="s">
        <v>48</v>
      </c>
      <c r="G1395" t="s">
        <v>43</v>
      </c>
      <c r="H1395" s="3">
        <v>124320.71868721111</v>
      </c>
      <c r="I1395">
        <v>36</v>
      </c>
      <c r="J1395" s="3">
        <v>73009.982965648029</v>
      </c>
      <c r="K1395" s="3">
        <v>51310.735721563033</v>
      </c>
    </row>
    <row r="1396" spans="1:11" x14ac:dyDescent="0.3">
      <c r="A1396" t="s">
        <v>1472</v>
      </c>
      <c r="B1396" s="2">
        <v>45292</v>
      </c>
      <c r="C1396">
        <v>2024</v>
      </c>
      <c r="D1396">
        <v>1</v>
      </c>
      <c r="E1396" t="s">
        <v>54</v>
      </c>
      <c r="F1396" t="s">
        <v>67</v>
      </c>
      <c r="G1396" t="s">
        <v>43</v>
      </c>
      <c r="H1396" s="3">
        <v>47605.913843662973</v>
      </c>
      <c r="I1396">
        <v>14</v>
      </c>
      <c r="J1396" s="3">
        <v>28243.121459473608</v>
      </c>
      <c r="K1396" s="3">
        <v>19362.79238418935</v>
      </c>
    </row>
    <row r="1397" spans="1:11" x14ac:dyDescent="0.3">
      <c r="A1397" t="s">
        <v>1473</v>
      </c>
      <c r="B1397" s="2">
        <v>45292</v>
      </c>
      <c r="C1397">
        <v>2024</v>
      </c>
      <c r="D1397">
        <v>1</v>
      </c>
      <c r="E1397" t="s">
        <v>54</v>
      </c>
      <c r="F1397" t="s">
        <v>48</v>
      </c>
      <c r="G1397" t="s">
        <v>43</v>
      </c>
      <c r="H1397" s="3">
        <v>94563.235212420244</v>
      </c>
      <c r="I1397">
        <v>27</v>
      </c>
      <c r="J1397" s="3">
        <v>57869.348681975564</v>
      </c>
      <c r="K1397" s="3">
        <v>36693.886530444688</v>
      </c>
    </row>
    <row r="1398" spans="1:11" x14ac:dyDescent="0.3">
      <c r="A1398" t="s">
        <v>1474</v>
      </c>
      <c r="B1398" s="2">
        <v>45292</v>
      </c>
      <c r="C1398">
        <v>2024</v>
      </c>
      <c r="D1398">
        <v>1</v>
      </c>
      <c r="E1398" t="s">
        <v>58</v>
      </c>
      <c r="F1398" t="s">
        <v>67</v>
      </c>
      <c r="G1398" t="s">
        <v>43</v>
      </c>
      <c r="H1398" s="3">
        <v>41591.651262497457</v>
      </c>
      <c r="I1398">
        <v>12</v>
      </c>
      <c r="J1398" s="3">
        <v>23921.658901404498</v>
      </c>
      <c r="K1398" s="3">
        <v>17669.992361092962</v>
      </c>
    </row>
    <row r="1399" spans="1:11" x14ac:dyDescent="0.3">
      <c r="A1399" t="s">
        <v>1475</v>
      </c>
      <c r="B1399" s="2">
        <v>45292</v>
      </c>
      <c r="C1399">
        <v>2024</v>
      </c>
      <c r="D1399">
        <v>1</v>
      </c>
      <c r="E1399" t="s">
        <v>58</v>
      </c>
      <c r="F1399" t="s">
        <v>48</v>
      </c>
      <c r="G1399" t="s">
        <v>43</v>
      </c>
      <c r="H1399" s="3">
        <v>67612.218069276176</v>
      </c>
      <c r="I1399">
        <v>19</v>
      </c>
      <c r="J1399" s="3">
        <v>40754.708806283801</v>
      </c>
      <c r="K1399" s="3">
        <v>26857.509262992371</v>
      </c>
    </row>
    <row r="1400" spans="1:11" x14ac:dyDescent="0.3">
      <c r="A1400" t="s">
        <v>1476</v>
      </c>
      <c r="B1400" s="2">
        <v>45292</v>
      </c>
      <c r="C1400">
        <v>2024</v>
      </c>
      <c r="D1400">
        <v>1</v>
      </c>
      <c r="E1400" t="s">
        <v>62</v>
      </c>
      <c r="F1400" t="s">
        <v>67</v>
      </c>
      <c r="G1400" t="s">
        <v>43</v>
      </c>
      <c r="H1400" s="3">
        <v>27202.358071703518</v>
      </c>
      <c r="I1400">
        <v>8</v>
      </c>
      <c r="J1400" s="3">
        <v>16101.366552295191</v>
      </c>
      <c r="K1400" s="3">
        <v>11100.991519408341</v>
      </c>
    </row>
    <row r="1401" spans="1:11" x14ac:dyDescent="0.3">
      <c r="A1401" t="s">
        <v>1477</v>
      </c>
      <c r="B1401" s="2">
        <v>45292</v>
      </c>
      <c r="C1401">
        <v>2024</v>
      </c>
      <c r="D1401">
        <v>1</v>
      </c>
      <c r="E1401" t="s">
        <v>62</v>
      </c>
      <c r="F1401" t="s">
        <v>48</v>
      </c>
      <c r="G1401" t="s">
        <v>43</v>
      </c>
      <c r="H1401" s="3">
        <v>53021.664610442313</v>
      </c>
      <c r="I1401">
        <v>15</v>
      </c>
      <c r="J1401" s="3">
        <v>31754.556181730601</v>
      </c>
      <c r="K1401" s="3">
        <v>21267.108428711708</v>
      </c>
    </row>
    <row r="1402" spans="1:11" x14ac:dyDescent="0.3">
      <c r="A1402" t="s">
        <v>1478</v>
      </c>
      <c r="B1402" s="2">
        <v>45323</v>
      </c>
      <c r="C1402">
        <v>2024</v>
      </c>
      <c r="D1402">
        <v>2</v>
      </c>
      <c r="E1402" t="s">
        <v>50</v>
      </c>
      <c r="F1402" t="s">
        <v>67</v>
      </c>
      <c r="G1402" t="s">
        <v>19</v>
      </c>
      <c r="H1402" s="3">
        <v>62385.884861959254</v>
      </c>
      <c r="I1402">
        <v>12</v>
      </c>
      <c r="J1402" s="3">
        <v>38608.237192376611</v>
      </c>
      <c r="K1402" s="3">
        <v>23777.647669582631</v>
      </c>
    </row>
    <row r="1403" spans="1:11" x14ac:dyDescent="0.3">
      <c r="A1403" t="s">
        <v>1479</v>
      </c>
      <c r="B1403" s="2">
        <v>45323</v>
      </c>
      <c r="C1403">
        <v>2024</v>
      </c>
      <c r="D1403">
        <v>2</v>
      </c>
      <c r="E1403" t="s">
        <v>50</v>
      </c>
      <c r="F1403" t="s">
        <v>48</v>
      </c>
      <c r="G1403" t="s">
        <v>19</v>
      </c>
      <c r="H1403" s="3">
        <v>122181.12084295601</v>
      </c>
      <c r="I1403">
        <v>23</v>
      </c>
      <c r="J1403" s="3">
        <v>74603.603231736735</v>
      </c>
      <c r="K1403" s="3">
        <v>47577.5176112193</v>
      </c>
    </row>
    <row r="1404" spans="1:11" x14ac:dyDescent="0.3">
      <c r="A1404" t="s">
        <v>1480</v>
      </c>
      <c r="B1404" s="2">
        <v>45323</v>
      </c>
      <c r="C1404">
        <v>2024</v>
      </c>
      <c r="D1404">
        <v>2</v>
      </c>
      <c r="E1404" t="s">
        <v>54</v>
      </c>
      <c r="F1404" t="s">
        <v>67</v>
      </c>
      <c r="G1404" t="s">
        <v>19</v>
      </c>
      <c r="H1404" s="3">
        <v>50203.26944304465</v>
      </c>
      <c r="I1404">
        <v>10</v>
      </c>
      <c r="J1404" s="3">
        <v>31546.717410720619</v>
      </c>
      <c r="K1404" s="3">
        <v>18656.552032324031</v>
      </c>
    </row>
    <row r="1405" spans="1:11" x14ac:dyDescent="0.3">
      <c r="A1405" t="s">
        <v>1481</v>
      </c>
      <c r="B1405" s="2">
        <v>45323</v>
      </c>
      <c r="C1405">
        <v>2024</v>
      </c>
      <c r="D1405">
        <v>2</v>
      </c>
      <c r="E1405" t="s">
        <v>54</v>
      </c>
      <c r="F1405" t="s">
        <v>48</v>
      </c>
      <c r="G1405" t="s">
        <v>19</v>
      </c>
      <c r="H1405" s="3">
        <v>99344.716388542351</v>
      </c>
      <c r="I1405">
        <v>19</v>
      </c>
      <c r="J1405" s="3">
        <v>62319.28335588202</v>
      </c>
      <c r="K1405" s="3">
        <v>37025.43303266033</v>
      </c>
    </row>
    <row r="1406" spans="1:11" x14ac:dyDescent="0.3">
      <c r="A1406" t="s">
        <v>1482</v>
      </c>
      <c r="B1406" s="2">
        <v>45323</v>
      </c>
      <c r="C1406">
        <v>2024</v>
      </c>
      <c r="D1406">
        <v>2</v>
      </c>
      <c r="E1406" t="s">
        <v>58</v>
      </c>
      <c r="F1406" t="s">
        <v>67</v>
      </c>
      <c r="G1406" t="s">
        <v>19</v>
      </c>
      <c r="H1406" s="3">
        <v>39443.458932411013</v>
      </c>
      <c r="I1406">
        <v>8</v>
      </c>
      <c r="J1406" s="3">
        <v>24882.833323425439</v>
      </c>
      <c r="K1406" s="3">
        <v>14560.62560898558</v>
      </c>
    </row>
    <row r="1407" spans="1:11" x14ac:dyDescent="0.3">
      <c r="A1407" t="s">
        <v>1483</v>
      </c>
      <c r="B1407" s="2">
        <v>45323</v>
      </c>
      <c r="C1407">
        <v>2024</v>
      </c>
      <c r="D1407">
        <v>2</v>
      </c>
      <c r="E1407" t="s">
        <v>58</v>
      </c>
      <c r="F1407" t="s">
        <v>48</v>
      </c>
      <c r="G1407" t="s">
        <v>19</v>
      </c>
      <c r="H1407" s="3">
        <v>65916.052504755775</v>
      </c>
      <c r="I1407">
        <v>13</v>
      </c>
      <c r="J1407" s="3">
        <v>40858.165355215591</v>
      </c>
      <c r="K1407" s="3">
        <v>25057.88714954018</v>
      </c>
    </row>
    <row r="1408" spans="1:11" x14ac:dyDescent="0.3">
      <c r="A1408" t="s">
        <v>1484</v>
      </c>
      <c r="B1408" s="2">
        <v>45323</v>
      </c>
      <c r="C1408">
        <v>2024</v>
      </c>
      <c r="D1408">
        <v>2</v>
      </c>
      <c r="E1408" t="s">
        <v>62</v>
      </c>
      <c r="F1408" t="s">
        <v>67</v>
      </c>
      <c r="G1408" t="s">
        <v>19</v>
      </c>
      <c r="H1408" s="3">
        <v>27548.83405288983</v>
      </c>
      <c r="I1408">
        <v>5</v>
      </c>
      <c r="J1408" s="3">
        <v>16895.86483801185</v>
      </c>
      <c r="K1408" s="3">
        <v>10652.96921487799</v>
      </c>
    </row>
    <row r="1409" spans="1:11" x14ac:dyDescent="0.3">
      <c r="A1409" t="s">
        <v>1485</v>
      </c>
      <c r="B1409" s="2">
        <v>45323</v>
      </c>
      <c r="C1409">
        <v>2024</v>
      </c>
      <c r="D1409">
        <v>2</v>
      </c>
      <c r="E1409" t="s">
        <v>62</v>
      </c>
      <c r="F1409" t="s">
        <v>48</v>
      </c>
      <c r="G1409" t="s">
        <v>19</v>
      </c>
      <c r="H1409" s="3">
        <v>52022.698450948221</v>
      </c>
      <c r="I1409">
        <v>10</v>
      </c>
      <c r="J1409" s="3">
        <v>31349.082906956039</v>
      </c>
      <c r="K1409" s="3">
        <v>20673.615543992179</v>
      </c>
    </row>
    <row r="1410" spans="1:11" x14ac:dyDescent="0.3">
      <c r="A1410" t="s">
        <v>1486</v>
      </c>
      <c r="B1410" s="2">
        <v>45323</v>
      </c>
      <c r="C1410">
        <v>2024</v>
      </c>
      <c r="D1410">
        <v>2</v>
      </c>
      <c r="E1410" t="s">
        <v>50</v>
      </c>
      <c r="F1410" t="s">
        <v>67</v>
      </c>
      <c r="G1410" t="s">
        <v>24</v>
      </c>
      <c r="H1410" s="3">
        <v>65686.479782302195</v>
      </c>
      <c r="I1410">
        <v>11</v>
      </c>
      <c r="J1410" s="3">
        <v>43992.478994187608</v>
      </c>
      <c r="K1410" s="3">
        <v>21694.00078811459</v>
      </c>
    </row>
    <row r="1411" spans="1:11" x14ac:dyDescent="0.3">
      <c r="A1411" t="s">
        <v>1487</v>
      </c>
      <c r="B1411" s="2">
        <v>45323</v>
      </c>
      <c r="C1411">
        <v>2024</v>
      </c>
      <c r="D1411">
        <v>2</v>
      </c>
      <c r="E1411" t="s">
        <v>50</v>
      </c>
      <c r="F1411" t="s">
        <v>48</v>
      </c>
      <c r="G1411" t="s">
        <v>24</v>
      </c>
      <c r="H1411" s="3">
        <v>115145.1407895181</v>
      </c>
      <c r="I1411">
        <v>19</v>
      </c>
      <c r="J1411" s="3">
        <v>76575.641633008185</v>
      </c>
      <c r="K1411" s="3">
        <v>38569.49915650989</v>
      </c>
    </row>
    <row r="1412" spans="1:11" x14ac:dyDescent="0.3">
      <c r="A1412" t="s">
        <v>1488</v>
      </c>
      <c r="B1412" s="2">
        <v>45323</v>
      </c>
      <c r="C1412">
        <v>2024</v>
      </c>
      <c r="D1412">
        <v>2</v>
      </c>
      <c r="E1412" t="s">
        <v>54</v>
      </c>
      <c r="F1412" t="s">
        <v>67</v>
      </c>
      <c r="G1412" t="s">
        <v>24</v>
      </c>
      <c r="H1412" s="3">
        <v>53372.383315257262</v>
      </c>
      <c r="I1412">
        <v>9</v>
      </c>
      <c r="J1412" s="3">
        <v>34613.405072010239</v>
      </c>
      <c r="K1412" s="3">
        <v>18758.97824324702</v>
      </c>
    </row>
    <row r="1413" spans="1:11" x14ac:dyDescent="0.3">
      <c r="A1413" t="s">
        <v>1489</v>
      </c>
      <c r="B1413" s="2">
        <v>45323</v>
      </c>
      <c r="C1413">
        <v>2024</v>
      </c>
      <c r="D1413">
        <v>2</v>
      </c>
      <c r="E1413" t="s">
        <v>54</v>
      </c>
      <c r="F1413" t="s">
        <v>48</v>
      </c>
      <c r="G1413" t="s">
        <v>24</v>
      </c>
      <c r="H1413" s="3">
        <v>100308.8421983865</v>
      </c>
      <c r="I1413">
        <v>16</v>
      </c>
      <c r="J1413" s="3">
        <v>65562.034275844897</v>
      </c>
      <c r="K1413" s="3">
        <v>34746.807922541593</v>
      </c>
    </row>
    <row r="1414" spans="1:11" x14ac:dyDescent="0.3">
      <c r="A1414" t="s">
        <v>1490</v>
      </c>
      <c r="B1414" s="2">
        <v>45323</v>
      </c>
      <c r="C1414">
        <v>2024</v>
      </c>
      <c r="D1414">
        <v>2</v>
      </c>
      <c r="E1414" t="s">
        <v>58</v>
      </c>
      <c r="F1414" t="s">
        <v>67</v>
      </c>
      <c r="G1414" t="s">
        <v>24</v>
      </c>
      <c r="H1414" s="3">
        <v>41883.354785142888</v>
      </c>
      <c r="I1414">
        <v>7</v>
      </c>
      <c r="J1414" s="3">
        <v>27410.76699014406</v>
      </c>
      <c r="K1414" s="3">
        <v>14472.587794998821</v>
      </c>
    </row>
    <row r="1415" spans="1:11" x14ac:dyDescent="0.3">
      <c r="A1415" t="s">
        <v>1491</v>
      </c>
      <c r="B1415" s="2">
        <v>45323</v>
      </c>
      <c r="C1415">
        <v>2024</v>
      </c>
      <c r="D1415">
        <v>2</v>
      </c>
      <c r="E1415" t="s">
        <v>58</v>
      </c>
      <c r="F1415" t="s">
        <v>48</v>
      </c>
      <c r="G1415" t="s">
        <v>24</v>
      </c>
      <c r="H1415" s="3">
        <v>76270.566277313133</v>
      </c>
      <c r="I1415">
        <v>13</v>
      </c>
      <c r="J1415" s="3">
        <v>48994.84996162272</v>
      </c>
      <c r="K1415" s="3">
        <v>27275.71631569041</v>
      </c>
    </row>
    <row r="1416" spans="1:11" x14ac:dyDescent="0.3">
      <c r="A1416" t="s">
        <v>1492</v>
      </c>
      <c r="B1416" s="2">
        <v>45323</v>
      </c>
      <c r="C1416">
        <v>2024</v>
      </c>
      <c r="D1416">
        <v>2</v>
      </c>
      <c r="E1416" t="s">
        <v>62</v>
      </c>
      <c r="F1416" t="s">
        <v>67</v>
      </c>
      <c r="G1416" t="s">
        <v>24</v>
      </c>
      <c r="H1416" s="3">
        <v>26667.196823271239</v>
      </c>
      <c r="I1416">
        <v>4</v>
      </c>
      <c r="J1416" s="3">
        <v>17341.3029701378</v>
      </c>
      <c r="K1416" s="3">
        <v>9325.8938531334388</v>
      </c>
    </row>
    <row r="1417" spans="1:11" x14ac:dyDescent="0.3">
      <c r="A1417" t="s">
        <v>1493</v>
      </c>
      <c r="B1417" s="2">
        <v>45323</v>
      </c>
      <c r="C1417">
        <v>2024</v>
      </c>
      <c r="D1417">
        <v>2</v>
      </c>
      <c r="E1417" t="s">
        <v>62</v>
      </c>
      <c r="F1417" t="s">
        <v>48</v>
      </c>
      <c r="G1417" t="s">
        <v>24</v>
      </c>
      <c r="H1417" s="3">
        <v>50942.922554902427</v>
      </c>
      <c r="I1417">
        <v>8</v>
      </c>
      <c r="J1417" s="3">
        <v>32936.132577396267</v>
      </c>
      <c r="K1417" s="3">
        <v>18006.789977506171</v>
      </c>
    </row>
    <row r="1418" spans="1:11" x14ac:dyDescent="0.3">
      <c r="A1418" t="s">
        <v>1494</v>
      </c>
      <c r="B1418" s="2">
        <v>45323</v>
      </c>
      <c r="C1418">
        <v>2024</v>
      </c>
      <c r="D1418">
        <v>2</v>
      </c>
      <c r="E1418" t="s">
        <v>50</v>
      </c>
      <c r="F1418" t="s">
        <v>67</v>
      </c>
      <c r="G1418" t="s">
        <v>29</v>
      </c>
      <c r="H1418" s="3">
        <v>44722.784841114357</v>
      </c>
      <c r="I1418">
        <v>10</v>
      </c>
      <c r="J1418" s="3">
        <v>28410.070437959581</v>
      </c>
      <c r="K1418" s="3">
        <v>16312.71440315478</v>
      </c>
    </row>
    <row r="1419" spans="1:11" x14ac:dyDescent="0.3">
      <c r="A1419" t="s">
        <v>1495</v>
      </c>
      <c r="B1419" s="2">
        <v>45323</v>
      </c>
      <c r="C1419">
        <v>2024</v>
      </c>
      <c r="D1419">
        <v>2</v>
      </c>
      <c r="E1419" t="s">
        <v>50</v>
      </c>
      <c r="F1419" t="s">
        <v>48</v>
      </c>
      <c r="G1419" t="s">
        <v>29</v>
      </c>
      <c r="H1419" s="3">
        <v>91450.380335404989</v>
      </c>
      <c r="I1419">
        <v>21</v>
      </c>
      <c r="J1419" s="3">
        <v>57750.019408802611</v>
      </c>
      <c r="K1419" s="3">
        <v>33700.360926602378</v>
      </c>
    </row>
    <row r="1420" spans="1:11" x14ac:dyDescent="0.3">
      <c r="A1420" t="s">
        <v>1496</v>
      </c>
      <c r="B1420" s="2">
        <v>45323</v>
      </c>
      <c r="C1420">
        <v>2024</v>
      </c>
      <c r="D1420">
        <v>2</v>
      </c>
      <c r="E1420" t="s">
        <v>54</v>
      </c>
      <c r="F1420" t="s">
        <v>67</v>
      </c>
      <c r="G1420" t="s">
        <v>29</v>
      </c>
      <c r="H1420" s="3">
        <v>38341.738134787149</v>
      </c>
      <c r="I1420">
        <v>9</v>
      </c>
      <c r="J1420" s="3">
        <v>23820.069501202721</v>
      </c>
      <c r="K1420" s="3">
        <v>14521.668633584421</v>
      </c>
    </row>
    <row r="1421" spans="1:11" x14ac:dyDescent="0.3">
      <c r="A1421" t="s">
        <v>1497</v>
      </c>
      <c r="B1421" s="2">
        <v>45323</v>
      </c>
      <c r="C1421">
        <v>2024</v>
      </c>
      <c r="D1421">
        <v>2</v>
      </c>
      <c r="E1421" t="s">
        <v>54</v>
      </c>
      <c r="F1421" t="s">
        <v>48</v>
      </c>
      <c r="G1421" t="s">
        <v>29</v>
      </c>
      <c r="H1421" s="3">
        <v>74435.430752131564</v>
      </c>
      <c r="I1421">
        <v>17</v>
      </c>
      <c r="J1421" s="3">
        <v>49373.039041911317</v>
      </c>
      <c r="K1421" s="3">
        <v>25062.39171022025</v>
      </c>
    </row>
    <row r="1422" spans="1:11" x14ac:dyDescent="0.3">
      <c r="A1422" t="s">
        <v>1498</v>
      </c>
      <c r="B1422" s="2">
        <v>45323</v>
      </c>
      <c r="C1422">
        <v>2024</v>
      </c>
      <c r="D1422">
        <v>2</v>
      </c>
      <c r="E1422" t="s">
        <v>58</v>
      </c>
      <c r="F1422" t="s">
        <v>67</v>
      </c>
      <c r="G1422" t="s">
        <v>29</v>
      </c>
      <c r="H1422" s="3">
        <v>29403.565746199929</v>
      </c>
      <c r="I1422">
        <v>7</v>
      </c>
      <c r="J1422" s="3">
        <v>19242.554043790678</v>
      </c>
      <c r="K1422" s="3">
        <v>10161.011702409251</v>
      </c>
    </row>
    <row r="1423" spans="1:11" x14ac:dyDescent="0.3">
      <c r="A1423" t="s">
        <v>1499</v>
      </c>
      <c r="B1423" s="2">
        <v>45323</v>
      </c>
      <c r="C1423">
        <v>2024</v>
      </c>
      <c r="D1423">
        <v>2</v>
      </c>
      <c r="E1423" t="s">
        <v>58</v>
      </c>
      <c r="F1423" t="s">
        <v>48</v>
      </c>
      <c r="G1423" t="s">
        <v>29</v>
      </c>
      <c r="H1423" s="3">
        <v>50890.011139866721</v>
      </c>
      <c r="I1423">
        <v>12</v>
      </c>
      <c r="J1423" s="3">
        <v>32112.904712421681</v>
      </c>
      <c r="K1423" s="3">
        <v>18777.10642744504</v>
      </c>
    </row>
    <row r="1424" spans="1:11" x14ac:dyDescent="0.3">
      <c r="A1424" t="s">
        <v>1500</v>
      </c>
      <c r="B1424" s="2">
        <v>45323</v>
      </c>
      <c r="C1424">
        <v>2024</v>
      </c>
      <c r="D1424">
        <v>2</v>
      </c>
      <c r="E1424" t="s">
        <v>62</v>
      </c>
      <c r="F1424" t="s">
        <v>67</v>
      </c>
      <c r="G1424" t="s">
        <v>29</v>
      </c>
      <c r="H1424" s="3">
        <v>20539.428514162999</v>
      </c>
      <c r="I1424">
        <v>5</v>
      </c>
      <c r="J1424" s="3">
        <v>13209.693024386759</v>
      </c>
      <c r="K1424" s="3">
        <v>7329.735489776238</v>
      </c>
    </row>
    <row r="1425" spans="1:11" x14ac:dyDescent="0.3">
      <c r="A1425" t="s">
        <v>1501</v>
      </c>
      <c r="B1425" s="2">
        <v>45323</v>
      </c>
      <c r="C1425">
        <v>2024</v>
      </c>
      <c r="D1425">
        <v>2</v>
      </c>
      <c r="E1425" t="s">
        <v>62</v>
      </c>
      <c r="F1425" t="s">
        <v>48</v>
      </c>
      <c r="G1425" t="s">
        <v>29</v>
      </c>
      <c r="H1425" s="3">
        <v>35090.529264159908</v>
      </c>
      <c r="I1425">
        <v>8</v>
      </c>
      <c r="J1425" s="3">
        <v>22626.696026419471</v>
      </c>
      <c r="K1425" s="3">
        <v>12463.83323774044</v>
      </c>
    </row>
    <row r="1426" spans="1:11" x14ac:dyDescent="0.3">
      <c r="A1426" t="s">
        <v>1502</v>
      </c>
      <c r="B1426" s="2">
        <v>45323</v>
      </c>
      <c r="C1426">
        <v>2024</v>
      </c>
      <c r="D1426">
        <v>2</v>
      </c>
      <c r="E1426" t="s">
        <v>50</v>
      </c>
      <c r="F1426" t="s">
        <v>67</v>
      </c>
      <c r="G1426" t="s">
        <v>34</v>
      </c>
      <c r="H1426" s="3">
        <v>44856.382458421511</v>
      </c>
      <c r="I1426">
        <v>53</v>
      </c>
      <c r="J1426" s="3">
        <v>21992.679794873831</v>
      </c>
      <c r="K1426" s="3">
        <v>22863.70266354768</v>
      </c>
    </row>
    <row r="1427" spans="1:11" x14ac:dyDescent="0.3">
      <c r="A1427" t="s">
        <v>1503</v>
      </c>
      <c r="B1427" s="2">
        <v>45323</v>
      </c>
      <c r="C1427">
        <v>2024</v>
      </c>
      <c r="D1427">
        <v>2</v>
      </c>
      <c r="E1427" t="s">
        <v>50</v>
      </c>
      <c r="F1427" t="s">
        <v>48</v>
      </c>
      <c r="G1427" t="s">
        <v>34</v>
      </c>
      <c r="H1427" s="3">
        <v>80696.44279264436</v>
      </c>
      <c r="I1427">
        <v>95</v>
      </c>
      <c r="J1427" s="3">
        <v>38163.546982069791</v>
      </c>
      <c r="K1427" s="3">
        <v>42532.89581057457</v>
      </c>
    </row>
    <row r="1428" spans="1:11" x14ac:dyDescent="0.3">
      <c r="A1428" t="s">
        <v>1504</v>
      </c>
      <c r="B1428" s="2">
        <v>45323</v>
      </c>
      <c r="C1428">
        <v>2024</v>
      </c>
      <c r="D1428">
        <v>2</v>
      </c>
      <c r="E1428" t="s">
        <v>54</v>
      </c>
      <c r="F1428" t="s">
        <v>67</v>
      </c>
      <c r="G1428" t="s">
        <v>34</v>
      </c>
      <c r="H1428" s="3">
        <v>32434.826741302841</v>
      </c>
      <c r="I1428">
        <v>38</v>
      </c>
      <c r="J1428" s="3">
        <v>15874.76545876288</v>
      </c>
      <c r="K1428" s="3">
        <v>16560.061282539958</v>
      </c>
    </row>
    <row r="1429" spans="1:11" x14ac:dyDescent="0.3">
      <c r="A1429" t="s">
        <v>1505</v>
      </c>
      <c r="B1429" s="2">
        <v>45323</v>
      </c>
      <c r="C1429">
        <v>2024</v>
      </c>
      <c r="D1429">
        <v>2</v>
      </c>
      <c r="E1429" t="s">
        <v>54</v>
      </c>
      <c r="F1429" t="s">
        <v>48</v>
      </c>
      <c r="G1429" t="s">
        <v>34</v>
      </c>
      <c r="H1429" s="3">
        <v>62864.530463084338</v>
      </c>
      <c r="I1429">
        <v>74</v>
      </c>
      <c r="J1429" s="3">
        <v>29877.380106583059</v>
      </c>
      <c r="K1429" s="3">
        <v>32987.150356501283</v>
      </c>
    </row>
    <row r="1430" spans="1:11" x14ac:dyDescent="0.3">
      <c r="A1430" t="s">
        <v>1506</v>
      </c>
      <c r="B1430" s="2">
        <v>45323</v>
      </c>
      <c r="C1430">
        <v>2024</v>
      </c>
      <c r="D1430">
        <v>2</v>
      </c>
      <c r="E1430" t="s">
        <v>58</v>
      </c>
      <c r="F1430" t="s">
        <v>67</v>
      </c>
      <c r="G1430" t="s">
        <v>34</v>
      </c>
      <c r="H1430" s="3">
        <v>24207.68444029965</v>
      </c>
      <c r="I1430">
        <v>28</v>
      </c>
      <c r="J1430" s="3">
        <v>11340.28704031475</v>
      </c>
      <c r="K1430" s="3">
        <v>12867.3973999849</v>
      </c>
    </row>
    <row r="1431" spans="1:11" x14ac:dyDescent="0.3">
      <c r="A1431" t="s">
        <v>1507</v>
      </c>
      <c r="B1431" s="2">
        <v>45323</v>
      </c>
      <c r="C1431">
        <v>2024</v>
      </c>
      <c r="D1431">
        <v>2</v>
      </c>
      <c r="E1431" t="s">
        <v>58</v>
      </c>
      <c r="F1431" t="s">
        <v>48</v>
      </c>
      <c r="G1431" t="s">
        <v>34</v>
      </c>
      <c r="H1431" s="3">
        <v>45963.916286459993</v>
      </c>
      <c r="I1431">
        <v>54</v>
      </c>
      <c r="J1431" s="3">
        <v>22350.254892442241</v>
      </c>
      <c r="K1431" s="3">
        <v>23613.661394017749</v>
      </c>
    </row>
    <row r="1432" spans="1:11" x14ac:dyDescent="0.3">
      <c r="A1432" t="s">
        <v>1508</v>
      </c>
      <c r="B1432" s="2">
        <v>45323</v>
      </c>
      <c r="C1432">
        <v>2024</v>
      </c>
      <c r="D1432">
        <v>2</v>
      </c>
      <c r="E1432" t="s">
        <v>62</v>
      </c>
      <c r="F1432" t="s">
        <v>67</v>
      </c>
      <c r="G1432" t="s">
        <v>34</v>
      </c>
      <c r="H1432" s="3">
        <v>16810.467508780581</v>
      </c>
      <c r="I1432">
        <v>20</v>
      </c>
      <c r="J1432" s="3">
        <v>8256.4973062500922</v>
      </c>
      <c r="K1432" s="3">
        <v>8553.9702025304923</v>
      </c>
    </row>
    <row r="1433" spans="1:11" x14ac:dyDescent="0.3">
      <c r="A1433" t="s">
        <v>1509</v>
      </c>
      <c r="B1433" s="2">
        <v>45323</v>
      </c>
      <c r="C1433">
        <v>2024</v>
      </c>
      <c r="D1433">
        <v>2</v>
      </c>
      <c r="E1433" t="s">
        <v>62</v>
      </c>
      <c r="F1433" t="s">
        <v>48</v>
      </c>
      <c r="G1433" t="s">
        <v>34</v>
      </c>
      <c r="H1433" s="3">
        <v>33269.400191061701</v>
      </c>
      <c r="I1433">
        <v>39</v>
      </c>
      <c r="J1433" s="3">
        <v>16713.20036084807</v>
      </c>
      <c r="K1433" s="3">
        <v>16556.199830213631</v>
      </c>
    </row>
    <row r="1434" spans="1:11" x14ac:dyDescent="0.3">
      <c r="A1434" t="s">
        <v>1510</v>
      </c>
      <c r="B1434" s="2">
        <v>45323</v>
      </c>
      <c r="C1434">
        <v>2024</v>
      </c>
      <c r="D1434">
        <v>2</v>
      </c>
      <c r="E1434" t="s">
        <v>50</v>
      </c>
      <c r="F1434" t="s">
        <v>67</v>
      </c>
      <c r="G1434" t="s">
        <v>37</v>
      </c>
      <c r="H1434" s="3">
        <v>36703.885822787881</v>
      </c>
      <c r="I1434">
        <v>51</v>
      </c>
      <c r="J1434" s="3">
        <v>19751.19486896235</v>
      </c>
      <c r="K1434" s="3">
        <v>16952.690953825531</v>
      </c>
    </row>
    <row r="1435" spans="1:11" x14ac:dyDescent="0.3">
      <c r="A1435" t="s">
        <v>1511</v>
      </c>
      <c r="B1435" s="2">
        <v>45323</v>
      </c>
      <c r="C1435">
        <v>2024</v>
      </c>
      <c r="D1435">
        <v>2</v>
      </c>
      <c r="E1435" t="s">
        <v>50</v>
      </c>
      <c r="F1435" t="s">
        <v>48</v>
      </c>
      <c r="G1435" t="s">
        <v>37</v>
      </c>
      <c r="H1435" s="3">
        <v>73192.263224810551</v>
      </c>
      <c r="I1435">
        <v>102</v>
      </c>
      <c r="J1435" s="3">
        <v>40762.184357923798</v>
      </c>
      <c r="K1435" s="3">
        <v>32430.07886688675</v>
      </c>
    </row>
    <row r="1436" spans="1:11" x14ac:dyDescent="0.3">
      <c r="A1436" t="s">
        <v>1512</v>
      </c>
      <c r="B1436" s="2">
        <v>45323</v>
      </c>
      <c r="C1436">
        <v>2024</v>
      </c>
      <c r="D1436">
        <v>2</v>
      </c>
      <c r="E1436" t="s">
        <v>54</v>
      </c>
      <c r="F1436" t="s">
        <v>67</v>
      </c>
      <c r="G1436" t="s">
        <v>37</v>
      </c>
      <c r="H1436" s="3">
        <v>30673.497873957102</v>
      </c>
      <c r="I1436">
        <v>43</v>
      </c>
      <c r="J1436" s="3">
        <v>16745.98045863197</v>
      </c>
      <c r="K1436" s="3">
        <v>13927.51741532513</v>
      </c>
    </row>
    <row r="1437" spans="1:11" x14ac:dyDescent="0.3">
      <c r="A1437" t="s">
        <v>1513</v>
      </c>
      <c r="B1437" s="2">
        <v>45323</v>
      </c>
      <c r="C1437">
        <v>2024</v>
      </c>
      <c r="D1437">
        <v>2</v>
      </c>
      <c r="E1437" t="s">
        <v>54</v>
      </c>
      <c r="F1437" t="s">
        <v>48</v>
      </c>
      <c r="G1437" t="s">
        <v>37</v>
      </c>
      <c r="H1437" s="3">
        <v>51963.56361423112</v>
      </c>
      <c r="I1437">
        <v>72</v>
      </c>
      <c r="J1437" s="3">
        <v>28982.95047867918</v>
      </c>
      <c r="K1437" s="3">
        <v>22980.613135551939</v>
      </c>
    </row>
    <row r="1438" spans="1:11" x14ac:dyDescent="0.3">
      <c r="A1438" t="s">
        <v>1514</v>
      </c>
      <c r="B1438" s="2">
        <v>45323</v>
      </c>
      <c r="C1438">
        <v>2024</v>
      </c>
      <c r="D1438">
        <v>2</v>
      </c>
      <c r="E1438" t="s">
        <v>58</v>
      </c>
      <c r="F1438" t="s">
        <v>67</v>
      </c>
      <c r="G1438" t="s">
        <v>37</v>
      </c>
      <c r="H1438" s="3">
        <v>20259.741599865891</v>
      </c>
      <c r="I1438">
        <v>28</v>
      </c>
      <c r="J1438" s="3">
        <v>10847.919670427091</v>
      </c>
      <c r="K1438" s="3">
        <v>9411.8219294388036</v>
      </c>
    </row>
    <row r="1439" spans="1:11" x14ac:dyDescent="0.3">
      <c r="A1439" t="s">
        <v>1515</v>
      </c>
      <c r="B1439" s="2">
        <v>45323</v>
      </c>
      <c r="C1439">
        <v>2024</v>
      </c>
      <c r="D1439">
        <v>2</v>
      </c>
      <c r="E1439" t="s">
        <v>58</v>
      </c>
      <c r="F1439" t="s">
        <v>48</v>
      </c>
      <c r="G1439" t="s">
        <v>37</v>
      </c>
      <c r="H1439" s="3">
        <v>36524.340798902776</v>
      </c>
      <c r="I1439">
        <v>51</v>
      </c>
      <c r="J1439" s="3">
        <v>19631.78128637866</v>
      </c>
      <c r="K1439" s="3">
        <v>16892.55951252412</v>
      </c>
    </row>
    <row r="1440" spans="1:11" x14ac:dyDescent="0.3">
      <c r="A1440" t="s">
        <v>1516</v>
      </c>
      <c r="B1440" s="2">
        <v>45323</v>
      </c>
      <c r="C1440">
        <v>2024</v>
      </c>
      <c r="D1440">
        <v>2</v>
      </c>
      <c r="E1440" t="s">
        <v>62</v>
      </c>
      <c r="F1440" t="s">
        <v>67</v>
      </c>
      <c r="G1440" t="s">
        <v>37</v>
      </c>
      <c r="H1440" s="3">
        <v>14655.85701153228</v>
      </c>
      <c r="I1440">
        <v>20</v>
      </c>
      <c r="J1440" s="3">
        <v>7948.147362717712</v>
      </c>
      <c r="K1440" s="3">
        <v>6707.7096488145644</v>
      </c>
    </row>
    <row r="1441" spans="1:11" x14ac:dyDescent="0.3">
      <c r="A1441" t="s">
        <v>1517</v>
      </c>
      <c r="B1441" s="2">
        <v>45323</v>
      </c>
      <c r="C1441">
        <v>2024</v>
      </c>
      <c r="D1441">
        <v>2</v>
      </c>
      <c r="E1441" t="s">
        <v>62</v>
      </c>
      <c r="F1441" t="s">
        <v>48</v>
      </c>
      <c r="G1441" t="s">
        <v>37</v>
      </c>
      <c r="H1441" s="3">
        <v>26463.237310185272</v>
      </c>
      <c r="I1441">
        <v>37</v>
      </c>
      <c r="J1441" s="3">
        <v>14575.467998968819</v>
      </c>
      <c r="K1441" s="3">
        <v>11887.769311216451</v>
      </c>
    </row>
    <row r="1442" spans="1:11" x14ac:dyDescent="0.3">
      <c r="A1442" t="s">
        <v>1518</v>
      </c>
      <c r="B1442" s="2">
        <v>45323</v>
      </c>
      <c r="C1442">
        <v>2024</v>
      </c>
      <c r="D1442">
        <v>2</v>
      </c>
      <c r="E1442" t="s">
        <v>50</v>
      </c>
      <c r="F1442" t="s">
        <v>67</v>
      </c>
      <c r="G1442" t="s">
        <v>40</v>
      </c>
      <c r="H1442" s="3">
        <v>34569.845236606088</v>
      </c>
      <c r="I1442">
        <v>6</v>
      </c>
      <c r="J1442" s="3">
        <v>23577.940177567689</v>
      </c>
      <c r="K1442" s="3">
        <v>10991.905059038399</v>
      </c>
    </row>
    <row r="1443" spans="1:11" x14ac:dyDescent="0.3">
      <c r="A1443" t="s">
        <v>1519</v>
      </c>
      <c r="B1443" s="2">
        <v>45323</v>
      </c>
      <c r="C1443">
        <v>2024</v>
      </c>
      <c r="D1443">
        <v>2</v>
      </c>
      <c r="E1443" t="s">
        <v>50</v>
      </c>
      <c r="F1443" t="s">
        <v>48</v>
      </c>
      <c r="G1443" t="s">
        <v>40</v>
      </c>
      <c r="H1443" s="3">
        <v>59418.276112169377</v>
      </c>
      <c r="I1443">
        <v>11</v>
      </c>
      <c r="J1443" s="3">
        <v>41484.976139803162</v>
      </c>
      <c r="K1443" s="3">
        <v>17933.299972366229</v>
      </c>
    </row>
    <row r="1444" spans="1:11" x14ac:dyDescent="0.3">
      <c r="A1444" t="s">
        <v>1520</v>
      </c>
      <c r="B1444" s="2">
        <v>45323</v>
      </c>
      <c r="C1444">
        <v>2024</v>
      </c>
      <c r="D1444">
        <v>2</v>
      </c>
      <c r="E1444" t="s">
        <v>54</v>
      </c>
      <c r="F1444" t="s">
        <v>67</v>
      </c>
      <c r="G1444" t="s">
        <v>40</v>
      </c>
      <c r="H1444" s="3">
        <v>28631.346772415989</v>
      </c>
      <c r="I1444">
        <v>5</v>
      </c>
      <c r="J1444" s="3">
        <v>20120.794361819779</v>
      </c>
      <c r="K1444" s="3">
        <v>8510.5524105962068</v>
      </c>
    </row>
    <row r="1445" spans="1:11" x14ac:dyDescent="0.3">
      <c r="A1445" t="s">
        <v>1521</v>
      </c>
      <c r="B1445" s="2">
        <v>45323</v>
      </c>
      <c r="C1445">
        <v>2024</v>
      </c>
      <c r="D1445">
        <v>2</v>
      </c>
      <c r="E1445" t="s">
        <v>54</v>
      </c>
      <c r="F1445" t="s">
        <v>48</v>
      </c>
      <c r="G1445" t="s">
        <v>40</v>
      </c>
      <c r="H1445" s="3">
        <v>51189.634491946112</v>
      </c>
      <c r="I1445">
        <v>9</v>
      </c>
      <c r="J1445" s="3">
        <v>35702.04436685206</v>
      </c>
      <c r="K1445" s="3">
        <v>15487.59012509405</v>
      </c>
    </row>
    <row r="1446" spans="1:11" x14ac:dyDescent="0.3">
      <c r="A1446" t="s">
        <v>1522</v>
      </c>
      <c r="B1446" s="2">
        <v>45323</v>
      </c>
      <c r="C1446">
        <v>2024</v>
      </c>
      <c r="D1446">
        <v>2</v>
      </c>
      <c r="E1446" t="s">
        <v>58</v>
      </c>
      <c r="F1446" t="s">
        <v>67</v>
      </c>
      <c r="G1446" t="s">
        <v>40</v>
      </c>
      <c r="H1446" s="3">
        <v>18016.274016840871</v>
      </c>
      <c r="I1446">
        <v>3</v>
      </c>
      <c r="J1446" s="3">
        <v>12793.452431024971</v>
      </c>
      <c r="K1446" s="3">
        <v>5222.8215858159019</v>
      </c>
    </row>
    <row r="1447" spans="1:11" x14ac:dyDescent="0.3">
      <c r="A1447" t="s">
        <v>1523</v>
      </c>
      <c r="B1447" s="2">
        <v>45323</v>
      </c>
      <c r="C1447">
        <v>2024</v>
      </c>
      <c r="D1447">
        <v>2</v>
      </c>
      <c r="E1447" t="s">
        <v>58</v>
      </c>
      <c r="F1447" t="s">
        <v>48</v>
      </c>
      <c r="G1447" t="s">
        <v>40</v>
      </c>
      <c r="H1447" s="3">
        <v>33033.511308441848</v>
      </c>
      <c r="I1447">
        <v>6</v>
      </c>
      <c r="J1447" s="3">
        <v>22963.72657656236</v>
      </c>
      <c r="K1447" s="3">
        <v>10069.784731879479</v>
      </c>
    </row>
    <row r="1448" spans="1:11" x14ac:dyDescent="0.3">
      <c r="A1448" t="s">
        <v>1524</v>
      </c>
      <c r="B1448" s="2">
        <v>45323</v>
      </c>
      <c r="C1448">
        <v>2024</v>
      </c>
      <c r="D1448">
        <v>2</v>
      </c>
      <c r="E1448" t="s">
        <v>62</v>
      </c>
      <c r="F1448" t="s">
        <v>67</v>
      </c>
      <c r="G1448" t="s">
        <v>40</v>
      </c>
      <c r="H1448" s="3">
        <v>13275.53917301376</v>
      </c>
      <c r="I1448">
        <v>2</v>
      </c>
      <c r="J1448" s="3">
        <v>8959.4774268299007</v>
      </c>
      <c r="K1448" s="3">
        <v>4316.0617461838629</v>
      </c>
    </row>
    <row r="1449" spans="1:11" x14ac:dyDescent="0.3">
      <c r="A1449" t="s">
        <v>1525</v>
      </c>
      <c r="B1449" s="2">
        <v>45323</v>
      </c>
      <c r="C1449">
        <v>2024</v>
      </c>
      <c r="D1449">
        <v>2</v>
      </c>
      <c r="E1449" t="s">
        <v>62</v>
      </c>
      <c r="F1449" t="s">
        <v>48</v>
      </c>
      <c r="G1449" t="s">
        <v>40</v>
      </c>
      <c r="H1449" s="3">
        <v>24112.209230820899</v>
      </c>
      <c r="I1449">
        <v>4</v>
      </c>
      <c r="J1449" s="3">
        <v>17045.71969462133</v>
      </c>
      <c r="K1449" s="3">
        <v>7066.4895361995696</v>
      </c>
    </row>
    <row r="1450" spans="1:11" x14ac:dyDescent="0.3">
      <c r="A1450" t="s">
        <v>1526</v>
      </c>
      <c r="B1450" s="2">
        <v>45323</v>
      </c>
      <c r="C1450">
        <v>2024</v>
      </c>
      <c r="D1450">
        <v>2</v>
      </c>
      <c r="E1450" t="s">
        <v>50</v>
      </c>
      <c r="F1450" t="s">
        <v>67</v>
      </c>
      <c r="G1450" t="s">
        <v>43</v>
      </c>
      <c r="H1450" s="3">
        <v>71145.680223456075</v>
      </c>
      <c r="I1450">
        <v>20</v>
      </c>
      <c r="J1450" s="3">
        <v>41518.715175347883</v>
      </c>
      <c r="K1450" s="3">
        <v>29626.965048108199</v>
      </c>
    </row>
    <row r="1451" spans="1:11" x14ac:dyDescent="0.3">
      <c r="A1451" t="s">
        <v>1527</v>
      </c>
      <c r="B1451" s="2">
        <v>45323</v>
      </c>
      <c r="C1451">
        <v>2024</v>
      </c>
      <c r="D1451">
        <v>2</v>
      </c>
      <c r="E1451" t="s">
        <v>50</v>
      </c>
      <c r="F1451" t="s">
        <v>48</v>
      </c>
      <c r="G1451" t="s">
        <v>43</v>
      </c>
      <c r="H1451" s="3">
        <v>121262.6865618469</v>
      </c>
      <c r="I1451">
        <v>35</v>
      </c>
      <c r="J1451" s="3">
        <v>72717.430874928308</v>
      </c>
      <c r="K1451" s="3">
        <v>48545.255686918637</v>
      </c>
    </row>
    <row r="1452" spans="1:11" x14ac:dyDescent="0.3">
      <c r="A1452" t="s">
        <v>1528</v>
      </c>
      <c r="B1452" s="2">
        <v>45323</v>
      </c>
      <c r="C1452">
        <v>2024</v>
      </c>
      <c r="D1452">
        <v>2</v>
      </c>
      <c r="E1452" t="s">
        <v>54</v>
      </c>
      <c r="F1452" t="s">
        <v>67</v>
      </c>
      <c r="G1452" t="s">
        <v>43</v>
      </c>
      <c r="H1452" s="3">
        <v>54572.366344924529</v>
      </c>
      <c r="I1452">
        <v>16</v>
      </c>
      <c r="J1452" s="3">
        <v>33109.767233580496</v>
      </c>
      <c r="K1452" s="3">
        <v>21462.599111344029</v>
      </c>
    </row>
    <row r="1453" spans="1:11" x14ac:dyDescent="0.3">
      <c r="A1453" t="s">
        <v>1529</v>
      </c>
      <c r="B1453" s="2">
        <v>45323</v>
      </c>
      <c r="C1453">
        <v>2024</v>
      </c>
      <c r="D1453">
        <v>2</v>
      </c>
      <c r="E1453" t="s">
        <v>54</v>
      </c>
      <c r="F1453" t="s">
        <v>48</v>
      </c>
      <c r="G1453" t="s">
        <v>43</v>
      </c>
      <c r="H1453" s="3">
        <v>94086.410934387866</v>
      </c>
      <c r="I1453">
        <v>27</v>
      </c>
      <c r="J1453" s="3">
        <v>55967.304053977503</v>
      </c>
      <c r="K1453" s="3">
        <v>38119.106880410371</v>
      </c>
    </row>
    <row r="1454" spans="1:11" x14ac:dyDescent="0.3">
      <c r="A1454" t="s">
        <v>1530</v>
      </c>
      <c r="B1454" s="2">
        <v>45323</v>
      </c>
      <c r="C1454">
        <v>2024</v>
      </c>
      <c r="D1454">
        <v>2</v>
      </c>
      <c r="E1454" t="s">
        <v>58</v>
      </c>
      <c r="F1454" t="s">
        <v>67</v>
      </c>
      <c r="G1454" t="s">
        <v>43</v>
      </c>
      <c r="H1454" s="3">
        <v>38711.144207669597</v>
      </c>
      <c r="I1454">
        <v>11</v>
      </c>
      <c r="J1454" s="3">
        <v>22224.485714649261</v>
      </c>
      <c r="K1454" s="3">
        <v>16486.658493020332</v>
      </c>
    </row>
    <row r="1455" spans="1:11" x14ac:dyDescent="0.3">
      <c r="A1455" t="s">
        <v>1531</v>
      </c>
      <c r="B1455" s="2">
        <v>45323</v>
      </c>
      <c r="C1455">
        <v>2024</v>
      </c>
      <c r="D1455">
        <v>2</v>
      </c>
      <c r="E1455" t="s">
        <v>58</v>
      </c>
      <c r="F1455" t="s">
        <v>48</v>
      </c>
      <c r="G1455" t="s">
        <v>43</v>
      </c>
      <c r="H1455" s="3">
        <v>72454.63265105187</v>
      </c>
      <c r="I1455">
        <v>21</v>
      </c>
      <c r="J1455" s="3">
        <v>42041.698202282147</v>
      </c>
      <c r="K1455" s="3">
        <v>30412.93444876972</v>
      </c>
    </row>
    <row r="1456" spans="1:11" x14ac:dyDescent="0.3">
      <c r="A1456" t="s">
        <v>1532</v>
      </c>
      <c r="B1456" s="2">
        <v>45323</v>
      </c>
      <c r="C1456">
        <v>2024</v>
      </c>
      <c r="D1456">
        <v>2</v>
      </c>
      <c r="E1456" t="s">
        <v>62</v>
      </c>
      <c r="F1456" t="s">
        <v>67</v>
      </c>
      <c r="G1456" t="s">
        <v>43</v>
      </c>
      <c r="H1456" s="3">
        <v>25150.765971350491</v>
      </c>
      <c r="I1456">
        <v>7</v>
      </c>
      <c r="J1456" s="3">
        <v>15192.258471008499</v>
      </c>
      <c r="K1456" s="3">
        <v>9958.5075003419861</v>
      </c>
    </row>
    <row r="1457" spans="1:11" x14ac:dyDescent="0.3">
      <c r="A1457" t="s">
        <v>1533</v>
      </c>
      <c r="B1457" s="2">
        <v>45323</v>
      </c>
      <c r="C1457">
        <v>2024</v>
      </c>
      <c r="D1457">
        <v>2</v>
      </c>
      <c r="E1457" t="s">
        <v>62</v>
      </c>
      <c r="F1457" t="s">
        <v>48</v>
      </c>
      <c r="G1457" t="s">
        <v>43</v>
      </c>
      <c r="H1457" s="3">
        <v>48630.532318373793</v>
      </c>
      <c r="I1457">
        <v>14</v>
      </c>
      <c r="J1457" s="3">
        <v>28604.66959927875</v>
      </c>
      <c r="K1457" s="3">
        <v>20025.862719095028</v>
      </c>
    </row>
    <row r="1458" spans="1:11" x14ac:dyDescent="0.3">
      <c r="A1458" t="s">
        <v>1534</v>
      </c>
      <c r="B1458" s="2">
        <v>45352</v>
      </c>
      <c r="C1458">
        <v>2024</v>
      </c>
      <c r="D1458">
        <v>3</v>
      </c>
      <c r="E1458" t="s">
        <v>50</v>
      </c>
      <c r="F1458" t="s">
        <v>67</v>
      </c>
      <c r="G1458" t="s">
        <v>19</v>
      </c>
      <c r="H1458" s="3">
        <v>71569.176441128555</v>
      </c>
      <c r="I1458">
        <v>14</v>
      </c>
      <c r="J1458" s="3">
        <v>44436.445731463202</v>
      </c>
      <c r="K1458" s="3">
        <v>27132.730709665349</v>
      </c>
    </row>
    <row r="1459" spans="1:11" x14ac:dyDescent="0.3">
      <c r="A1459" t="s">
        <v>1535</v>
      </c>
      <c r="B1459" s="2">
        <v>45352</v>
      </c>
      <c r="C1459">
        <v>2024</v>
      </c>
      <c r="D1459">
        <v>3</v>
      </c>
      <c r="E1459" t="s">
        <v>50</v>
      </c>
      <c r="F1459" t="s">
        <v>48</v>
      </c>
      <c r="G1459" t="s">
        <v>19</v>
      </c>
      <c r="H1459" s="3">
        <v>137435.629875443</v>
      </c>
      <c r="I1459">
        <v>26</v>
      </c>
      <c r="J1459" s="3">
        <v>86373.961472234121</v>
      </c>
      <c r="K1459" s="3">
        <v>51061.668403208882</v>
      </c>
    </row>
    <row r="1460" spans="1:11" x14ac:dyDescent="0.3">
      <c r="A1460" t="s">
        <v>1536</v>
      </c>
      <c r="B1460" s="2">
        <v>45352</v>
      </c>
      <c r="C1460">
        <v>2024</v>
      </c>
      <c r="D1460">
        <v>3</v>
      </c>
      <c r="E1460" t="s">
        <v>54</v>
      </c>
      <c r="F1460" t="s">
        <v>67</v>
      </c>
      <c r="G1460" t="s">
        <v>19</v>
      </c>
      <c r="H1460" s="3">
        <v>64332.967369006103</v>
      </c>
      <c r="I1460">
        <v>12</v>
      </c>
      <c r="J1460" s="3">
        <v>40386.368886947683</v>
      </c>
      <c r="K1460" s="3">
        <v>23946.598482058431</v>
      </c>
    </row>
    <row r="1461" spans="1:11" x14ac:dyDescent="0.3">
      <c r="A1461" t="s">
        <v>1537</v>
      </c>
      <c r="B1461" s="2">
        <v>45352</v>
      </c>
      <c r="C1461">
        <v>2024</v>
      </c>
      <c r="D1461">
        <v>3</v>
      </c>
      <c r="E1461" t="s">
        <v>54</v>
      </c>
      <c r="F1461" t="s">
        <v>48</v>
      </c>
      <c r="G1461" t="s">
        <v>19</v>
      </c>
      <c r="H1461" s="3">
        <v>115267.220057246</v>
      </c>
      <c r="I1461">
        <v>22</v>
      </c>
      <c r="J1461" s="3">
        <v>71824.31954477237</v>
      </c>
      <c r="K1461" s="3">
        <v>43442.9005124736</v>
      </c>
    </row>
    <row r="1462" spans="1:11" x14ac:dyDescent="0.3">
      <c r="A1462" t="s">
        <v>1538</v>
      </c>
      <c r="B1462" s="2">
        <v>45352</v>
      </c>
      <c r="C1462">
        <v>2024</v>
      </c>
      <c r="D1462">
        <v>3</v>
      </c>
      <c r="E1462" t="s">
        <v>58</v>
      </c>
      <c r="F1462" t="s">
        <v>67</v>
      </c>
      <c r="G1462" t="s">
        <v>19</v>
      </c>
      <c r="H1462" s="3">
        <v>41104.048096486818</v>
      </c>
      <c r="I1462">
        <v>8</v>
      </c>
      <c r="J1462" s="3">
        <v>25388.789219023649</v>
      </c>
      <c r="K1462" s="3">
        <v>15715.258877463169</v>
      </c>
    </row>
    <row r="1463" spans="1:11" x14ac:dyDescent="0.3">
      <c r="A1463" t="s">
        <v>1539</v>
      </c>
      <c r="B1463" s="2">
        <v>45352</v>
      </c>
      <c r="C1463">
        <v>2024</v>
      </c>
      <c r="D1463">
        <v>3</v>
      </c>
      <c r="E1463" t="s">
        <v>58</v>
      </c>
      <c r="F1463" t="s">
        <v>48</v>
      </c>
      <c r="G1463" t="s">
        <v>19</v>
      </c>
      <c r="H1463" s="3">
        <v>78211.860231731247</v>
      </c>
      <c r="I1463">
        <v>15</v>
      </c>
      <c r="J1463" s="3">
        <v>48218.442454207718</v>
      </c>
      <c r="K1463" s="3">
        <v>29993.417777523518</v>
      </c>
    </row>
    <row r="1464" spans="1:11" x14ac:dyDescent="0.3">
      <c r="A1464" t="s">
        <v>1540</v>
      </c>
      <c r="B1464" s="2">
        <v>45352</v>
      </c>
      <c r="C1464">
        <v>2024</v>
      </c>
      <c r="D1464">
        <v>3</v>
      </c>
      <c r="E1464" t="s">
        <v>62</v>
      </c>
      <c r="F1464" t="s">
        <v>67</v>
      </c>
      <c r="G1464" t="s">
        <v>19</v>
      </c>
      <c r="H1464" s="3">
        <v>29920.006715782871</v>
      </c>
      <c r="I1464">
        <v>6</v>
      </c>
      <c r="J1464" s="3">
        <v>18836.86282271962</v>
      </c>
      <c r="K1464" s="3">
        <v>11083.14389306325</v>
      </c>
    </row>
    <row r="1465" spans="1:11" x14ac:dyDescent="0.3">
      <c r="A1465" t="s">
        <v>1541</v>
      </c>
      <c r="B1465" s="2">
        <v>45352</v>
      </c>
      <c r="C1465">
        <v>2024</v>
      </c>
      <c r="D1465">
        <v>3</v>
      </c>
      <c r="E1465" t="s">
        <v>62</v>
      </c>
      <c r="F1465" t="s">
        <v>48</v>
      </c>
      <c r="G1465" t="s">
        <v>19</v>
      </c>
      <c r="H1465" s="3">
        <v>59084.230242177036</v>
      </c>
      <c r="I1465">
        <v>11</v>
      </c>
      <c r="J1465" s="3">
        <v>36997.235432805654</v>
      </c>
      <c r="K1465" s="3">
        <v>22086.99480937139</v>
      </c>
    </row>
    <row r="1466" spans="1:11" x14ac:dyDescent="0.3">
      <c r="A1466" t="s">
        <v>1542</v>
      </c>
      <c r="B1466" s="2">
        <v>45352</v>
      </c>
      <c r="C1466">
        <v>2024</v>
      </c>
      <c r="D1466">
        <v>3</v>
      </c>
      <c r="E1466" t="s">
        <v>50</v>
      </c>
      <c r="F1466" t="s">
        <v>67</v>
      </c>
      <c r="G1466" t="s">
        <v>24</v>
      </c>
      <c r="H1466" s="3">
        <v>86649.386575849217</v>
      </c>
      <c r="I1466">
        <v>14</v>
      </c>
      <c r="J1466" s="3">
        <v>56923.731879892854</v>
      </c>
      <c r="K1466" s="3">
        <v>29725.65469595636</v>
      </c>
    </row>
    <row r="1467" spans="1:11" x14ac:dyDescent="0.3">
      <c r="A1467" t="s">
        <v>1543</v>
      </c>
      <c r="B1467" s="2">
        <v>45352</v>
      </c>
      <c r="C1467">
        <v>2024</v>
      </c>
      <c r="D1467">
        <v>3</v>
      </c>
      <c r="E1467" t="s">
        <v>50</v>
      </c>
      <c r="F1467" t="s">
        <v>48</v>
      </c>
      <c r="G1467" t="s">
        <v>24</v>
      </c>
      <c r="H1467" s="3">
        <v>148646.33808983499</v>
      </c>
      <c r="I1467">
        <v>24</v>
      </c>
      <c r="J1467" s="3">
        <v>100017.5052881039</v>
      </c>
      <c r="K1467" s="3">
        <v>48628.8328017311</v>
      </c>
    </row>
    <row r="1468" spans="1:11" x14ac:dyDescent="0.3">
      <c r="A1468" t="s">
        <v>1544</v>
      </c>
      <c r="B1468" s="2">
        <v>45352</v>
      </c>
      <c r="C1468">
        <v>2024</v>
      </c>
      <c r="D1468">
        <v>3</v>
      </c>
      <c r="E1468" t="s">
        <v>54</v>
      </c>
      <c r="F1468" t="s">
        <v>67</v>
      </c>
      <c r="G1468" t="s">
        <v>24</v>
      </c>
      <c r="H1468" s="3">
        <v>73693.521319827152</v>
      </c>
      <c r="I1468">
        <v>12</v>
      </c>
      <c r="J1468" s="3">
        <v>48524.757408712008</v>
      </c>
      <c r="K1468" s="3">
        <v>25168.76391111514</v>
      </c>
    </row>
    <row r="1469" spans="1:11" x14ac:dyDescent="0.3">
      <c r="A1469" t="s">
        <v>1545</v>
      </c>
      <c r="B1469" s="2">
        <v>45352</v>
      </c>
      <c r="C1469">
        <v>2024</v>
      </c>
      <c r="D1469">
        <v>3</v>
      </c>
      <c r="E1469" t="s">
        <v>54</v>
      </c>
      <c r="F1469" t="s">
        <v>48</v>
      </c>
      <c r="G1469" t="s">
        <v>24</v>
      </c>
      <c r="H1469" s="3">
        <v>128220.55298532369</v>
      </c>
      <c r="I1469">
        <v>21</v>
      </c>
      <c r="J1469" s="3">
        <v>83328.261902309547</v>
      </c>
      <c r="K1469" s="3">
        <v>44892.291083014148</v>
      </c>
    </row>
    <row r="1470" spans="1:11" x14ac:dyDescent="0.3">
      <c r="A1470" t="s">
        <v>1546</v>
      </c>
      <c r="B1470" s="2">
        <v>45352</v>
      </c>
      <c r="C1470">
        <v>2024</v>
      </c>
      <c r="D1470">
        <v>3</v>
      </c>
      <c r="E1470" t="s">
        <v>58</v>
      </c>
      <c r="F1470" t="s">
        <v>67</v>
      </c>
      <c r="G1470" t="s">
        <v>24</v>
      </c>
      <c r="H1470" s="3">
        <v>46363.49572511686</v>
      </c>
      <c r="I1470">
        <v>8</v>
      </c>
      <c r="J1470" s="3">
        <v>30181.86738569849</v>
      </c>
      <c r="K1470" s="3">
        <v>16181.62833941837</v>
      </c>
    </row>
    <row r="1471" spans="1:11" x14ac:dyDescent="0.3">
      <c r="A1471" t="s">
        <v>1547</v>
      </c>
      <c r="B1471" s="2">
        <v>45352</v>
      </c>
      <c r="C1471">
        <v>2024</v>
      </c>
      <c r="D1471">
        <v>3</v>
      </c>
      <c r="E1471" t="s">
        <v>58</v>
      </c>
      <c r="F1471" t="s">
        <v>48</v>
      </c>
      <c r="G1471" t="s">
        <v>24</v>
      </c>
      <c r="H1471" s="3">
        <v>83850.577508795919</v>
      </c>
      <c r="I1471">
        <v>14</v>
      </c>
      <c r="J1471" s="3">
        <v>54366.413501655843</v>
      </c>
      <c r="K1471" s="3">
        <v>29484.16400714008</v>
      </c>
    </row>
    <row r="1472" spans="1:11" x14ac:dyDescent="0.3">
      <c r="A1472" t="s">
        <v>1548</v>
      </c>
      <c r="B1472" s="2">
        <v>45352</v>
      </c>
      <c r="C1472">
        <v>2024</v>
      </c>
      <c r="D1472">
        <v>3</v>
      </c>
      <c r="E1472" t="s">
        <v>62</v>
      </c>
      <c r="F1472" t="s">
        <v>67</v>
      </c>
      <c r="G1472" t="s">
        <v>24</v>
      </c>
      <c r="H1472" s="3">
        <v>33333.081953772853</v>
      </c>
      <c r="I1472">
        <v>5</v>
      </c>
      <c r="J1472" s="3">
        <v>21891.960536437338</v>
      </c>
      <c r="K1472" s="3">
        <v>11441.1214173355</v>
      </c>
    </row>
    <row r="1473" spans="1:11" x14ac:dyDescent="0.3">
      <c r="A1473" t="s">
        <v>1549</v>
      </c>
      <c r="B1473" s="2">
        <v>45352</v>
      </c>
      <c r="C1473">
        <v>2024</v>
      </c>
      <c r="D1473">
        <v>3</v>
      </c>
      <c r="E1473" t="s">
        <v>62</v>
      </c>
      <c r="F1473" t="s">
        <v>48</v>
      </c>
      <c r="G1473" t="s">
        <v>24</v>
      </c>
      <c r="H1473" s="3">
        <v>65741.459966328752</v>
      </c>
      <c r="I1473">
        <v>11</v>
      </c>
      <c r="J1473" s="3">
        <v>44352.91278059125</v>
      </c>
      <c r="K1473" s="3">
        <v>21388.547185737501</v>
      </c>
    </row>
    <row r="1474" spans="1:11" x14ac:dyDescent="0.3">
      <c r="A1474" t="s">
        <v>1550</v>
      </c>
      <c r="B1474" s="2">
        <v>45352</v>
      </c>
      <c r="C1474">
        <v>2024</v>
      </c>
      <c r="D1474">
        <v>3</v>
      </c>
      <c r="E1474" t="s">
        <v>50</v>
      </c>
      <c r="F1474" t="s">
        <v>67</v>
      </c>
      <c r="G1474" t="s">
        <v>29</v>
      </c>
      <c r="H1474" s="3">
        <v>55638.097533606458</v>
      </c>
      <c r="I1474">
        <v>13</v>
      </c>
      <c r="J1474" s="3">
        <v>35092.355953854872</v>
      </c>
      <c r="K1474" s="3">
        <v>20545.74157975159</v>
      </c>
    </row>
    <row r="1475" spans="1:11" x14ac:dyDescent="0.3">
      <c r="A1475" t="s">
        <v>1551</v>
      </c>
      <c r="B1475" s="2">
        <v>45352</v>
      </c>
      <c r="C1475">
        <v>2024</v>
      </c>
      <c r="D1475">
        <v>3</v>
      </c>
      <c r="E1475" t="s">
        <v>50</v>
      </c>
      <c r="F1475" t="s">
        <v>48</v>
      </c>
      <c r="G1475" t="s">
        <v>29</v>
      </c>
      <c r="H1475" s="3">
        <v>95628.350729502738</v>
      </c>
      <c r="I1475">
        <v>22</v>
      </c>
      <c r="J1475" s="3">
        <v>61409.776640459793</v>
      </c>
      <c r="K1475" s="3">
        <v>34218.574089042937</v>
      </c>
    </row>
    <row r="1476" spans="1:11" x14ac:dyDescent="0.3">
      <c r="A1476" t="s">
        <v>1552</v>
      </c>
      <c r="B1476" s="2">
        <v>45352</v>
      </c>
      <c r="C1476">
        <v>2024</v>
      </c>
      <c r="D1476">
        <v>3</v>
      </c>
      <c r="E1476" t="s">
        <v>54</v>
      </c>
      <c r="F1476" t="s">
        <v>67</v>
      </c>
      <c r="G1476" t="s">
        <v>29</v>
      </c>
      <c r="H1476" s="3">
        <v>44138.328557833593</v>
      </c>
      <c r="I1476">
        <v>10</v>
      </c>
      <c r="J1476" s="3">
        <v>27914.62111748763</v>
      </c>
      <c r="K1476" s="3">
        <v>16223.707440345959</v>
      </c>
    </row>
    <row r="1477" spans="1:11" x14ac:dyDescent="0.3">
      <c r="A1477" t="s">
        <v>1553</v>
      </c>
      <c r="B1477" s="2">
        <v>45352</v>
      </c>
      <c r="C1477">
        <v>2024</v>
      </c>
      <c r="D1477">
        <v>3</v>
      </c>
      <c r="E1477" t="s">
        <v>54</v>
      </c>
      <c r="F1477" t="s">
        <v>48</v>
      </c>
      <c r="G1477" t="s">
        <v>29</v>
      </c>
      <c r="H1477" s="3">
        <v>80893.268194154007</v>
      </c>
      <c r="I1477">
        <v>19</v>
      </c>
      <c r="J1477" s="3">
        <v>51529.112134754047</v>
      </c>
      <c r="K1477" s="3">
        <v>29364.15605939996</v>
      </c>
    </row>
    <row r="1478" spans="1:11" x14ac:dyDescent="0.3">
      <c r="A1478" t="s">
        <v>1554</v>
      </c>
      <c r="B1478" s="2">
        <v>45352</v>
      </c>
      <c r="C1478">
        <v>2024</v>
      </c>
      <c r="D1478">
        <v>3</v>
      </c>
      <c r="E1478" t="s">
        <v>58</v>
      </c>
      <c r="F1478" t="s">
        <v>67</v>
      </c>
      <c r="G1478" t="s">
        <v>29</v>
      </c>
      <c r="H1478" s="3">
        <v>30639.326761219399</v>
      </c>
      <c r="I1478">
        <v>7</v>
      </c>
      <c r="J1478" s="3">
        <v>19076.177363913452</v>
      </c>
      <c r="K1478" s="3">
        <v>11563.14939730595</v>
      </c>
    </row>
    <row r="1479" spans="1:11" x14ac:dyDescent="0.3">
      <c r="A1479" t="s">
        <v>1555</v>
      </c>
      <c r="B1479" s="2">
        <v>45352</v>
      </c>
      <c r="C1479">
        <v>2024</v>
      </c>
      <c r="D1479">
        <v>3</v>
      </c>
      <c r="E1479" t="s">
        <v>58</v>
      </c>
      <c r="F1479" t="s">
        <v>48</v>
      </c>
      <c r="G1479" t="s">
        <v>29</v>
      </c>
      <c r="H1479" s="3">
        <v>57883.853629027653</v>
      </c>
      <c r="I1479">
        <v>13</v>
      </c>
      <c r="J1479" s="3">
        <v>36898.606580901003</v>
      </c>
      <c r="K1479" s="3">
        <v>20985.24704812665</v>
      </c>
    </row>
    <row r="1480" spans="1:11" x14ac:dyDescent="0.3">
      <c r="A1480" t="s">
        <v>1556</v>
      </c>
      <c r="B1480" s="2">
        <v>45352</v>
      </c>
      <c r="C1480">
        <v>2024</v>
      </c>
      <c r="D1480">
        <v>3</v>
      </c>
      <c r="E1480" t="s">
        <v>62</v>
      </c>
      <c r="F1480" t="s">
        <v>67</v>
      </c>
      <c r="G1480" t="s">
        <v>29</v>
      </c>
      <c r="H1480" s="3">
        <v>23003.751447944709</v>
      </c>
      <c r="I1480">
        <v>5</v>
      </c>
      <c r="J1480" s="3">
        <v>14671.06837794802</v>
      </c>
      <c r="K1480" s="3">
        <v>8332.683069996694</v>
      </c>
    </row>
    <row r="1481" spans="1:11" x14ac:dyDescent="0.3">
      <c r="A1481" t="s">
        <v>1557</v>
      </c>
      <c r="B1481" s="2">
        <v>45352</v>
      </c>
      <c r="C1481">
        <v>2024</v>
      </c>
      <c r="D1481">
        <v>3</v>
      </c>
      <c r="E1481" t="s">
        <v>62</v>
      </c>
      <c r="F1481" t="s">
        <v>48</v>
      </c>
      <c r="G1481" t="s">
        <v>29</v>
      </c>
      <c r="H1481" s="3">
        <v>44086.746523815083</v>
      </c>
      <c r="I1481">
        <v>10</v>
      </c>
      <c r="J1481" s="3">
        <v>28489.918848838039</v>
      </c>
      <c r="K1481" s="3">
        <v>15596.827674977039</v>
      </c>
    </row>
    <row r="1482" spans="1:11" x14ac:dyDescent="0.3">
      <c r="A1482" t="s">
        <v>1558</v>
      </c>
      <c r="B1482" s="2">
        <v>45352</v>
      </c>
      <c r="C1482">
        <v>2024</v>
      </c>
      <c r="D1482">
        <v>3</v>
      </c>
      <c r="E1482" t="s">
        <v>50</v>
      </c>
      <c r="F1482" t="s">
        <v>67</v>
      </c>
      <c r="G1482" t="s">
        <v>34</v>
      </c>
      <c r="H1482" s="3">
        <v>49498.329822760919</v>
      </c>
      <c r="I1482">
        <v>58</v>
      </c>
      <c r="J1482" s="3">
        <v>23854.687873888739</v>
      </c>
      <c r="K1482" s="3">
        <v>25643.64194887218</v>
      </c>
    </row>
    <row r="1483" spans="1:11" x14ac:dyDescent="0.3">
      <c r="A1483" t="s">
        <v>1559</v>
      </c>
      <c r="B1483" s="2">
        <v>45352</v>
      </c>
      <c r="C1483">
        <v>2024</v>
      </c>
      <c r="D1483">
        <v>3</v>
      </c>
      <c r="E1483" t="s">
        <v>50</v>
      </c>
      <c r="F1483" t="s">
        <v>48</v>
      </c>
      <c r="G1483" t="s">
        <v>34</v>
      </c>
      <c r="H1483" s="3">
        <v>91163.606966714346</v>
      </c>
      <c r="I1483">
        <v>107</v>
      </c>
      <c r="J1483" s="3">
        <v>42814.613515504287</v>
      </c>
      <c r="K1483" s="3">
        <v>48348.993451210059</v>
      </c>
    </row>
    <row r="1484" spans="1:11" x14ac:dyDescent="0.3">
      <c r="A1484" t="s">
        <v>1560</v>
      </c>
      <c r="B1484" s="2">
        <v>45352</v>
      </c>
      <c r="C1484">
        <v>2024</v>
      </c>
      <c r="D1484">
        <v>3</v>
      </c>
      <c r="E1484" t="s">
        <v>54</v>
      </c>
      <c r="F1484" t="s">
        <v>67</v>
      </c>
      <c r="G1484" t="s">
        <v>34</v>
      </c>
      <c r="H1484" s="3">
        <v>42538.551992965688</v>
      </c>
      <c r="I1484">
        <v>50</v>
      </c>
      <c r="J1484" s="3">
        <v>20816.983686582909</v>
      </c>
      <c r="K1484" s="3">
        <v>21721.568306382778</v>
      </c>
    </row>
    <row r="1485" spans="1:11" x14ac:dyDescent="0.3">
      <c r="A1485" t="s">
        <v>1561</v>
      </c>
      <c r="B1485" s="2">
        <v>45352</v>
      </c>
      <c r="C1485">
        <v>2024</v>
      </c>
      <c r="D1485">
        <v>3</v>
      </c>
      <c r="E1485" t="s">
        <v>54</v>
      </c>
      <c r="F1485" t="s">
        <v>48</v>
      </c>
      <c r="G1485" t="s">
        <v>34</v>
      </c>
      <c r="H1485" s="3">
        <v>84444.08406686355</v>
      </c>
      <c r="I1485">
        <v>99</v>
      </c>
      <c r="J1485" s="3">
        <v>40686.596795427817</v>
      </c>
      <c r="K1485" s="3">
        <v>43757.487271435733</v>
      </c>
    </row>
    <row r="1486" spans="1:11" x14ac:dyDescent="0.3">
      <c r="A1486" t="s">
        <v>1562</v>
      </c>
      <c r="B1486" s="2">
        <v>45352</v>
      </c>
      <c r="C1486">
        <v>2024</v>
      </c>
      <c r="D1486">
        <v>3</v>
      </c>
      <c r="E1486" t="s">
        <v>58</v>
      </c>
      <c r="F1486" t="s">
        <v>67</v>
      </c>
      <c r="G1486" t="s">
        <v>34</v>
      </c>
      <c r="H1486" s="3">
        <v>28639.426182324569</v>
      </c>
      <c r="I1486">
        <v>34</v>
      </c>
      <c r="J1486" s="3">
        <v>13796.01598039161</v>
      </c>
      <c r="K1486" s="3">
        <v>14843.41020193296</v>
      </c>
    </row>
    <row r="1487" spans="1:11" x14ac:dyDescent="0.3">
      <c r="A1487" t="s">
        <v>1563</v>
      </c>
      <c r="B1487" s="2">
        <v>45352</v>
      </c>
      <c r="C1487">
        <v>2024</v>
      </c>
      <c r="D1487">
        <v>3</v>
      </c>
      <c r="E1487" t="s">
        <v>58</v>
      </c>
      <c r="F1487" t="s">
        <v>48</v>
      </c>
      <c r="G1487" t="s">
        <v>34</v>
      </c>
      <c r="H1487" s="3">
        <v>51424.13606249135</v>
      </c>
      <c r="I1487">
        <v>60</v>
      </c>
      <c r="J1487" s="3">
        <v>24679.505548739529</v>
      </c>
      <c r="K1487" s="3">
        <v>26744.630513751821</v>
      </c>
    </row>
    <row r="1488" spans="1:11" x14ac:dyDescent="0.3">
      <c r="A1488" t="s">
        <v>1564</v>
      </c>
      <c r="B1488" s="2">
        <v>45352</v>
      </c>
      <c r="C1488">
        <v>2024</v>
      </c>
      <c r="D1488">
        <v>3</v>
      </c>
      <c r="E1488" t="s">
        <v>62</v>
      </c>
      <c r="F1488" t="s">
        <v>67</v>
      </c>
      <c r="G1488" t="s">
        <v>34</v>
      </c>
      <c r="H1488" s="3">
        <v>21988.168385186891</v>
      </c>
      <c r="I1488">
        <v>26</v>
      </c>
      <c r="J1488" s="3">
        <v>10455.95841715544</v>
      </c>
      <c r="K1488" s="3">
        <v>11532.20996803145</v>
      </c>
    </row>
    <row r="1489" spans="1:11" x14ac:dyDescent="0.3">
      <c r="A1489" t="s">
        <v>1565</v>
      </c>
      <c r="B1489" s="2">
        <v>45352</v>
      </c>
      <c r="C1489">
        <v>2024</v>
      </c>
      <c r="D1489">
        <v>3</v>
      </c>
      <c r="E1489" t="s">
        <v>62</v>
      </c>
      <c r="F1489" t="s">
        <v>48</v>
      </c>
      <c r="G1489" t="s">
        <v>34</v>
      </c>
      <c r="H1489" s="3">
        <v>39905.099458980003</v>
      </c>
      <c r="I1489">
        <v>47</v>
      </c>
      <c r="J1489" s="3">
        <v>19229.54164393021</v>
      </c>
      <c r="K1489" s="3">
        <v>20675.557815049779</v>
      </c>
    </row>
    <row r="1490" spans="1:11" x14ac:dyDescent="0.3">
      <c r="A1490" t="s">
        <v>1566</v>
      </c>
      <c r="B1490" s="2">
        <v>45352</v>
      </c>
      <c r="C1490">
        <v>2024</v>
      </c>
      <c r="D1490">
        <v>3</v>
      </c>
      <c r="E1490" t="s">
        <v>50</v>
      </c>
      <c r="F1490" t="s">
        <v>67</v>
      </c>
      <c r="G1490" t="s">
        <v>37</v>
      </c>
      <c r="H1490" s="3">
        <v>45673.216868501673</v>
      </c>
      <c r="I1490">
        <v>63</v>
      </c>
      <c r="J1490" s="3">
        <v>25335.313650041659</v>
      </c>
      <c r="K1490" s="3">
        <v>20337.90321846</v>
      </c>
    </row>
    <row r="1491" spans="1:11" x14ac:dyDescent="0.3">
      <c r="A1491" t="s">
        <v>1567</v>
      </c>
      <c r="B1491" s="2">
        <v>45352</v>
      </c>
      <c r="C1491">
        <v>2024</v>
      </c>
      <c r="D1491">
        <v>3</v>
      </c>
      <c r="E1491" t="s">
        <v>50</v>
      </c>
      <c r="F1491" t="s">
        <v>48</v>
      </c>
      <c r="G1491" t="s">
        <v>37</v>
      </c>
      <c r="H1491" s="3">
        <v>78897.293785019428</v>
      </c>
      <c r="I1491">
        <v>110</v>
      </c>
      <c r="J1491" s="3">
        <v>42029.040690299124</v>
      </c>
      <c r="K1491" s="3">
        <v>36868.253094720298</v>
      </c>
    </row>
    <row r="1492" spans="1:11" x14ac:dyDescent="0.3">
      <c r="A1492" t="s">
        <v>1568</v>
      </c>
      <c r="B1492" s="2">
        <v>45352</v>
      </c>
      <c r="C1492">
        <v>2024</v>
      </c>
      <c r="D1492">
        <v>3</v>
      </c>
      <c r="E1492" t="s">
        <v>54</v>
      </c>
      <c r="F1492" t="s">
        <v>67</v>
      </c>
      <c r="G1492" t="s">
        <v>37</v>
      </c>
      <c r="H1492" s="3">
        <v>34491.154606596261</v>
      </c>
      <c r="I1492">
        <v>48</v>
      </c>
      <c r="J1492" s="3">
        <v>18786.168448592802</v>
      </c>
      <c r="K1492" s="3">
        <v>15704.986158003459</v>
      </c>
    </row>
    <row r="1493" spans="1:11" x14ac:dyDescent="0.3">
      <c r="A1493" t="s">
        <v>1569</v>
      </c>
      <c r="B1493" s="2">
        <v>45352</v>
      </c>
      <c r="C1493">
        <v>2024</v>
      </c>
      <c r="D1493">
        <v>3</v>
      </c>
      <c r="E1493" t="s">
        <v>54</v>
      </c>
      <c r="F1493" t="s">
        <v>48</v>
      </c>
      <c r="G1493" t="s">
        <v>37</v>
      </c>
      <c r="H1493" s="3">
        <v>65084.576007603457</v>
      </c>
      <c r="I1493">
        <v>90</v>
      </c>
      <c r="J1493" s="3">
        <v>35632.244960997807</v>
      </c>
      <c r="K1493" s="3">
        <v>29452.33104660565</v>
      </c>
    </row>
    <row r="1494" spans="1:11" x14ac:dyDescent="0.3">
      <c r="A1494" t="s">
        <v>1570</v>
      </c>
      <c r="B1494" s="2">
        <v>45352</v>
      </c>
      <c r="C1494">
        <v>2024</v>
      </c>
      <c r="D1494">
        <v>3</v>
      </c>
      <c r="E1494" t="s">
        <v>58</v>
      </c>
      <c r="F1494" t="s">
        <v>67</v>
      </c>
      <c r="G1494" t="s">
        <v>37</v>
      </c>
      <c r="H1494" s="3">
        <v>26228.23634432019</v>
      </c>
      <c r="I1494">
        <v>36</v>
      </c>
      <c r="J1494" s="3">
        <v>14492.047130963219</v>
      </c>
      <c r="K1494" s="3">
        <v>11736.18921335698</v>
      </c>
    </row>
    <row r="1495" spans="1:11" x14ac:dyDescent="0.3">
      <c r="A1495" t="s">
        <v>1571</v>
      </c>
      <c r="B1495" s="2">
        <v>45352</v>
      </c>
      <c r="C1495">
        <v>2024</v>
      </c>
      <c r="D1495">
        <v>3</v>
      </c>
      <c r="E1495" t="s">
        <v>58</v>
      </c>
      <c r="F1495" t="s">
        <v>48</v>
      </c>
      <c r="G1495" t="s">
        <v>37</v>
      </c>
      <c r="H1495" s="3">
        <v>43067.296192231574</v>
      </c>
      <c r="I1495">
        <v>60</v>
      </c>
      <c r="J1495" s="3">
        <v>24195.800423290329</v>
      </c>
      <c r="K1495" s="3">
        <v>18871.495768941251</v>
      </c>
    </row>
    <row r="1496" spans="1:11" x14ac:dyDescent="0.3">
      <c r="A1496" t="s">
        <v>1572</v>
      </c>
      <c r="B1496" s="2">
        <v>45352</v>
      </c>
      <c r="C1496">
        <v>2024</v>
      </c>
      <c r="D1496">
        <v>3</v>
      </c>
      <c r="E1496" t="s">
        <v>62</v>
      </c>
      <c r="F1496" t="s">
        <v>67</v>
      </c>
      <c r="G1496" t="s">
        <v>37</v>
      </c>
      <c r="H1496" s="3">
        <v>16950.429518509391</v>
      </c>
      <c r="I1496">
        <v>24</v>
      </c>
      <c r="J1496" s="3">
        <v>9193.2309861648064</v>
      </c>
      <c r="K1496" s="3">
        <v>7757.1985323445842</v>
      </c>
    </row>
    <row r="1497" spans="1:11" x14ac:dyDescent="0.3">
      <c r="A1497" t="s">
        <v>1573</v>
      </c>
      <c r="B1497" s="2">
        <v>45352</v>
      </c>
      <c r="C1497">
        <v>2024</v>
      </c>
      <c r="D1497">
        <v>3</v>
      </c>
      <c r="E1497" t="s">
        <v>62</v>
      </c>
      <c r="F1497" t="s">
        <v>48</v>
      </c>
      <c r="G1497" t="s">
        <v>37</v>
      </c>
      <c r="H1497" s="3">
        <v>33590.226999552193</v>
      </c>
      <c r="I1497">
        <v>47</v>
      </c>
      <c r="J1497" s="3">
        <v>18309.031000183601</v>
      </c>
      <c r="K1497" s="3">
        <v>15281.19599936858</v>
      </c>
    </row>
    <row r="1498" spans="1:11" x14ac:dyDescent="0.3">
      <c r="A1498" t="s">
        <v>1574</v>
      </c>
      <c r="B1498" s="2">
        <v>45352</v>
      </c>
      <c r="C1498">
        <v>2024</v>
      </c>
      <c r="D1498">
        <v>3</v>
      </c>
      <c r="E1498" t="s">
        <v>50</v>
      </c>
      <c r="F1498" t="s">
        <v>67</v>
      </c>
      <c r="G1498" t="s">
        <v>40</v>
      </c>
      <c r="H1498" s="3">
        <v>35194.9072417836</v>
      </c>
      <c r="I1498">
        <v>7</v>
      </c>
      <c r="J1498" s="3">
        <v>24060.446703038589</v>
      </c>
      <c r="K1498" s="3">
        <v>11134.46053874501</v>
      </c>
    </row>
    <row r="1499" spans="1:11" x14ac:dyDescent="0.3">
      <c r="A1499" t="s">
        <v>1575</v>
      </c>
      <c r="B1499" s="2">
        <v>45352</v>
      </c>
      <c r="C1499">
        <v>2024</v>
      </c>
      <c r="D1499">
        <v>3</v>
      </c>
      <c r="E1499" t="s">
        <v>50</v>
      </c>
      <c r="F1499" t="s">
        <v>48</v>
      </c>
      <c r="G1499" t="s">
        <v>40</v>
      </c>
      <c r="H1499" s="3">
        <v>75686.640380474622</v>
      </c>
      <c r="I1499">
        <v>14</v>
      </c>
      <c r="J1499" s="3">
        <v>51470.323426123978</v>
      </c>
      <c r="K1499" s="3">
        <v>24216.316954350641</v>
      </c>
    </row>
    <row r="1500" spans="1:11" x14ac:dyDescent="0.3">
      <c r="A1500" t="s">
        <v>1576</v>
      </c>
      <c r="B1500" s="2">
        <v>45352</v>
      </c>
      <c r="C1500">
        <v>2024</v>
      </c>
      <c r="D1500">
        <v>3</v>
      </c>
      <c r="E1500" t="s">
        <v>54</v>
      </c>
      <c r="F1500" t="s">
        <v>67</v>
      </c>
      <c r="G1500" t="s">
        <v>40</v>
      </c>
      <c r="H1500" s="3">
        <v>31584.231832247151</v>
      </c>
      <c r="I1500">
        <v>6</v>
      </c>
      <c r="J1500" s="3">
        <v>21656.926979367439</v>
      </c>
      <c r="K1500" s="3">
        <v>9927.3048528797081</v>
      </c>
    </row>
    <row r="1501" spans="1:11" x14ac:dyDescent="0.3">
      <c r="A1501" t="s">
        <v>1577</v>
      </c>
      <c r="B1501" s="2">
        <v>45352</v>
      </c>
      <c r="C1501">
        <v>2024</v>
      </c>
      <c r="D1501">
        <v>3</v>
      </c>
      <c r="E1501" t="s">
        <v>54</v>
      </c>
      <c r="F1501" t="s">
        <v>48</v>
      </c>
      <c r="G1501" t="s">
        <v>40</v>
      </c>
      <c r="H1501" s="3">
        <v>60775.40410393387</v>
      </c>
      <c r="I1501">
        <v>11</v>
      </c>
      <c r="J1501" s="3">
        <v>42516.853871451771</v>
      </c>
      <c r="K1501" s="3">
        <v>18258.550232482099</v>
      </c>
    </row>
    <row r="1502" spans="1:11" x14ac:dyDescent="0.3">
      <c r="A1502" t="s">
        <v>1578</v>
      </c>
      <c r="B1502" s="2">
        <v>45352</v>
      </c>
      <c r="C1502">
        <v>2024</v>
      </c>
      <c r="D1502">
        <v>3</v>
      </c>
      <c r="E1502" t="s">
        <v>58</v>
      </c>
      <c r="F1502" t="s">
        <v>67</v>
      </c>
      <c r="G1502" t="s">
        <v>40</v>
      </c>
      <c r="H1502" s="3">
        <v>21889.99567470856</v>
      </c>
      <c r="I1502">
        <v>4</v>
      </c>
      <c r="J1502" s="3">
        <v>14817.58681146149</v>
      </c>
      <c r="K1502" s="3">
        <v>7072.4088632470721</v>
      </c>
    </row>
    <row r="1503" spans="1:11" x14ac:dyDescent="0.3">
      <c r="A1503" t="s">
        <v>1579</v>
      </c>
      <c r="B1503" s="2">
        <v>45352</v>
      </c>
      <c r="C1503">
        <v>2024</v>
      </c>
      <c r="D1503">
        <v>3</v>
      </c>
      <c r="E1503" t="s">
        <v>58</v>
      </c>
      <c r="F1503" t="s">
        <v>48</v>
      </c>
      <c r="G1503" t="s">
        <v>40</v>
      </c>
      <c r="H1503" s="3">
        <v>39775.489334541489</v>
      </c>
      <c r="I1503">
        <v>7</v>
      </c>
      <c r="J1503" s="3">
        <v>27656.432905075289</v>
      </c>
      <c r="K1503" s="3">
        <v>12119.0564294662</v>
      </c>
    </row>
    <row r="1504" spans="1:11" x14ac:dyDescent="0.3">
      <c r="A1504" t="s">
        <v>1580</v>
      </c>
      <c r="B1504" s="2">
        <v>45352</v>
      </c>
      <c r="C1504">
        <v>2024</v>
      </c>
      <c r="D1504">
        <v>3</v>
      </c>
      <c r="E1504" t="s">
        <v>62</v>
      </c>
      <c r="F1504" t="s">
        <v>67</v>
      </c>
      <c r="G1504" t="s">
        <v>40</v>
      </c>
      <c r="H1504" s="3">
        <v>16843.944861477939</v>
      </c>
      <c r="I1504">
        <v>3</v>
      </c>
      <c r="J1504" s="3">
        <v>11266.28095267985</v>
      </c>
      <c r="K1504" s="3">
        <v>5577.6639087980857</v>
      </c>
    </row>
    <row r="1505" spans="1:11" x14ac:dyDescent="0.3">
      <c r="A1505" t="s">
        <v>1581</v>
      </c>
      <c r="B1505" s="2">
        <v>45352</v>
      </c>
      <c r="C1505">
        <v>2024</v>
      </c>
      <c r="D1505">
        <v>3</v>
      </c>
      <c r="E1505" t="s">
        <v>62</v>
      </c>
      <c r="F1505" t="s">
        <v>48</v>
      </c>
      <c r="G1505" t="s">
        <v>40</v>
      </c>
      <c r="H1505" s="3">
        <v>29861.52833574023</v>
      </c>
      <c r="I1505">
        <v>6</v>
      </c>
      <c r="J1505" s="3">
        <v>20396.265413416109</v>
      </c>
      <c r="K1505" s="3">
        <v>9465.2629223241238</v>
      </c>
    </row>
    <row r="1506" spans="1:11" x14ac:dyDescent="0.3">
      <c r="A1506" t="s">
        <v>1582</v>
      </c>
      <c r="B1506" s="2">
        <v>45352</v>
      </c>
      <c r="C1506">
        <v>2024</v>
      </c>
      <c r="D1506">
        <v>3</v>
      </c>
      <c r="E1506" t="s">
        <v>50</v>
      </c>
      <c r="F1506" t="s">
        <v>67</v>
      </c>
      <c r="G1506" t="s">
        <v>43</v>
      </c>
      <c r="H1506" s="3">
        <v>79713.807637472826</v>
      </c>
      <c r="I1506">
        <v>23</v>
      </c>
      <c r="J1506" s="3">
        <v>46752.213834195521</v>
      </c>
      <c r="K1506" s="3">
        <v>32961.593803277297</v>
      </c>
    </row>
    <row r="1507" spans="1:11" x14ac:dyDescent="0.3">
      <c r="A1507" t="s">
        <v>1583</v>
      </c>
      <c r="B1507" s="2">
        <v>45352</v>
      </c>
      <c r="C1507">
        <v>2024</v>
      </c>
      <c r="D1507">
        <v>3</v>
      </c>
      <c r="E1507" t="s">
        <v>50</v>
      </c>
      <c r="F1507" t="s">
        <v>48</v>
      </c>
      <c r="G1507" t="s">
        <v>43</v>
      </c>
      <c r="H1507" s="3">
        <v>150601.82810036599</v>
      </c>
      <c r="I1507">
        <v>43</v>
      </c>
      <c r="J1507" s="3">
        <v>91533.834760442842</v>
      </c>
      <c r="K1507" s="3">
        <v>59067.993339923123</v>
      </c>
    </row>
    <row r="1508" spans="1:11" x14ac:dyDescent="0.3">
      <c r="A1508" t="s">
        <v>1584</v>
      </c>
      <c r="B1508" s="2">
        <v>45352</v>
      </c>
      <c r="C1508">
        <v>2024</v>
      </c>
      <c r="D1508">
        <v>3</v>
      </c>
      <c r="E1508" t="s">
        <v>54</v>
      </c>
      <c r="F1508" t="s">
        <v>67</v>
      </c>
      <c r="G1508" t="s">
        <v>43</v>
      </c>
      <c r="H1508" s="3">
        <v>67165.984114422405</v>
      </c>
      <c r="I1508">
        <v>19</v>
      </c>
      <c r="J1508" s="3">
        <v>39431.913387466877</v>
      </c>
      <c r="K1508" s="3">
        <v>27734.070726955531</v>
      </c>
    </row>
    <row r="1509" spans="1:11" x14ac:dyDescent="0.3">
      <c r="A1509" t="s">
        <v>1585</v>
      </c>
      <c r="B1509" s="2">
        <v>45352</v>
      </c>
      <c r="C1509">
        <v>2024</v>
      </c>
      <c r="D1509">
        <v>3</v>
      </c>
      <c r="E1509" t="s">
        <v>54</v>
      </c>
      <c r="F1509" t="s">
        <v>48</v>
      </c>
      <c r="G1509" t="s">
        <v>43</v>
      </c>
      <c r="H1509" s="3">
        <v>119805.83988746841</v>
      </c>
      <c r="I1509">
        <v>34</v>
      </c>
      <c r="J1509" s="3">
        <v>67884.719771927586</v>
      </c>
      <c r="K1509" s="3">
        <v>51921.12011554082</v>
      </c>
    </row>
    <row r="1510" spans="1:11" x14ac:dyDescent="0.3">
      <c r="A1510" t="s">
        <v>1586</v>
      </c>
      <c r="B1510" s="2">
        <v>45352</v>
      </c>
      <c r="C1510">
        <v>2024</v>
      </c>
      <c r="D1510">
        <v>3</v>
      </c>
      <c r="E1510" t="s">
        <v>58</v>
      </c>
      <c r="F1510" t="s">
        <v>67</v>
      </c>
      <c r="G1510" t="s">
        <v>43</v>
      </c>
      <c r="H1510" s="3">
        <v>44533.678657400364</v>
      </c>
      <c r="I1510">
        <v>13</v>
      </c>
      <c r="J1510" s="3">
        <v>25329.500562091202</v>
      </c>
      <c r="K1510" s="3">
        <v>19204.178095309151</v>
      </c>
    </row>
    <row r="1511" spans="1:11" x14ac:dyDescent="0.3">
      <c r="A1511" t="s">
        <v>1587</v>
      </c>
      <c r="B1511" s="2">
        <v>45352</v>
      </c>
      <c r="C1511">
        <v>2024</v>
      </c>
      <c r="D1511">
        <v>3</v>
      </c>
      <c r="E1511" t="s">
        <v>58</v>
      </c>
      <c r="F1511" t="s">
        <v>48</v>
      </c>
      <c r="G1511" t="s">
        <v>43</v>
      </c>
      <c r="H1511" s="3">
        <v>77046.793843237654</v>
      </c>
      <c r="I1511">
        <v>22</v>
      </c>
      <c r="J1511" s="3">
        <v>45485.452632473229</v>
      </c>
      <c r="K1511" s="3">
        <v>31561.341210764429</v>
      </c>
    </row>
    <row r="1512" spans="1:11" x14ac:dyDescent="0.3">
      <c r="A1512" t="s">
        <v>1588</v>
      </c>
      <c r="B1512" s="2">
        <v>45352</v>
      </c>
      <c r="C1512">
        <v>2024</v>
      </c>
      <c r="D1512">
        <v>3</v>
      </c>
      <c r="E1512" t="s">
        <v>62</v>
      </c>
      <c r="F1512" t="s">
        <v>67</v>
      </c>
      <c r="G1512" t="s">
        <v>43</v>
      </c>
      <c r="H1512" s="3">
        <v>33497.421853806409</v>
      </c>
      <c r="I1512">
        <v>10</v>
      </c>
      <c r="J1512" s="3">
        <v>19981.823346117781</v>
      </c>
      <c r="K1512" s="3">
        <v>13515.598507688621</v>
      </c>
    </row>
    <row r="1513" spans="1:11" x14ac:dyDescent="0.3">
      <c r="A1513" t="s">
        <v>1589</v>
      </c>
      <c r="B1513" s="2">
        <v>45352</v>
      </c>
      <c r="C1513">
        <v>2024</v>
      </c>
      <c r="D1513">
        <v>3</v>
      </c>
      <c r="E1513" t="s">
        <v>62</v>
      </c>
      <c r="F1513" t="s">
        <v>48</v>
      </c>
      <c r="G1513" t="s">
        <v>43</v>
      </c>
      <c r="H1513" s="3">
        <v>59006.006997730627</v>
      </c>
      <c r="I1513">
        <v>17</v>
      </c>
      <c r="J1513" s="3">
        <v>35048.821211882751</v>
      </c>
      <c r="K1513" s="3">
        <v>23957.18578584788</v>
      </c>
    </row>
    <row r="1514" spans="1:11" x14ac:dyDescent="0.3">
      <c r="A1514" t="s">
        <v>1590</v>
      </c>
      <c r="B1514" s="2">
        <v>45383</v>
      </c>
      <c r="C1514">
        <v>2024</v>
      </c>
      <c r="D1514">
        <v>4</v>
      </c>
      <c r="E1514" t="s">
        <v>50</v>
      </c>
      <c r="F1514" t="s">
        <v>67</v>
      </c>
      <c r="G1514" t="s">
        <v>19</v>
      </c>
      <c r="H1514" s="3">
        <v>77680.483302372362</v>
      </c>
      <c r="I1514">
        <v>15</v>
      </c>
      <c r="J1514" s="3">
        <v>48307.168550621922</v>
      </c>
      <c r="K1514" s="3">
        <v>29373.31475175044</v>
      </c>
    </row>
    <row r="1515" spans="1:11" x14ac:dyDescent="0.3">
      <c r="A1515" t="s">
        <v>1591</v>
      </c>
      <c r="B1515" s="2">
        <v>45383</v>
      </c>
      <c r="C1515">
        <v>2024</v>
      </c>
      <c r="D1515">
        <v>4</v>
      </c>
      <c r="E1515" t="s">
        <v>50</v>
      </c>
      <c r="F1515" t="s">
        <v>48</v>
      </c>
      <c r="G1515" t="s">
        <v>19</v>
      </c>
      <c r="H1515" s="3">
        <v>147636.9183989189</v>
      </c>
      <c r="I1515">
        <v>28</v>
      </c>
      <c r="J1515" s="3">
        <v>93449.860874294885</v>
      </c>
      <c r="K1515" s="3">
        <v>54187.05752462399</v>
      </c>
    </row>
    <row r="1516" spans="1:11" x14ac:dyDescent="0.3">
      <c r="A1516" t="s">
        <v>1592</v>
      </c>
      <c r="B1516" s="2">
        <v>45383</v>
      </c>
      <c r="C1516">
        <v>2024</v>
      </c>
      <c r="D1516">
        <v>4</v>
      </c>
      <c r="E1516" t="s">
        <v>54</v>
      </c>
      <c r="F1516" t="s">
        <v>67</v>
      </c>
      <c r="G1516" t="s">
        <v>19</v>
      </c>
      <c r="H1516" s="3">
        <v>63152.877646481669</v>
      </c>
      <c r="I1516">
        <v>12</v>
      </c>
      <c r="J1516" s="3">
        <v>38774.487740918259</v>
      </c>
      <c r="K1516" s="3">
        <v>24378.38990556341</v>
      </c>
    </row>
    <row r="1517" spans="1:11" x14ac:dyDescent="0.3">
      <c r="A1517" t="s">
        <v>1593</v>
      </c>
      <c r="B1517" s="2">
        <v>45383</v>
      </c>
      <c r="C1517">
        <v>2024</v>
      </c>
      <c r="D1517">
        <v>4</v>
      </c>
      <c r="E1517" t="s">
        <v>54</v>
      </c>
      <c r="F1517" t="s">
        <v>48</v>
      </c>
      <c r="G1517" t="s">
        <v>19</v>
      </c>
      <c r="H1517" s="3">
        <v>119659.2705168789</v>
      </c>
      <c r="I1517">
        <v>23</v>
      </c>
      <c r="J1517" s="3">
        <v>75383.809002987095</v>
      </c>
      <c r="K1517" s="3">
        <v>44275.461513891787</v>
      </c>
    </row>
    <row r="1518" spans="1:11" x14ac:dyDescent="0.3">
      <c r="A1518" t="s">
        <v>1594</v>
      </c>
      <c r="B1518" s="2">
        <v>45383</v>
      </c>
      <c r="C1518">
        <v>2024</v>
      </c>
      <c r="D1518">
        <v>4</v>
      </c>
      <c r="E1518" t="s">
        <v>58</v>
      </c>
      <c r="F1518" t="s">
        <v>67</v>
      </c>
      <c r="G1518" t="s">
        <v>19</v>
      </c>
      <c r="H1518" s="3">
        <v>42248.970861813526</v>
      </c>
      <c r="I1518">
        <v>8</v>
      </c>
      <c r="J1518" s="3">
        <v>25424.869339873821</v>
      </c>
      <c r="K1518" s="3">
        <v>16824.101521939701</v>
      </c>
    </row>
    <row r="1519" spans="1:11" x14ac:dyDescent="0.3">
      <c r="A1519" t="s">
        <v>1595</v>
      </c>
      <c r="B1519" s="2">
        <v>45383</v>
      </c>
      <c r="C1519">
        <v>2024</v>
      </c>
      <c r="D1519">
        <v>4</v>
      </c>
      <c r="E1519" t="s">
        <v>58</v>
      </c>
      <c r="F1519" t="s">
        <v>48</v>
      </c>
      <c r="G1519" t="s">
        <v>19</v>
      </c>
      <c r="H1519" s="3">
        <v>87446.434126884182</v>
      </c>
      <c r="I1519">
        <v>17</v>
      </c>
      <c r="J1519" s="3">
        <v>53333.648573224251</v>
      </c>
      <c r="K1519" s="3">
        <v>34112.785553659931</v>
      </c>
    </row>
    <row r="1520" spans="1:11" x14ac:dyDescent="0.3">
      <c r="A1520" t="s">
        <v>1596</v>
      </c>
      <c r="B1520" s="2">
        <v>45383</v>
      </c>
      <c r="C1520">
        <v>2024</v>
      </c>
      <c r="D1520">
        <v>4</v>
      </c>
      <c r="E1520" t="s">
        <v>62</v>
      </c>
      <c r="F1520" t="s">
        <v>67</v>
      </c>
      <c r="G1520" t="s">
        <v>19</v>
      </c>
      <c r="H1520" s="3">
        <v>30436.787082377181</v>
      </c>
      <c r="I1520">
        <v>6</v>
      </c>
      <c r="J1520" s="3">
        <v>18257.002029551601</v>
      </c>
      <c r="K1520" s="3">
        <v>12179.78505282558</v>
      </c>
    </row>
    <row r="1521" spans="1:11" x14ac:dyDescent="0.3">
      <c r="A1521" t="s">
        <v>1597</v>
      </c>
      <c r="B1521" s="2">
        <v>45383</v>
      </c>
      <c r="C1521">
        <v>2024</v>
      </c>
      <c r="D1521">
        <v>4</v>
      </c>
      <c r="E1521" t="s">
        <v>62</v>
      </c>
      <c r="F1521" t="s">
        <v>48</v>
      </c>
      <c r="G1521" t="s">
        <v>19</v>
      </c>
      <c r="H1521" s="3">
        <v>60695.968405628533</v>
      </c>
      <c r="I1521">
        <v>12</v>
      </c>
      <c r="J1521" s="3">
        <v>37445.329272675168</v>
      </c>
      <c r="K1521" s="3">
        <v>23250.639132953362</v>
      </c>
    </row>
    <row r="1522" spans="1:11" x14ac:dyDescent="0.3">
      <c r="A1522" t="s">
        <v>1598</v>
      </c>
      <c r="B1522" s="2">
        <v>45383</v>
      </c>
      <c r="C1522">
        <v>2024</v>
      </c>
      <c r="D1522">
        <v>4</v>
      </c>
      <c r="E1522" t="s">
        <v>50</v>
      </c>
      <c r="F1522" t="s">
        <v>67</v>
      </c>
      <c r="G1522" t="s">
        <v>24</v>
      </c>
      <c r="H1522" s="3">
        <v>86644.916681342904</v>
      </c>
      <c r="I1522">
        <v>14</v>
      </c>
      <c r="J1522" s="3">
        <v>57138.026413816748</v>
      </c>
      <c r="K1522" s="3">
        <v>29506.89026752616</v>
      </c>
    </row>
    <row r="1523" spans="1:11" x14ac:dyDescent="0.3">
      <c r="A1523" t="s">
        <v>1599</v>
      </c>
      <c r="B1523" s="2">
        <v>45383</v>
      </c>
      <c r="C1523">
        <v>2024</v>
      </c>
      <c r="D1523">
        <v>4</v>
      </c>
      <c r="E1523" t="s">
        <v>50</v>
      </c>
      <c r="F1523" t="s">
        <v>48</v>
      </c>
      <c r="G1523" t="s">
        <v>24</v>
      </c>
      <c r="H1523" s="3">
        <v>162025.13351176589</v>
      </c>
      <c r="I1523">
        <v>27</v>
      </c>
      <c r="J1523" s="3">
        <v>107156.2173547667</v>
      </c>
      <c r="K1523" s="3">
        <v>54868.916156999112</v>
      </c>
    </row>
    <row r="1524" spans="1:11" x14ac:dyDescent="0.3">
      <c r="A1524" t="s">
        <v>1600</v>
      </c>
      <c r="B1524" s="2">
        <v>45383</v>
      </c>
      <c r="C1524">
        <v>2024</v>
      </c>
      <c r="D1524">
        <v>4</v>
      </c>
      <c r="E1524" t="s">
        <v>54</v>
      </c>
      <c r="F1524" t="s">
        <v>67</v>
      </c>
      <c r="G1524" t="s">
        <v>24</v>
      </c>
      <c r="H1524" s="3">
        <v>65957.163451030196</v>
      </c>
      <c r="I1524">
        <v>11</v>
      </c>
      <c r="J1524" s="3">
        <v>43580.217884684673</v>
      </c>
      <c r="K1524" s="3">
        <v>22376.94556634553</v>
      </c>
    </row>
    <row r="1525" spans="1:11" x14ac:dyDescent="0.3">
      <c r="A1525" t="s">
        <v>1601</v>
      </c>
      <c r="B1525" s="2">
        <v>45383</v>
      </c>
      <c r="C1525">
        <v>2024</v>
      </c>
      <c r="D1525">
        <v>4</v>
      </c>
      <c r="E1525" t="s">
        <v>54</v>
      </c>
      <c r="F1525" t="s">
        <v>48</v>
      </c>
      <c r="G1525" t="s">
        <v>24</v>
      </c>
      <c r="H1525" s="3">
        <v>121927.8000614636</v>
      </c>
      <c r="I1525">
        <v>20</v>
      </c>
      <c r="J1525" s="3">
        <v>79128.784940227139</v>
      </c>
      <c r="K1525" s="3">
        <v>42799.015121236458</v>
      </c>
    </row>
    <row r="1526" spans="1:11" x14ac:dyDescent="0.3">
      <c r="A1526" t="s">
        <v>1602</v>
      </c>
      <c r="B1526" s="2">
        <v>45383</v>
      </c>
      <c r="C1526">
        <v>2024</v>
      </c>
      <c r="D1526">
        <v>4</v>
      </c>
      <c r="E1526" t="s">
        <v>58</v>
      </c>
      <c r="F1526" t="s">
        <v>67</v>
      </c>
      <c r="G1526" t="s">
        <v>24</v>
      </c>
      <c r="H1526" s="3">
        <v>45589.438190978573</v>
      </c>
      <c r="I1526">
        <v>7</v>
      </c>
      <c r="J1526" s="3">
        <v>29985.994284218679</v>
      </c>
      <c r="K1526" s="3">
        <v>15603.443906759891</v>
      </c>
    </row>
    <row r="1527" spans="1:11" x14ac:dyDescent="0.3">
      <c r="A1527" t="s">
        <v>1603</v>
      </c>
      <c r="B1527" s="2">
        <v>45383</v>
      </c>
      <c r="C1527">
        <v>2024</v>
      </c>
      <c r="D1527">
        <v>4</v>
      </c>
      <c r="E1527" t="s">
        <v>58</v>
      </c>
      <c r="F1527" t="s">
        <v>48</v>
      </c>
      <c r="G1527" t="s">
        <v>24</v>
      </c>
      <c r="H1527" s="3">
        <v>90057.19955419148</v>
      </c>
      <c r="I1527">
        <v>15</v>
      </c>
      <c r="J1527" s="3">
        <v>57835.664166704497</v>
      </c>
      <c r="K1527" s="3">
        <v>32221.53538748698</v>
      </c>
    </row>
    <row r="1528" spans="1:11" x14ac:dyDescent="0.3">
      <c r="A1528" t="s">
        <v>1604</v>
      </c>
      <c r="B1528" s="2">
        <v>45383</v>
      </c>
      <c r="C1528">
        <v>2024</v>
      </c>
      <c r="D1528">
        <v>4</v>
      </c>
      <c r="E1528" t="s">
        <v>62</v>
      </c>
      <c r="F1528" t="s">
        <v>67</v>
      </c>
      <c r="G1528" t="s">
        <v>24</v>
      </c>
      <c r="H1528" s="3">
        <v>35943.24334136564</v>
      </c>
      <c r="I1528">
        <v>6</v>
      </c>
      <c r="J1528" s="3">
        <v>24304.647190205491</v>
      </c>
      <c r="K1528" s="3">
        <v>11638.596151160151</v>
      </c>
    </row>
    <row r="1529" spans="1:11" x14ac:dyDescent="0.3">
      <c r="A1529" t="s">
        <v>1605</v>
      </c>
      <c r="B1529" s="2">
        <v>45383</v>
      </c>
      <c r="C1529">
        <v>2024</v>
      </c>
      <c r="D1529">
        <v>4</v>
      </c>
      <c r="E1529" t="s">
        <v>62</v>
      </c>
      <c r="F1529" t="s">
        <v>48</v>
      </c>
      <c r="G1529" t="s">
        <v>24</v>
      </c>
      <c r="H1529" s="3">
        <v>62631.871148011647</v>
      </c>
      <c r="I1529">
        <v>10</v>
      </c>
      <c r="J1529" s="3">
        <v>41111.11692907758</v>
      </c>
      <c r="K1529" s="3">
        <v>21520.754218934071</v>
      </c>
    </row>
    <row r="1530" spans="1:11" x14ac:dyDescent="0.3">
      <c r="A1530" t="s">
        <v>1606</v>
      </c>
      <c r="B1530" s="2">
        <v>45383</v>
      </c>
      <c r="C1530">
        <v>2024</v>
      </c>
      <c r="D1530">
        <v>4</v>
      </c>
      <c r="E1530" t="s">
        <v>50</v>
      </c>
      <c r="F1530" t="s">
        <v>67</v>
      </c>
      <c r="G1530" t="s">
        <v>29</v>
      </c>
      <c r="H1530" s="3">
        <v>58338.241639338528</v>
      </c>
      <c r="I1530">
        <v>14</v>
      </c>
      <c r="J1530" s="3">
        <v>37007.915533756488</v>
      </c>
      <c r="K1530" s="3">
        <v>21330.32610558204</v>
      </c>
    </row>
    <row r="1531" spans="1:11" x14ac:dyDescent="0.3">
      <c r="A1531" t="s">
        <v>1607</v>
      </c>
      <c r="B1531" s="2">
        <v>45383</v>
      </c>
      <c r="C1531">
        <v>2024</v>
      </c>
      <c r="D1531">
        <v>4</v>
      </c>
      <c r="E1531" t="s">
        <v>50</v>
      </c>
      <c r="F1531" t="s">
        <v>48</v>
      </c>
      <c r="G1531" t="s">
        <v>29</v>
      </c>
      <c r="H1531" s="3">
        <v>101485.6865250148</v>
      </c>
      <c r="I1531">
        <v>24</v>
      </c>
      <c r="J1531" s="3">
        <v>66808.493520924501</v>
      </c>
      <c r="K1531" s="3">
        <v>34677.193004090303</v>
      </c>
    </row>
    <row r="1532" spans="1:11" x14ac:dyDescent="0.3">
      <c r="A1532" t="s">
        <v>1608</v>
      </c>
      <c r="B1532" s="2">
        <v>45383</v>
      </c>
      <c r="C1532">
        <v>2024</v>
      </c>
      <c r="D1532">
        <v>4</v>
      </c>
      <c r="E1532" t="s">
        <v>54</v>
      </c>
      <c r="F1532" t="s">
        <v>67</v>
      </c>
      <c r="G1532" t="s">
        <v>29</v>
      </c>
      <c r="H1532" s="3">
        <v>41706.581110778723</v>
      </c>
      <c r="I1532">
        <v>10</v>
      </c>
      <c r="J1532" s="3">
        <v>26095.362371955031</v>
      </c>
      <c r="K1532" s="3">
        <v>15611.218738823691</v>
      </c>
    </row>
    <row r="1533" spans="1:11" x14ac:dyDescent="0.3">
      <c r="A1533" t="s">
        <v>1609</v>
      </c>
      <c r="B1533" s="2">
        <v>45383</v>
      </c>
      <c r="C1533">
        <v>2024</v>
      </c>
      <c r="D1533">
        <v>4</v>
      </c>
      <c r="E1533" t="s">
        <v>54</v>
      </c>
      <c r="F1533" t="s">
        <v>48</v>
      </c>
      <c r="G1533" t="s">
        <v>29</v>
      </c>
      <c r="H1533" s="3">
        <v>74090.952487635499</v>
      </c>
      <c r="I1533">
        <v>17</v>
      </c>
      <c r="J1533" s="3">
        <v>46457.489729714958</v>
      </c>
      <c r="K1533" s="3">
        <v>27633.462757920541</v>
      </c>
    </row>
    <row r="1534" spans="1:11" x14ac:dyDescent="0.3">
      <c r="A1534" t="s">
        <v>1610</v>
      </c>
      <c r="B1534" s="2">
        <v>45383</v>
      </c>
      <c r="C1534">
        <v>2024</v>
      </c>
      <c r="D1534">
        <v>4</v>
      </c>
      <c r="E1534" t="s">
        <v>58</v>
      </c>
      <c r="F1534" t="s">
        <v>67</v>
      </c>
      <c r="G1534" t="s">
        <v>29</v>
      </c>
      <c r="H1534" s="3">
        <v>27798.64705145104</v>
      </c>
      <c r="I1534">
        <v>6</v>
      </c>
      <c r="J1534" s="3">
        <v>17440.080062221681</v>
      </c>
      <c r="K1534" s="3">
        <v>10358.566989229361</v>
      </c>
    </row>
    <row r="1535" spans="1:11" x14ac:dyDescent="0.3">
      <c r="A1535" t="s">
        <v>1611</v>
      </c>
      <c r="B1535" s="2">
        <v>45383</v>
      </c>
      <c r="C1535">
        <v>2024</v>
      </c>
      <c r="D1535">
        <v>4</v>
      </c>
      <c r="E1535" t="s">
        <v>58</v>
      </c>
      <c r="F1535" t="s">
        <v>48</v>
      </c>
      <c r="G1535" t="s">
        <v>29</v>
      </c>
      <c r="H1535" s="3">
        <v>58387.882972451793</v>
      </c>
      <c r="I1535">
        <v>14</v>
      </c>
      <c r="J1535" s="3">
        <v>37322.592882687059</v>
      </c>
      <c r="K1535" s="3">
        <v>21065.290089764731</v>
      </c>
    </row>
    <row r="1536" spans="1:11" x14ac:dyDescent="0.3">
      <c r="A1536" t="s">
        <v>1612</v>
      </c>
      <c r="B1536" s="2">
        <v>45383</v>
      </c>
      <c r="C1536">
        <v>2024</v>
      </c>
      <c r="D1536">
        <v>4</v>
      </c>
      <c r="E1536" t="s">
        <v>62</v>
      </c>
      <c r="F1536" t="s">
        <v>67</v>
      </c>
      <c r="G1536" t="s">
        <v>29</v>
      </c>
      <c r="H1536" s="3">
        <v>24955.785839282689</v>
      </c>
      <c r="I1536">
        <v>6</v>
      </c>
      <c r="J1536" s="3">
        <v>16095.79299614414</v>
      </c>
      <c r="K1536" s="3">
        <v>8859.9928431385415</v>
      </c>
    </row>
    <row r="1537" spans="1:11" x14ac:dyDescent="0.3">
      <c r="A1537" t="s">
        <v>1613</v>
      </c>
      <c r="B1537" s="2">
        <v>45383</v>
      </c>
      <c r="C1537">
        <v>2024</v>
      </c>
      <c r="D1537">
        <v>4</v>
      </c>
      <c r="E1537" t="s">
        <v>62</v>
      </c>
      <c r="F1537" t="s">
        <v>48</v>
      </c>
      <c r="G1537" t="s">
        <v>29</v>
      </c>
      <c r="H1537" s="3">
        <v>42382.199461962948</v>
      </c>
      <c r="I1537">
        <v>10</v>
      </c>
      <c r="J1537" s="3">
        <v>27485.748979230069</v>
      </c>
      <c r="K1537" s="3">
        <v>14896.45048273288</v>
      </c>
    </row>
    <row r="1538" spans="1:11" x14ac:dyDescent="0.3">
      <c r="A1538" t="s">
        <v>1614</v>
      </c>
      <c r="B1538" s="2">
        <v>45383</v>
      </c>
      <c r="C1538">
        <v>2024</v>
      </c>
      <c r="D1538">
        <v>4</v>
      </c>
      <c r="E1538" t="s">
        <v>50</v>
      </c>
      <c r="F1538" t="s">
        <v>67</v>
      </c>
      <c r="G1538" t="s">
        <v>34</v>
      </c>
      <c r="H1538" s="3">
        <v>55774.921267581864</v>
      </c>
      <c r="I1538">
        <v>66</v>
      </c>
      <c r="J1538" s="3">
        <v>28011.394714363942</v>
      </c>
      <c r="K1538" s="3">
        <v>27763.526553217918</v>
      </c>
    </row>
    <row r="1539" spans="1:11" x14ac:dyDescent="0.3">
      <c r="A1539" t="s">
        <v>1615</v>
      </c>
      <c r="B1539" s="2">
        <v>45383</v>
      </c>
      <c r="C1539">
        <v>2024</v>
      </c>
      <c r="D1539">
        <v>4</v>
      </c>
      <c r="E1539" t="s">
        <v>50</v>
      </c>
      <c r="F1539" t="s">
        <v>48</v>
      </c>
      <c r="G1539" t="s">
        <v>34</v>
      </c>
      <c r="H1539" s="3">
        <v>93282.481911058989</v>
      </c>
      <c r="I1539">
        <v>110</v>
      </c>
      <c r="J1539" s="3">
        <v>42962.637288535007</v>
      </c>
      <c r="K1539" s="3">
        <v>50319.844622523968</v>
      </c>
    </row>
    <row r="1540" spans="1:11" x14ac:dyDescent="0.3">
      <c r="A1540" t="s">
        <v>1616</v>
      </c>
      <c r="B1540" s="2">
        <v>45383</v>
      </c>
      <c r="C1540">
        <v>2024</v>
      </c>
      <c r="D1540">
        <v>4</v>
      </c>
      <c r="E1540" t="s">
        <v>54</v>
      </c>
      <c r="F1540" t="s">
        <v>67</v>
      </c>
      <c r="G1540" t="s">
        <v>34</v>
      </c>
      <c r="H1540" s="3">
        <v>45531.224007724522</v>
      </c>
      <c r="I1540">
        <v>54</v>
      </c>
      <c r="J1540" s="3">
        <v>22094.457880407681</v>
      </c>
      <c r="K1540" s="3">
        <v>23436.766127316831</v>
      </c>
    </row>
    <row r="1541" spans="1:11" x14ac:dyDescent="0.3">
      <c r="A1541" t="s">
        <v>1617</v>
      </c>
      <c r="B1541" s="2">
        <v>45383</v>
      </c>
      <c r="C1541">
        <v>2024</v>
      </c>
      <c r="D1541">
        <v>4</v>
      </c>
      <c r="E1541" t="s">
        <v>54</v>
      </c>
      <c r="F1541" t="s">
        <v>48</v>
      </c>
      <c r="G1541" t="s">
        <v>34</v>
      </c>
      <c r="H1541" s="3">
        <v>76015.195313265853</v>
      </c>
      <c r="I1541">
        <v>89</v>
      </c>
      <c r="J1541" s="3">
        <v>36121.386386910053</v>
      </c>
      <c r="K1541" s="3">
        <v>39893.808926355807</v>
      </c>
    </row>
    <row r="1542" spans="1:11" x14ac:dyDescent="0.3">
      <c r="A1542" t="s">
        <v>1618</v>
      </c>
      <c r="B1542" s="2">
        <v>45383</v>
      </c>
      <c r="C1542">
        <v>2024</v>
      </c>
      <c r="D1542">
        <v>4</v>
      </c>
      <c r="E1542" t="s">
        <v>58</v>
      </c>
      <c r="F1542" t="s">
        <v>67</v>
      </c>
      <c r="G1542" t="s">
        <v>34</v>
      </c>
      <c r="H1542" s="3">
        <v>28869.528707596859</v>
      </c>
      <c r="I1542">
        <v>34</v>
      </c>
      <c r="J1542" s="3">
        <v>13711.102649298909</v>
      </c>
      <c r="K1542" s="3">
        <v>15158.42605829794</v>
      </c>
    </row>
    <row r="1543" spans="1:11" x14ac:dyDescent="0.3">
      <c r="A1543" t="s">
        <v>1619</v>
      </c>
      <c r="B1543" s="2">
        <v>45383</v>
      </c>
      <c r="C1543">
        <v>2024</v>
      </c>
      <c r="D1543">
        <v>4</v>
      </c>
      <c r="E1543" t="s">
        <v>58</v>
      </c>
      <c r="F1543" t="s">
        <v>48</v>
      </c>
      <c r="G1543" t="s">
        <v>34</v>
      </c>
      <c r="H1543" s="3">
        <v>53349.037074015148</v>
      </c>
      <c r="I1543">
        <v>63</v>
      </c>
      <c r="J1543" s="3">
        <v>25321.862707947512</v>
      </c>
      <c r="K1543" s="3">
        <v>28027.17436606764</v>
      </c>
    </row>
    <row r="1544" spans="1:11" x14ac:dyDescent="0.3">
      <c r="A1544" t="s">
        <v>1620</v>
      </c>
      <c r="B1544" s="2">
        <v>45383</v>
      </c>
      <c r="C1544">
        <v>2024</v>
      </c>
      <c r="D1544">
        <v>4</v>
      </c>
      <c r="E1544" t="s">
        <v>62</v>
      </c>
      <c r="F1544" t="s">
        <v>67</v>
      </c>
      <c r="G1544" t="s">
        <v>34</v>
      </c>
      <c r="H1544" s="3">
        <v>19647.11584193489</v>
      </c>
      <c r="I1544">
        <v>23</v>
      </c>
      <c r="J1544" s="3">
        <v>9276.3509702432984</v>
      </c>
      <c r="K1544" s="3">
        <v>10370.764871691599</v>
      </c>
    </row>
    <row r="1545" spans="1:11" x14ac:dyDescent="0.3">
      <c r="A1545" t="s">
        <v>1621</v>
      </c>
      <c r="B1545" s="2">
        <v>45383</v>
      </c>
      <c r="C1545">
        <v>2024</v>
      </c>
      <c r="D1545">
        <v>4</v>
      </c>
      <c r="E1545" t="s">
        <v>62</v>
      </c>
      <c r="F1545" t="s">
        <v>48</v>
      </c>
      <c r="G1545" t="s">
        <v>34</v>
      </c>
      <c r="H1545" s="3">
        <v>37085.779595456552</v>
      </c>
      <c r="I1545">
        <v>44</v>
      </c>
      <c r="J1545" s="3">
        <v>18340.93156644563</v>
      </c>
      <c r="K1545" s="3">
        <v>18744.848029010918</v>
      </c>
    </row>
    <row r="1546" spans="1:11" x14ac:dyDescent="0.3">
      <c r="A1546" t="s">
        <v>1622</v>
      </c>
      <c r="B1546" s="2">
        <v>45383</v>
      </c>
      <c r="C1546">
        <v>2024</v>
      </c>
      <c r="D1546">
        <v>4</v>
      </c>
      <c r="E1546" t="s">
        <v>50</v>
      </c>
      <c r="F1546" t="s">
        <v>67</v>
      </c>
      <c r="G1546" t="s">
        <v>37</v>
      </c>
      <c r="H1546" s="3">
        <v>44131.993264714729</v>
      </c>
      <c r="I1546">
        <v>61</v>
      </c>
      <c r="J1546" s="3">
        <v>24640.601669223492</v>
      </c>
      <c r="K1546" s="3">
        <v>19491.391595491241</v>
      </c>
    </row>
    <row r="1547" spans="1:11" x14ac:dyDescent="0.3">
      <c r="A1547" t="s">
        <v>1623</v>
      </c>
      <c r="B1547" s="2">
        <v>45383</v>
      </c>
      <c r="C1547">
        <v>2024</v>
      </c>
      <c r="D1547">
        <v>4</v>
      </c>
      <c r="E1547" t="s">
        <v>50</v>
      </c>
      <c r="F1547" t="s">
        <v>48</v>
      </c>
      <c r="G1547" t="s">
        <v>37</v>
      </c>
      <c r="H1547" s="3">
        <v>82917.107533586226</v>
      </c>
      <c r="I1547">
        <v>115</v>
      </c>
      <c r="J1547" s="3">
        <v>45623.450243611478</v>
      </c>
      <c r="K1547" s="3">
        <v>37293.657289974748</v>
      </c>
    </row>
    <row r="1548" spans="1:11" x14ac:dyDescent="0.3">
      <c r="A1548" t="s">
        <v>1624</v>
      </c>
      <c r="B1548" s="2">
        <v>45383</v>
      </c>
      <c r="C1548">
        <v>2024</v>
      </c>
      <c r="D1548">
        <v>4</v>
      </c>
      <c r="E1548" t="s">
        <v>54</v>
      </c>
      <c r="F1548" t="s">
        <v>67</v>
      </c>
      <c r="G1548" t="s">
        <v>37</v>
      </c>
      <c r="H1548" s="3">
        <v>34225.01269777507</v>
      </c>
      <c r="I1548">
        <v>48</v>
      </c>
      <c r="J1548" s="3">
        <v>19281.518443485529</v>
      </c>
      <c r="K1548" s="3">
        <v>14943.494254289541</v>
      </c>
    </row>
    <row r="1549" spans="1:11" x14ac:dyDescent="0.3">
      <c r="A1549" t="s">
        <v>1625</v>
      </c>
      <c r="B1549" s="2">
        <v>45383</v>
      </c>
      <c r="C1549">
        <v>2024</v>
      </c>
      <c r="D1549">
        <v>4</v>
      </c>
      <c r="E1549" t="s">
        <v>54</v>
      </c>
      <c r="F1549" t="s">
        <v>48</v>
      </c>
      <c r="G1549" t="s">
        <v>37</v>
      </c>
      <c r="H1549" s="3">
        <v>61302.926657676027</v>
      </c>
      <c r="I1549">
        <v>85</v>
      </c>
      <c r="J1549" s="3">
        <v>32798.657384671278</v>
      </c>
      <c r="K1549" s="3">
        <v>28504.269273004749</v>
      </c>
    </row>
    <row r="1550" spans="1:11" x14ac:dyDescent="0.3">
      <c r="A1550" t="s">
        <v>1626</v>
      </c>
      <c r="B1550" s="2">
        <v>45383</v>
      </c>
      <c r="C1550">
        <v>2024</v>
      </c>
      <c r="D1550">
        <v>4</v>
      </c>
      <c r="E1550" t="s">
        <v>58</v>
      </c>
      <c r="F1550" t="s">
        <v>67</v>
      </c>
      <c r="G1550" t="s">
        <v>37</v>
      </c>
      <c r="H1550" s="3">
        <v>24664.9377214823</v>
      </c>
      <c r="I1550">
        <v>34</v>
      </c>
      <c r="J1550" s="3">
        <v>13240.780330834919</v>
      </c>
      <c r="K1550" s="3">
        <v>11424.15739064738</v>
      </c>
    </row>
    <row r="1551" spans="1:11" x14ac:dyDescent="0.3">
      <c r="A1551" t="s">
        <v>1627</v>
      </c>
      <c r="B1551" s="2">
        <v>45383</v>
      </c>
      <c r="C1551">
        <v>2024</v>
      </c>
      <c r="D1551">
        <v>4</v>
      </c>
      <c r="E1551" t="s">
        <v>58</v>
      </c>
      <c r="F1551" t="s">
        <v>48</v>
      </c>
      <c r="G1551" t="s">
        <v>37</v>
      </c>
      <c r="H1551" s="3">
        <v>41033.637019754897</v>
      </c>
      <c r="I1551">
        <v>57</v>
      </c>
      <c r="J1551" s="3">
        <v>21683.737980965401</v>
      </c>
      <c r="K1551" s="3">
        <v>19349.899038789499</v>
      </c>
    </row>
    <row r="1552" spans="1:11" x14ac:dyDescent="0.3">
      <c r="A1552" t="s">
        <v>1628</v>
      </c>
      <c r="B1552" s="2">
        <v>45383</v>
      </c>
      <c r="C1552">
        <v>2024</v>
      </c>
      <c r="D1552">
        <v>4</v>
      </c>
      <c r="E1552" t="s">
        <v>62</v>
      </c>
      <c r="F1552" t="s">
        <v>67</v>
      </c>
      <c r="G1552" t="s">
        <v>37</v>
      </c>
      <c r="H1552" s="3">
        <v>16984.822433855959</v>
      </c>
      <c r="I1552">
        <v>24</v>
      </c>
      <c r="J1552" s="3">
        <v>9224.0459640814352</v>
      </c>
      <c r="K1552" s="3">
        <v>7760.7764697745279</v>
      </c>
    </row>
    <row r="1553" spans="1:11" x14ac:dyDescent="0.3">
      <c r="A1553" t="s">
        <v>1629</v>
      </c>
      <c r="B1553" s="2">
        <v>45383</v>
      </c>
      <c r="C1553">
        <v>2024</v>
      </c>
      <c r="D1553">
        <v>4</v>
      </c>
      <c r="E1553" t="s">
        <v>62</v>
      </c>
      <c r="F1553" t="s">
        <v>48</v>
      </c>
      <c r="G1553" t="s">
        <v>37</v>
      </c>
      <c r="H1553" s="3">
        <v>31141.849839157308</v>
      </c>
      <c r="I1553">
        <v>43</v>
      </c>
      <c r="J1553" s="3">
        <v>17177.86976479126</v>
      </c>
      <c r="K1553" s="3">
        <v>13963.980074366051</v>
      </c>
    </row>
    <row r="1554" spans="1:11" x14ac:dyDescent="0.3">
      <c r="A1554" t="s">
        <v>1630</v>
      </c>
      <c r="B1554" s="2">
        <v>45383</v>
      </c>
      <c r="C1554">
        <v>2024</v>
      </c>
      <c r="D1554">
        <v>4</v>
      </c>
      <c r="E1554" t="s">
        <v>50</v>
      </c>
      <c r="F1554" t="s">
        <v>67</v>
      </c>
      <c r="G1554" t="s">
        <v>40</v>
      </c>
      <c r="H1554" s="3">
        <v>34634.700065716861</v>
      </c>
      <c r="I1554">
        <v>6</v>
      </c>
      <c r="J1554" s="3">
        <v>23942.188997213369</v>
      </c>
      <c r="K1554" s="3">
        <v>10692.511068503491</v>
      </c>
    </row>
    <row r="1555" spans="1:11" x14ac:dyDescent="0.3">
      <c r="A1555" t="s">
        <v>1631</v>
      </c>
      <c r="B1555" s="2">
        <v>45383</v>
      </c>
      <c r="C1555">
        <v>2024</v>
      </c>
      <c r="D1555">
        <v>4</v>
      </c>
      <c r="E1555" t="s">
        <v>50</v>
      </c>
      <c r="F1555" t="s">
        <v>48</v>
      </c>
      <c r="G1555" t="s">
        <v>40</v>
      </c>
      <c r="H1555" s="3">
        <v>66985.944523072438</v>
      </c>
      <c r="I1555">
        <v>12</v>
      </c>
      <c r="J1555" s="3">
        <v>46344.549028317771</v>
      </c>
      <c r="K1555" s="3">
        <v>20641.39549475467</v>
      </c>
    </row>
    <row r="1556" spans="1:11" x14ac:dyDescent="0.3">
      <c r="A1556" t="s">
        <v>1632</v>
      </c>
      <c r="B1556" s="2">
        <v>45383</v>
      </c>
      <c r="C1556">
        <v>2024</v>
      </c>
      <c r="D1556">
        <v>4</v>
      </c>
      <c r="E1556" t="s">
        <v>54</v>
      </c>
      <c r="F1556" t="s">
        <v>67</v>
      </c>
      <c r="G1556" t="s">
        <v>40</v>
      </c>
      <c r="H1556" s="3">
        <v>29448.306945167449</v>
      </c>
      <c r="I1556">
        <v>5</v>
      </c>
      <c r="J1556" s="3">
        <v>19803.240617460939</v>
      </c>
      <c r="K1556" s="3">
        <v>9645.0663277065105</v>
      </c>
    </row>
    <row r="1557" spans="1:11" x14ac:dyDescent="0.3">
      <c r="A1557" t="s">
        <v>1633</v>
      </c>
      <c r="B1557" s="2">
        <v>45383</v>
      </c>
      <c r="C1557">
        <v>2024</v>
      </c>
      <c r="D1557">
        <v>4</v>
      </c>
      <c r="E1557" t="s">
        <v>54</v>
      </c>
      <c r="F1557" t="s">
        <v>48</v>
      </c>
      <c r="G1557" t="s">
        <v>40</v>
      </c>
      <c r="H1557" s="3">
        <v>56266.7557738791</v>
      </c>
      <c r="I1557">
        <v>10</v>
      </c>
      <c r="J1557" s="3">
        <v>39385.332607927667</v>
      </c>
      <c r="K1557" s="3">
        <v>16881.42316595143</v>
      </c>
    </row>
    <row r="1558" spans="1:11" x14ac:dyDescent="0.3">
      <c r="A1558" t="s">
        <v>1634</v>
      </c>
      <c r="B1558" s="2">
        <v>45383</v>
      </c>
      <c r="C1558">
        <v>2024</v>
      </c>
      <c r="D1558">
        <v>4</v>
      </c>
      <c r="E1558" t="s">
        <v>58</v>
      </c>
      <c r="F1558" t="s">
        <v>67</v>
      </c>
      <c r="G1558" t="s">
        <v>40</v>
      </c>
      <c r="H1558" s="3">
        <v>18996.28275662924</v>
      </c>
      <c r="I1558">
        <v>4</v>
      </c>
      <c r="J1558" s="3">
        <v>13163.97134066597</v>
      </c>
      <c r="K1558" s="3">
        <v>5832.311415963266</v>
      </c>
    </row>
    <row r="1559" spans="1:11" x14ac:dyDescent="0.3">
      <c r="A1559" t="s">
        <v>1635</v>
      </c>
      <c r="B1559" s="2">
        <v>45383</v>
      </c>
      <c r="C1559">
        <v>2024</v>
      </c>
      <c r="D1559">
        <v>4</v>
      </c>
      <c r="E1559" t="s">
        <v>58</v>
      </c>
      <c r="F1559" t="s">
        <v>48</v>
      </c>
      <c r="G1559" t="s">
        <v>40</v>
      </c>
      <c r="H1559" s="3">
        <v>38759.814013209027</v>
      </c>
      <c r="I1559">
        <v>7</v>
      </c>
      <c r="J1559" s="3">
        <v>27097.161720445441</v>
      </c>
      <c r="K1559" s="3">
        <v>11662.652292763591</v>
      </c>
    </row>
    <row r="1560" spans="1:11" x14ac:dyDescent="0.3">
      <c r="A1560" t="s">
        <v>1636</v>
      </c>
      <c r="B1560" s="2">
        <v>45383</v>
      </c>
      <c r="C1560">
        <v>2024</v>
      </c>
      <c r="D1560">
        <v>4</v>
      </c>
      <c r="E1560" t="s">
        <v>62</v>
      </c>
      <c r="F1560" t="s">
        <v>67</v>
      </c>
      <c r="G1560" t="s">
        <v>40</v>
      </c>
      <c r="H1560" s="3">
        <v>14493.259654857549</v>
      </c>
      <c r="I1560">
        <v>3</v>
      </c>
      <c r="J1560" s="3">
        <v>9659.6400740392583</v>
      </c>
      <c r="K1560" s="3">
        <v>4833.6195808182911</v>
      </c>
    </row>
    <row r="1561" spans="1:11" x14ac:dyDescent="0.3">
      <c r="A1561" t="s">
        <v>1637</v>
      </c>
      <c r="B1561" s="2">
        <v>45383</v>
      </c>
      <c r="C1561">
        <v>2024</v>
      </c>
      <c r="D1561">
        <v>4</v>
      </c>
      <c r="E1561" t="s">
        <v>62</v>
      </c>
      <c r="F1561" t="s">
        <v>48</v>
      </c>
      <c r="G1561" t="s">
        <v>40</v>
      </c>
      <c r="H1561" s="3">
        <v>29770.538146920779</v>
      </c>
      <c r="I1561">
        <v>6</v>
      </c>
      <c r="J1561" s="3">
        <v>20656.84509251401</v>
      </c>
      <c r="K1561" s="3">
        <v>9113.6930544067727</v>
      </c>
    </row>
    <row r="1562" spans="1:11" x14ac:dyDescent="0.3">
      <c r="A1562" t="s">
        <v>1638</v>
      </c>
      <c r="B1562" s="2">
        <v>45383</v>
      </c>
      <c r="C1562">
        <v>2024</v>
      </c>
      <c r="D1562">
        <v>4</v>
      </c>
      <c r="E1562" t="s">
        <v>50</v>
      </c>
      <c r="F1562" t="s">
        <v>67</v>
      </c>
      <c r="G1562" t="s">
        <v>43</v>
      </c>
      <c r="H1562" s="3">
        <v>76851.79792021247</v>
      </c>
      <c r="I1562">
        <v>22</v>
      </c>
      <c r="J1562" s="3">
        <v>44373.147056576643</v>
      </c>
      <c r="K1562" s="3">
        <v>32478.65086363583</v>
      </c>
    </row>
    <row r="1563" spans="1:11" x14ac:dyDescent="0.3">
      <c r="A1563" t="s">
        <v>1639</v>
      </c>
      <c r="B1563" s="2">
        <v>45383</v>
      </c>
      <c r="C1563">
        <v>2024</v>
      </c>
      <c r="D1563">
        <v>4</v>
      </c>
      <c r="E1563" t="s">
        <v>50</v>
      </c>
      <c r="F1563" t="s">
        <v>48</v>
      </c>
      <c r="G1563" t="s">
        <v>43</v>
      </c>
      <c r="H1563" s="3">
        <v>157354.83449137179</v>
      </c>
      <c r="I1563">
        <v>45</v>
      </c>
      <c r="J1563" s="3">
        <v>92175.382147981698</v>
      </c>
      <c r="K1563" s="3">
        <v>65179.452343390149</v>
      </c>
    </row>
    <row r="1564" spans="1:11" x14ac:dyDescent="0.3">
      <c r="A1564" t="s">
        <v>1640</v>
      </c>
      <c r="B1564" s="2">
        <v>45383</v>
      </c>
      <c r="C1564">
        <v>2024</v>
      </c>
      <c r="D1564">
        <v>4</v>
      </c>
      <c r="E1564" t="s">
        <v>54</v>
      </c>
      <c r="F1564" t="s">
        <v>67</v>
      </c>
      <c r="G1564" t="s">
        <v>43</v>
      </c>
      <c r="H1564" s="3">
        <v>63031.192457619713</v>
      </c>
      <c r="I1564">
        <v>18</v>
      </c>
      <c r="J1564" s="3">
        <v>37546.102744877593</v>
      </c>
      <c r="K1564" s="3">
        <v>25485.089712742119</v>
      </c>
    </row>
    <row r="1565" spans="1:11" x14ac:dyDescent="0.3">
      <c r="A1565" t="s">
        <v>1641</v>
      </c>
      <c r="B1565" s="2">
        <v>45383</v>
      </c>
      <c r="C1565">
        <v>2024</v>
      </c>
      <c r="D1565">
        <v>4</v>
      </c>
      <c r="E1565" t="s">
        <v>54</v>
      </c>
      <c r="F1565" t="s">
        <v>48</v>
      </c>
      <c r="G1565" t="s">
        <v>43</v>
      </c>
      <c r="H1565" s="3">
        <v>123056.5172583456</v>
      </c>
      <c r="I1565">
        <v>35</v>
      </c>
      <c r="J1565" s="3">
        <v>72722.391792124297</v>
      </c>
      <c r="K1565" s="3">
        <v>50334.125466221332</v>
      </c>
    </row>
    <row r="1566" spans="1:11" x14ac:dyDescent="0.3">
      <c r="A1566" t="s">
        <v>1642</v>
      </c>
      <c r="B1566" s="2">
        <v>45383</v>
      </c>
      <c r="C1566">
        <v>2024</v>
      </c>
      <c r="D1566">
        <v>4</v>
      </c>
      <c r="E1566" t="s">
        <v>58</v>
      </c>
      <c r="F1566" t="s">
        <v>67</v>
      </c>
      <c r="G1566" t="s">
        <v>43</v>
      </c>
      <c r="H1566" s="3">
        <v>48554.227066719373</v>
      </c>
      <c r="I1566">
        <v>14</v>
      </c>
      <c r="J1566" s="3">
        <v>28207.900877387041</v>
      </c>
      <c r="K1566" s="3">
        <v>20346.32618933234</v>
      </c>
    </row>
    <row r="1567" spans="1:11" x14ac:dyDescent="0.3">
      <c r="A1567" t="s">
        <v>1643</v>
      </c>
      <c r="B1567" s="2">
        <v>45383</v>
      </c>
      <c r="C1567">
        <v>2024</v>
      </c>
      <c r="D1567">
        <v>4</v>
      </c>
      <c r="E1567" t="s">
        <v>58</v>
      </c>
      <c r="F1567" t="s">
        <v>48</v>
      </c>
      <c r="G1567" t="s">
        <v>43</v>
      </c>
      <c r="H1567" s="3">
        <v>82635.561255201639</v>
      </c>
      <c r="I1567">
        <v>24</v>
      </c>
      <c r="J1567" s="3">
        <v>48760.486397575311</v>
      </c>
      <c r="K1567" s="3">
        <v>33875.074857626329</v>
      </c>
    </row>
    <row r="1568" spans="1:11" x14ac:dyDescent="0.3">
      <c r="A1568" t="s">
        <v>1644</v>
      </c>
      <c r="B1568" s="2">
        <v>45383</v>
      </c>
      <c r="C1568">
        <v>2024</v>
      </c>
      <c r="D1568">
        <v>4</v>
      </c>
      <c r="E1568" t="s">
        <v>62</v>
      </c>
      <c r="F1568" t="s">
        <v>67</v>
      </c>
      <c r="G1568" t="s">
        <v>43</v>
      </c>
      <c r="H1568" s="3">
        <v>31978.550043285839</v>
      </c>
      <c r="I1568">
        <v>9</v>
      </c>
      <c r="J1568" s="3">
        <v>18347.216445515489</v>
      </c>
      <c r="K1568" s="3">
        <v>13631.33359777035</v>
      </c>
    </row>
    <row r="1569" spans="1:11" x14ac:dyDescent="0.3">
      <c r="A1569" t="s">
        <v>1645</v>
      </c>
      <c r="B1569" s="2">
        <v>45383</v>
      </c>
      <c r="C1569">
        <v>2024</v>
      </c>
      <c r="D1569">
        <v>4</v>
      </c>
      <c r="E1569" t="s">
        <v>62</v>
      </c>
      <c r="F1569" t="s">
        <v>48</v>
      </c>
      <c r="G1569" t="s">
        <v>43</v>
      </c>
      <c r="H1569" s="3">
        <v>58940.532981529832</v>
      </c>
      <c r="I1569">
        <v>17</v>
      </c>
      <c r="J1569" s="3">
        <v>35494.922564456851</v>
      </c>
      <c r="K1569" s="3">
        <v>23445.610417072981</v>
      </c>
    </row>
    <row r="1570" spans="1:11" x14ac:dyDescent="0.3">
      <c r="A1570" t="s">
        <v>1646</v>
      </c>
      <c r="B1570" s="2">
        <v>45413</v>
      </c>
      <c r="C1570">
        <v>2024</v>
      </c>
      <c r="D1570">
        <v>5</v>
      </c>
      <c r="E1570" t="s">
        <v>50</v>
      </c>
      <c r="F1570" t="s">
        <v>67</v>
      </c>
      <c r="G1570" t="s">
        <v>19</v>
      </c>
      <c r="H1570" s="3">
        <v>76399.197988616463</v>
      </c>
      <c r="I1570">
        <v>15</v>
      </c>
      <c r="J1570" s="3">
        <v>47192.474508486979</v>
      </c>
      <c r="K1570" s="3">
        <v>29206.72348012948</v>
      </c>
    </row>
    <row r="1571" spans="1:11" x14ac:dyDescent="0.3">
      <c r="A1571" t="s">
        <v>1647</v>
      </c>
      <c r="B1571" s="2">
        <v>45413</v>
      </c>
      <c r="C1571">
        <v>2024</v>
      </c>
      <c r="D1571">
        <v>5</v>
      </c>
      <c r="E1571" t="s">
        <v>50</v>
      </c>
      <c r="F1571" t="s">
        <v>48</v>
      </c>
      <c r="G1571" t="s">
        <v>19</v>
      </c>
      <c r="H1571" s="3">
        <v>149153.15861606499</v>
      </c>
      <c r="I1571">
        <v>29</v>
      </c>
      <c r="J1571" s="3">
        <v>94336.839812931765</v>
      </c>
      <c r="K1571" s="3">
        <v>54816.318803133283</v>
      </c>
    </row>
    <row r="1572" spans="1:11" x14ac:dyDescent="0.3">
      <c r="A1572" t="s">
        <v>1648</v>
      </c>
      <c r="B1572" s="2">
        <v>45413</v>
      </c>
      <c r="C1572">
        <v>2024</v>
      </c>
      <c r="D1572">
        <v>5</v>
      </c>
      <c r="E1572" t="s">
        <v>54</v>
      </c>
      <c r="F1572" t="s">
        <v>67</v>
      </c>
      <c r="G1572" t="s">
        <v>19</v>
      </c>
      <c r="H1572" s="3">
        <v>60287.952221070133</v>
      </c>
      <c r="I1572">
        <v>12</v>
      </c>
      <c r="J1572" s="3">
        <v>37024.272725172581</v>
      </c>
      <c r="K1572" s="3">
        <v>23263.679495897552</v>
      </c>
    </row>
    <row r="1573" spans="1:11" x14ac:dyDescent="0.3">
      <c r="A1573" t="s">
        <v>1649</v>
      </c>
      <c r="B1573" s="2">
        <v>45413</v>
      </c>
      <c r="C1573">
        <v>2024</v>
      </c>
      <c r="D1573">
        <v>5</v>
      </c>
      <c r="E1573" t="s">
        <v>54</v>
      </c>
      <c r="F1573" t="s">
        <v>48</v>
      </c>
      <c r="G1573" t="s">
        <v>19</v>
      </c>
      <c r="H1573" s="3">
        <v>118047.3178161144</v>
      </c>
      <c r="I1573">
        <v>23</v>
      </c>
      <c r="J1573" s="3">
        <v>72499.573815266747</v>
      </c>
      <c r="K1573" s="3">
        <v>45547.74400084767</v>
      </c>
    </row>
    <row r="1574" spans="1:11" x14ac:dyDescent="0.3">
      <c r="A1574" t="s">
        <v>1650</v>
      </c>
      <c r="B1574" s="2">
        <v>45413</v>
      </c>
      <c r="C1574">
        <v>2024</v>
      </c>
      <c r="D1574">
        <v>5</v>
      </c>
      <c r="E1574" t="s">
        <v>58</v>
      </c>
      <c r="F1574" t="s">
        <v>67</v>
      </c>
      <c r="G1574" t="s">
        <v>19</v>
      </c>
      <c r="H1574" s="3">
        <v>45213.273317124273</v>
      </c>
      <c r="I1574">
        <v>9</v>
      </c>
      <c r="J1574" s="3">
        <v>27646.635988303598</v>
      </c>
      <c r="K1574" s="3">
        <v>17566.637328820671</v>
      </c>
    </row>
    <row r="1575" spans="1:11" x14ac:dyDescent="0.3">
      <c r="A1575" t="s">
        <v>1651</v>
      </c>
      <c r="B1575" s="2">
        <v>45413</v>
      </c>
      <c r="C1575">
        <v>2024</v>
      </c>
      <c r="D1575">
        <v>5</v>
      </c>
      <c r="E1575" t="s">
        <v>58</v>
      </c>
      <c r="F1575" t="s">
        <v>48</v>
      </c>
      <c r="G1575" t="s">
        <v>19</v>
      </c>
      <c r="H1575" s="3">
        <v>83849.627166444145</v>
      </c>
      <c r="I1575">
        <v>16</v>
      </c>
      <c r="J1575" s="3">
        <v>52806.658972955876</v>
      </c>
      <c r="K1575" s="3">
        <v>31042.968193488268</v>
      </c>
    </row>
    <row r="1576" spans="1:11" x14ac:dyDescent="0.3">
      <c r="A1576" t="s">
        <v>1652</v>
      </c>
      <c r="B1576" s="2">
        <v>45413</v>
      </c>
      <c r="C1576">
        <v>2024</v>
      </c>
      <c r="D1576">
        <v>5</v>
      </c>
      <c r="E1576" t="s">
        <v>62</v>
      </c>
      <c r="F1576" t="s">
        <v>67</v>
      </c>
      <c r="G1576" t="s">
        <v>19</v>
      </c>
      <c r="H1576" s="3">
        <v>34731.444897014073</v>
      </c>
      <c r="I1576">
        <v>7</v>
      </c>
      <c r="J1576" s="3">
        <v>21258.518244446121</v>
      </c>
      <c r="K1576" s="3">
        <v>13472.92665256795</v>
      </c>
    </row>
    <row r="1577" spans="1:11" x14ac:dyDescent="0.3">
      <c r="A1577" t="s">
        <v>1653</v>
      </c>
      <c r="B1577" s="2">
        <v>45413</v>
      </c>
      <c r="C1577">
        <v>2024</v>
      </c>
      <c r="D1577">
        <v>5</v>
      </c>
      <c r="E1577" t="s">
        <v>62</v>
      </c>
      <c r="F1577" t="s">
        <v>48</v>
      </c>
      <c r="G1577" t="s">
        <v>19</v>
      </c>
      <c r="H1577" s="3">
        <v>64759.907368566717</v>
      </c>
      <c r="I1577">
        <v>12</v>
      </c>
      <c r="J1577" s="3">
        <v>40617.0049444178</v>
      </c>
      <c r="K1577" s="3">
        <v>24142.902424148921</v>
      </c>
    </row>
    <row r="1578" spans="1:11" x14ac:dyDescent="0.3">
      <c r="A1578" t="s">
        <v>1654</v>
      </c>
      <c r="B1578" s="2">
        <v>45413</v>
      </c>
      <c r="C1578">
        <v>2024</v>
      </c>
      <c r="D1578">
        <v>5</v>
      </c>
      <c r="E1578" t="s">
        <v>50</v>
      </c>
      <c r="F1578" t="s">
        <v>67</v>
      </c>
      <c r="G1578" t="s">
        <v>24</v>
      </c>
      <c r="H1578" s="3">
        <v>69824.742567426016</v>
      </c>
      <c r="I1578">
        <v>11</v>
      </c>
      <c r="J1578" s="3">
        <v>45767.078968787922</v>
      </c>
      <c r="K1578" s="3">
        <v>24057.663598638101</v>
      </c>
    </row>
    <row r="1579" spans="1:11" x14ac:dyDescent="0.3">
      <c r="A1579" t="s">
        <v>1655</v>
      </c>
      <c r="B1579" s="2">
        <v>45413</v>
      </c>
      <c r="C1579">
        <v>2024</v>
      </c>
      <c r="D1579">
        <v>5</v>
      </c>
      <c r="E1579" t="s">
        <v>50</v>
      </c>
      <c r="F1579" t="s">
        <v>48</v>
      </c>
      <c r="G1579" t="s">
        <v>24</v>
      </c>
      <c r="H1579" s="3">
        <v>146382.455192647</v>
      </c>
      <c r="I1579">
        <v>24</v>
      </c>
      <c r="J1579" s="3">
        <v>93176.173679747677</v>
      </c>
      <c r="K1579" s="3">
        <v>53206.281512899353</v>
      </c>
    </row>
    <row r="1580" spans="1:11" x14ac:dyDescent="0.3">
      <c r="A1580" t="s">
        <v>1656</v>
      </c>
      <c r="B1580" s="2">
        <v>45413</v>
      </c>
      <c r="C1580">
        <v>2024</v>
      </c>
      <c r="D1580">
        <v>5</v>
      </c>
      <c r="E1580" t="s">
        <v>54</v>
      </c>
      <c r="F1580" t="s">
        <v>67</v>
      </c>
      <c r="G1580" t="s">
        <v>24</v>
      </c>
      <c r="H1580" s="3">
        <v>61495.818345612352</v>
      </c>
      <c r="I1580">
        <v>10</v>
      </c>
      <c r="J1580" s="3">
        <v>40170.585575991128</v>
      </c>
      <c r="K1580" s="3">
        <v>21325.23276962122</v>
      </c>
    </row>
    <row r="1581" spans="1:11" x14ac:dyDescent="0.3">
      <c r="A1581" t="s">
        <v>1657</v>
      </c>
      <c r="B1581" s="2">
        <v>45413</v>
      </c>
      <c r="C1581">
        <v>2024</v>
      </c>
      <c r="D1581">
        <v>5</v>
      </c>
      <c r="E1581" t="s">
        <v>54</v>
      </c>
      <c r="F1581" t="s">
        <v>48</v>
      </c>
      <c r="G1581" t="s">
        <v>24</v>
      </c>
      <c r="H1581" s="3">
        <v>112217.7968025814</v>
      </c>
      <c r="I1581">
        <v>18</v>
      </c>
      <c r="J1581" s="3">
        <v>72491.820808733159</v>
      </c>
      <c r="K1581" s="3">
        <v>39725.975993848268</v>
      </c>
    </row>
    <row r="1582" spans="1:11" x14ac:dyDescent="0.3">
      <c r="A1582" t="s">
        <v>1658</v>
      </c>
      <c r="B1582" s="2">
        <v>45413</v>
      </c>
      <c r="C1582">
        <v>2024</v>
      </c>
      <c r="D1582">
        <v>5</v>
      </c>
      <c r="E1582" t="s">
        <v>58</v>
      </c>
      <c r="F1582" t="s">
        <v>67</v>
      </c>
      <c r="G1582" t="s">
        <v>24</v>
      </c>
      <c r="H1582" s="3">
        <v>42120.792655668512</v>
      </c>
      <c r="I1582">
        <v>7</v>
      </c>
      <c r="J1582" s="3">
        <v>27816.687906726089</v>
      </c>
      <c r="K1582" s="3">
        <v>14304.104748942431</v>
      </c>
    </row>
    <row r="1583" spans="1:11" x14ac:dyDescent="0.3">
      <c r="A1583" t="s">
        <v>1659</v>
      </c>
      <c r="B1583" s="2">
        <v>45413</v>
      </c>
      <c r="C1583">
        <v>2024</v>
      </c>
      <c r="D1583">
        <v>5</v>
      </c>
      <c r="E1583" t="s">
        <v>58</v>
      </c>
      <c r="F1583" t="s">
        <v>48</v>
      </c>
      <c r="G1583" t="s">
        <v>24</v>
      </c>
      <c r="H1583" s="3">
        <v>86972.368018556896</v>
      </c>
      <c r="I1583">
        <v>14</v>
      </c>
      <c r="J1583" s="3">
        <v>56171.795845658417</v>
      </c>
      <c r="K1583" s="3">
        <v>30800.572172898472</v>
      </c>
    </row>
    <row r="1584" spans="1:11" x14ac:dyDescent="0.3">
      <c r="A1584" t="s">
        <v>1660</v>
      </c>
      <c r="B1584" s="2">
        <v>45413</v>
      </c>
      <c r="C1584">
        <v>2024</v>
      </c>
      <c r="D1584">
        <v>5</v>
      </c>
      <c r="E1584" t="s">
        <v>62</v>
      </c>
      <c r="F1584" t="s">
        <v>67</v>
      </c>
      <c r="G1584" t="s">
        <v>24</v>
      </c>
      <c r="H1584" s="3">
        <v>33626.255283324361</v>
      </c>
      <c r="I1584">
        <v>6</v>
      </c>
      <c r="J1584" s="3">
        <v>22563.236939450941</v>
      </c>
      <c r="K1584" s="3">
        <v>11063.01834387342</v>
      </c>
    </row>
    <row r="1585" spans="1:11" x14ac:dyDescent="0.3">
      <c r="A1585" t="s">
        <v>1661</v>
      </c>
      <c r="B1585" s="2">
        <v>45413</v>
      </c>
      <c r="C1585">
        <v>2024</v>
      </c>
      <c r="D1585">
        <v>5</v>
      </c>
      <c r="E1585" t="s">
        <v>62</v>
      </c>
      <c r="F1585" t="s">
        <v>48</v>
      </c>
      <c r="G1585" t="s">
        <v>24</v>
      </c>
      <c r="H1585" s="3">
        <v>64479.812101346601</v>
      </c>
      <c r="I1585">
        <v>11</v>
      </c>
      <c r="J1585" s="3">
        <v>42486.910041061878</v>
      </c>
      <c r="K1585" s="3">
        <v>21992.902060284719</v>
      </c>
    </row>
    <row r="1586" spans="1:11" x14ac:dyDescent="0.3">
      <c r="A1586" t="s">
        <v>1662</v>
      </c>
      <c r="B1586" s="2">
        <v>45413</v>
      </c>
      <c r="C1586">
        <v>2024</v>
      </c>
      <c r="D1586">
        <v>5</v>
      </c>
      <c r="E1586" t="s">
        <v>50</v>
      </c>
      <c r="F1586" t="s">
        <v>67</v>
      </c>
      <c r="G1586" t="s">
        <v>29</v>
      </c>
      <c r="H1586" s="3">
        <v>61282.930747859849</v>
      </c>
      <c r="I1586">
        <v>14</v>
      </c>
      <c r="J1586" s="3">
        <v>39095.696571518529</v>
      </c>
      <c r="K1586" s="3">
        <v>22187.234176341321</v>
      </c>
    </row>
    <row r="1587" spans="1:11" x14ac:dyDescent="0.3">
      <c r="A1587" t="s">
        <v>1663</v>
      </c>
      <c r="B1587" s="2">
        <v>45413</v>
      </c>
      <c r="C1587">
        <v>2024</v>
      </c>
      <c r="D1587">
        <v>5</v>
      </c>
      <c r="E1587" t="s">
        <v>50</v>
      </c>
      <c r="F1587" t="s">
        <v>48</v>
      </c>
      <c r="G1587" t="s">
        <v>29</v>
      </c>
      <c r="H1587" s="3">
        <v>107330.3422846405</v>
      </c>
      <c r="I1587">
        <v>25</v>
      </c>
      <c r="J1587" s="3">
        <v>69502.393972704202</v>
      </c>
      <c r="K1587" s="3">
        <v>37827.94831193627</v>
      </c>
    </row>
    <row r="1588" spans="1:11" x14ac:dyDescent="0.3">
      <c r="A1588" t="s">
        <v>1664</v>
      </c>
      <c r="B1588" s="2">
        <v>45413</v>
      </c>
      <c r="C1588">
        <v>2024</v>
      </c>
      <c r="D1588">
        <v>5</v>
      </c>
      <c r="E1588" t="s">
        <v>54</v>
      </c>
      <c r="F1588" t="s">
        <v>67</v>
      </c>
      <c r="G1588" t="s">
        <v>29</v>
      </c>
      <c r="H1588" s="3">
        <v>42874.785861832352</v>
      </c>
      <c r="I1588">
        <v>10</v>
      </c>
      <c r="J1588" s="3">
        <v>27915.953486616731</v>
      </c>
      <c r="K1588" s="3">
        <v>14958.832375215619</v>
      </c>
    </row>
    <row r="1589" spans="1:11" x14ac:dyDescent="0.3">
      <c r="A1589" t="s">
        <v>1665</v>
      </c>
      <c r="B1589" s="2">
        <v>45413</v>
      </c>
      <c r="C1589">
        <v>2024</v>
      </c>
      <c r="D1589">
        <v>5</v>
      </c>
      <c r="E1589" t="s">
        <v>54</v>
      </c>
      <c r="F1589" t="s">
        <v>48</v>
      </c>
      <c r="G1589" t="s">
        <v>29</v>
      </c>
      <c r="H1589" s="3">
        <v>84489.133815466907</v>
      </c>
      <c r="I1589">
        <v>20</v>
      </c>
      <c r="J1589" s="3">
        <v>54053.483228906684</v>
      </c>
      <c r="K1589" s="3">
        <v>30435.65058656023</v>
      </c>
    </row>
    <row r="1590" spans="1:11" x14ac:dyDescent="0.3">
      <c r="A1590" t="s">
        <v>1666</v>
      </c>
      <c r="B1590" s="2">
        <v>45413</v>
      </c>
      <c r="C1590">
        <v>2024</v>
      </c>
      <c r="D1590">
        <v>5</v>
      </c>
      <c r="E1590" t="s">
        <v>58</v>
      </c>
      <c r="F1590" t="s">
        <v>67</v>
      </c>
      <c r="G1590" t="s">
        <v>29</v>
      </c>
      <c r="H1590" s="3">
        <v>27812.886747182401</v>
      </c>
      <c r="I1590">
        <v>6</v>
      </c>
      <c r="J1590" s="3">
        <v>17553.15150627121</v>
      </c>
      <c r="K1590" s="3">
        <v>10259.73524091119</v>
      </c>
    </row>
    <row r="1591" spans="1:11" x14ac:dyDescent="0.3">
      <c r="A1591" t="s">
        <v>1667</v>
      </c>
      <c r="B1591" s="2">
        <v>45413</v>
      </c>
      <c r="C1591">
        <v>2024</v>
      </c>
      <c r="D1591">
        <v>5</v>
      </c>
      <c r="E1591" t="s">
        <v>58</v>
      </c>
      <c r="F1591" t="s">
        <v>48</v>
      </c>
      <c r="G1591" t="s">
        <v>29</v>
      </c>
      <c r="H1591" s="3">
        <v>54179.582077988838</v>
      </c>
      <c r="I1591">
        <v>13</v>
      </c>
      <c r="J1591" s="3">
        <v>33567.711548434389</v>
      </c>
      <c r="K1591" s="3">
        <v>20611.87052955445</v>
      </c>
    </row>
    <row r="1592" spans="1:11" x14ac:dyDescent="0.3">
      <c r="A1592" t="s">
        <v>1668</v>
      </c>
      <c r="B1592" s="2">
        <v>45413</v>
      </c>
      <c r="C1592">
        <v>2024</v>
      </c>
      <c r="D1592">
        <v>5</v>
      </c>
      <c r="E1592" t="s">
        <v>62</v>
      </c>
      <c r="F1592" t="s">
        <v>67</v>
      </c>
      <c r="G1592" t="s">
        <v>29</v>
      </c>
      <c r="H1592" s="3">
        <v>22126.545240270691</v>
      </c>
      <c r="I1592">
        <v>5</v>
      </c>
      <c r="J1592" s="3">
        <v>13986.11637921319</v>
      </c>
      <c r="K1592" s="3">
        <v>8140.4288610575004</v>
      </c>
    </row>
    <row r="1593" spans="1:11" x14ac:dyDescent="0.3">
      <c r="A1593" t="s">
        <v>1669</v>
      </c>
      <c r="B1593" s="2">
        <v>45413</v>
      </c>
      <c r="C1593">
        <v>2024</v>
      </c>
      <c r="D1593">
        <v>5</v>
      </c>
      <c r="E1593" t="s">
        <v>62</v>
      </c>
      <c r="F1593" t="s">
        <v>48</v>
      </c>
      <c r="G1593" t="s">
        <v>29</v>
      </c>
      <c r="H1593" s="3">
        <v>43884.949570525467</v>
      </c>
      <c r="I1593">
        <v>10</v>
      </c>
      <c r="J1593" s="3">
        <v>27774.33322290768</v>
      </c>
      <c r="K1593" s="3">
        <v>16110.61634761779</v>
      </c>
    </row>
    <row r="1594" spans="1:11" x14ac:dyDescent="0.3">
      <c r="A1594" t="s">
        <v>1670</v>
      </c>
      <c r="B1594" s="2">
        <v>45413</v>
      </c>
      <c r="C1594">
        <v>2024</v>
      </c>
      <c r="D1594">
        <v>5</v>
      </c>
      <c r="E1594" t="s">
        <v>50</v>
      </c>
      <c r="F1594" t="s">
        <v>67</v>
      </c>
      <c r="G1594" t="s">
        <v>34</v>
      </c>
      <c r="H1594" s="3">
        <v>50851.145588766369</v>
      </c>
      <c r="I1594">
        <v>60</v>
      </c>
      <c r="J1594" s="3">
        <v>24455.58599187787</v>
      </c>
      <c r="K1594" s="3">
        <v>26395.559596888499</v>
      </c>
    </row>
    <row r="1595" spans="1:11" x14ac:dyDescent="0.3">
      <c r="A1595" t="s">
        <v>1671</v>
      </c>
      <c r="B1595" s="2">
        <v>45413</v>
      </c>
      <c r="C1595">
        <v>2024</v>
      </c>
      <c r="D1595">
        <v>5</v>
      </c>
      <c r="E1595" t="s">
        <v>50</v>
      </c>
      <c r="F1595" t="s">
        <v>48</v>
      </c>
      <c r="G1595" t="s">
        <v>34</v>
      </c>
      <c r="H1595" s="3">
        <v>95851.569653554223</v>
      </c>
      <c r="I1595">
        <v>113</v>
      </c>
      <c r="J1595" s="3">
        <v>45722.917434157571</v>
      </c>
      <c r="K1595" s="3">
        <v>50128.652219396652</v>
      </c>
    </row>
    <row r="1596" spans="1:11" x14ac:dyDescent="0.3">
      <c r="A1596" t="s">
        <v>1672</v>
      </c>
      <c r="B1596" s="2">
        <v>45413</v>
      </c>
      <c r="C1596">
        <v>2024</v>
      </c>
      <c r="D1596">
        <v>5</v>
      </c>
      <c r="E1596" t="s">
        <v>54</v>
      </c>
      <c r="F1596" t="s">
        <v>67</v>
      </c>
      <c r="G1596" t="s">
        <v>34</v>
      </c>
      <c r="H1596" s="3">
        <v>40603.974236527043</v>
      </c>
      <c r="I1596">
        <v>48</v>
      </c>
      <c r="J1596" s="3">
        <v>19731.247135033169</v>
      </c>
      <c r="K1596" s="3">
        <v>20872.727101493871</v>
      </c>
    </row>
    <row r="1597" spans="1:11" x14ac:dyDescent="0.3">
      <c r="A1597" t="s">
        <v>1673</v>
      </c>
      <c r="B1597" s="2">
        <v>45413</v>
      </c>
      <c r="C1597">
        <v>2024</v>
      </c>
      <c r="D1597">
        <v>5</v>
      </c>
      <c r="E1597" t="s">
        <v>54</v>
      </c>
      <c r="F1597" t="s">
        <v>48</v>
      </c>
      <c r="G1597" t="s">
        <v>34</v>
      </c>
      <c r="H1597" s="3">
        <v>74574.861492519121</v>
      </c>
      <c r="I1597">
        <v>88</v>
      </c>
      <c r="J1597" s="3">
        <v>35400.971964757788</v>
      </c>
      <c r="K1597" s="3">
        <v>39173.889527761326</v>
      </c>
    </row>
    <row r="1598" spans="1:11" x14ac:dyDescent="0.3">
      <c r="A1598" t="s">
        <v>1674</v>
      </c>
      <c r="B1598" s="2">
        <v>45413</v>
      </c>
      <c r="C1598">
        <v>2024</v>
      </c>
      <c r="D1598">
        <v>5</v>
      </c>
      <c r="E1598" t="s">
        <v>58</v>
      </c>
      <c r="F1598" t="s">
        <v>67</v>
      </c>
      <c r="G1598" t="s">
        <v>34</v>
      </c>
      <c r="H1598" s="3">
        <v>27539.02684752013</v>
      </c>
      <c r="I1598">
        <v>32</v>
      </c>
      <c r="J1598" s="3">
        <v>13205.160671742409</v>
      </c>
      <c r="K1598" s="3">
        <v>14333.86617577773</v>
      </c>
    </row>
    <row r="1599" spans="1:11" x14ac:dyDescent="0.3">
      <c r="A1599" t="s">
        <v>1675</v>
      </c>
      <c r="B1599" s="2">
        <v>45413</v>
      </c>
      <c r="C1599">
        <v>2024</v>
      </c>
      <c r="D1599">
        <v>5</v>
      </c>
      <c r="E1599" t="s">
        <v>58</v>
      </c>
      <c r="F1599" t="s">
        <v>48</v>
      </c>
      <c r="G1599" t="s">
        <v>34</v>
      </c>
      <c r="H1599" s="3">
        <v>55001.122848862979</v>
      </c>
      <c r="I1599">
        <v>65</v>
      </c>
      <c r="J1599" s="3">
        <v>26963.18128681395</v>
      </c>
      <c r="K1599" s="3">
        <v>28037.941562049029</v>
      </c>
    </row>
    <row r="1600" spans="1:11" x14ac:dyDescent="0.3">
      <c r="A1600" t="s">
        <v>1676</v>
      </c>
      <c r="B1600" s="2">
        <v>45413</v>
      </c>
      <c r="C1600">
        <v>2024</v>
      </c>
      <c r="D1600">
        <v>5</v>
      </c>
      <c r="E1600" t="s">
        <v>62</v>
      </c>
      <c r="F1600" t="s">
        <v>67</v>
      </c>
      <c r="G1600" t="s">
        <v>34</v>
      </c>
      <c r="H1600" s="3">
        <v>22295.81500666451</v>
      </c>
      <c r="I1600">
        <v>26</v>
      </c>
      <c r="J1600" s="3">
        <v>10767.838990988959</v>
      </c>
      <c r="K1600" s="3">
        <v>11527.976015675549</v>
      </c>
    </row>
    <row r="1601" spans="1:11" x14ac:dyDescent="0.3">
      <c r="A1601" t="s">
        <v>1677</v>
      </c>
      <c r="B1601" s="2">
        <v>45413</v>
      </c>
      <c r="C1601">
        <v>2024</v>
      </c>
      <c r="D1601">
        <v>5</v>
      </c>
      <c r="E1601" t="s">
        <v>62</v>
      </c>
      <c r="F1601" t="s">
        <v>48</v>
      </c>
      <c r="G1601" t="s">
        <v>34</v>
      </c>
      <c r="H1601" s="3">
        <v>41676.811086254958</v>
      </c>
      <c r="I1601">
        <v>49</v>
      </c>
      <c r="J1601" s="3">
        <v>19983.25054423694</v>
      </c>
      <c r="K1601" s="3">
        <v>21693.560542018022</v>
      </c>
    </row>
    <row r="1602" spans="1:11" x14ac:dyDescent="0.3">
      <c r="A1602" t="s">
        <v>1678</v>
      </c>
      <c r="B1602" s="2">
        <v>45413</v>
      </c>
      <c r="C1602">
        <v>2024</v>
      </c>
      <c r="D1602">
        <v>5</v>
      </c>
      <c r="E1602" t="s">
        <v>50</v>
      </c>
      <c r="F1602" t="s">
        <v>67</v>
      </c>
      <c r="G1602" t="s">
        <v>37</v>
      </c>
      <c r="H1602" s="3">
        <v>44334.665742822966</v>
      </c>
      <c r="I1602">
        <v>62</v>
      </c>
      <c r="J1602" s="3">
        <v>24119.864802826069</v>
      </c>
      <c r="K1602" s="3">
        <v>20214.800939996909</v>
      </c>
    </row>
    <row r="1603" spans="1:11" x14ac:dyDescent="0.3">
      <c r="A1603" t="s">
        <v>1679</v>
      </c>
      <c r="B1603" s="2">
        <v>45413</v>
      </c>
      <c r="C1603">
        <v>2024</v>
      </c>
      <c r="D1603">
        <v>5</v>
      </c>
      <c r="E1603" t="s">
        <v>50</v>
      </c>
      <c r="F1603" t="s">
        <v>48</v>
      </c>
      <c r="G1603" t="s">
        <v>37</v>
      </c>
      <c r="H1603" s="3">
        <v>81082.268428852054</v>
      </c>
      <c r="I1603">
        <v>113</v>
      </c>
      <c r="J1603" s="3">
        <v>44086.943638817029</v>
      </c>
      <c r="K1603" s="3">
        <v>36995.324790035032</v>
      </c>
    </row>
    <row r="1604" spans="1:11" x14ac:dyDescent="0.3">
      <c r="A1604" t="s">
        <v>1680</v>
      </c>
      <c r="B1604" s="2">
        <v>45413</v>
      </c>
      <c r="C1604">
        <v>2024</v>
      </c>
      <c r="D1604">
        <v>5</v>
      </c>
      <c r="E1604" t="s">
        <v>54</v>
      </c>
      <c r="F1604" t="s">
        <v>67</v>
      </c>
      <c r="G1604" t="s">
        <v>37</v>
      </c>
      <c r="H1604" s="3">
        <v>36095.160316993053</v>
      </c>
      <c r="I1604">
        <v>50</v>
      </c>
      <c r="J1604" s="3">
        <v>19548.378259188881</v>
      </c>
      <c r="K1604" s="3">
        <v>16546.782057804161</v>
      </c>
    </row>
    <row r="1605" spans="1:11" x14ac:dyDescent="0.3">
      <c r="A1605" t="s">
        <v>1681</v>
      </c>
      <c r="B1605" s="2">
        <v>45413</v>
      </c>
      <c r="C1605">
        <v>2024</v>
      </c>
      <c r="D1605">
        <v>5</v>
      </c>
      <c r="E1605" t="s">
        <v>54</v>
      </c>
      <c r="F1605" t="s">
        <v>48</v>
      </c>
      <c r="G1605" t="s">
        <v>37</v>
      </c>
      <c r="H1605" s="3">
        <v>65780.25938146541</v>
      </c>
      <c r="I1605">
        <v>91</v>
      </c>
      <c r="J1605" s="3">
        <v>35826.82569741828</v>
      </c>
      <c r="K1605" s="3">
        <v>29953.43368404713</v>
      </c>
    </row>
    <row r="1606" spans="1:11" x14ac:dyDescent="0.3">
      <c r="A1606" t="s">
        <v>1682</v>
      </c>
      <c r="B1606" s="2">
        <v>45413</v>
      </c>
      <c r="C1606">
        <v>2024</v>
      </c>
      <c r="D1606">
        <v>5</v>
      </c>
      <c r="E1606" t="s">
        <v>58</v>
      </c>
      <c r="F1606" t="s">
        <v>67</v>
      </c>
      <c r="G1606" t="s">
        <v>37</v>
      </c>
      <c r="H1606" s="3">
        <v>23647.45334457402</v>
      </c>
      <c r="I1606">
        <v>33</v>
      </c>
      <c r="J1606" s="3">
        <v>13183.008108907081</v>
      </c>
      <c r="K1606" s="3">
        <v>10464.445235666941</v>
      </c>
    </row>
    <row r="1607" spans="1:11" x14ac:dyDescent="0.3">
      <c r="A1607" t="s">
        <v>1683</v>
      </c>
      <c r="B1607" s="2">
        <v>45413</v>
      </c>
      <c r="C1607">
        <v>2024</v>
      </c>
      <c r="D1607">
        <v>5</v>
      </c>
      <c r="E1607" t="s">
        <v>58</v>
      </c>
      <c r="F1607" t="s">
        <v>48</v>
      </c>
      <c r="G1607" t="s">
        <v>37</v>
      </c>
      <c r="H1607" s="3">
        <v>42885.897319543787</v>
      </c>
      <c r="I1607">
        <v>60</v>
      </c>
      <c r="J1607" s="3">
        <v>23493.036337320478</v>
      </c>
      <c r="K1607" s="3">
        <v>19392.860982223319</v>
      </c>
    </row>
    <row r="1608" spans="1:11" x14ac:dyDescent="0.3">
      <c r="A1608" t="s">
        <v>1684</v>
      </c>
      <c r="B1608" s="2">
        <v>45413</v>
      </c>
      <c r="C1608">
        <v>2024</v>
      </c>
      <c r="D1608">
        <v>5</v>
      </c>
      <c r="E1608" t="s">
        <v>62</v>
      </c>
      <c r="F1608" t="s">
        <v>67</v>
      </c>
      <c r="G1608" t="s">
        <v>37</v>
      </c>
      <c r="H1608" s="3">
        <v>17212.839866761438</v>
      </c>
      <c r="I1608">
        <v>24</v>
      </c>
      <c r="J1608" s="3">
        <v>9237.0509924915023</v>
      </c>
      <c r="K1608" s="3">
        <v>7975.7888742699361</v>
      </c>
    </row>
    <row r="1609" spans="1:11" x14ac:dyDescent="0.3">
      <c r="A1609" t="s">
        <v>1685</v>
      </c>
      <c r="B1609" s="2">
        <v>45413</v>
      </c>
      <c r="C1609">
        <v>2024</v>
      </c>
      <c r="D1609">
        <v>5</v>
      </c>
      <c r="E1609" t="s">
        <v>62</v>
      </c>
      <c r="F1609" t="s">
        <v>48</v>
      </c>
      <c r="G1609" t="s">
        <v>37</v>
      </c>
      <c r="H1609" s="3">
        <v>31738.951520973249</v>
      </c>
      <c r="I1609">
        <v>44</v>
      </c>
      <c r="J1609" s="3">
        <v>18012.009747320939</v>
      </c>
      <c r="K1609" s="3">
        <v>13726.94177365231</v>
      </c>
    </row>
    <row r="1610" spans="1:11" x14ac:dyDescent="0.3">
      <c r="A1610" t="s">
        <v>1686</v>
      </c>
      <c r="B1610" s="2">
        <v>45413</v>
      </c>
      <c r="C1610">
        <v>2024</v>
      </c>
      <c r="D1610">
        <v>5</v>
      </c>
      <c r="E1610" t="s">
        <v>50</v>
      </c>
      <c r="F1610" t="s">
        <v>67</v>
      </c>
      <c r="G1610" t="s">
        <v>40</v>
      </c>
      <c r="H1610" s="3">
        <v>38009.601113972887</v>
      </c>
      <c r="I1610">
        <v>7</v>
      </c>
      <c r="J1610" s="3">
        <v>26377.673694770721</v>
      </c>
      <c r="K1610" s="3">
        <v>11631.92741920216</v>
      </c>
    </row>
    <row r="1611" spans="1:11" x14ac:dyDescent="0.3">
      <c r="A1611" t="s">
        <v>1687</v>
      </c>
      <c r="B1611" s="2">
        <v>45413</v>
      </c>
      <c r="C1611">
        <v>2024</v>
      </c>
      <c r="D1611">
        <v>5</v>
      </c>
      <c r="E1611" t="s">
        <v>50</v>
      </c>
      <c r="F1611" t="s">
        <v>48</v>
      </c>
      <c r="G1611" t="s">
        <v>40</v>
      </c>
      <c r="H1611" s="3">
        <v>71190.81706886302</v>
      </c>
      <c r="I1611">
        <v>13</v>
      </c>
      <c r="J1611" s="3">
        <v>47877.658565383441</v>
      </c>
      <c r="K1611" s="3">
        <v>23313.158503479579</v>
      </c>
    </row>
    <row r="1612" spans="1:11" x14ac:dyDescent="0.3">
      <c r="A1612" t="s">
        <v>1688</v>
      </c>
      <c r="B1612" s="2">
        <v>45413</v>
      </c>
      <c r="C1612">
        <v>2024</v>
      </c>
      <c r="D1612">
        <v>5</v>
      </c>
      <c r="E1612" t="s">
        <v>54</v>
      </c>
      <c r="F1612" t="s">
        <v>67</v>
      </c>
      <c r="G1612" t="s">
        <v>40</v>
      </c>
      <c r="H1612" s="3">
        <v>28290.2914006217</v>
      </c>
      <c r="I1612">
        <v>5</v>
      </c>
      <c r="J1612" s="3">
        <v>19365.050632887811</v>
      </c>
      <c r="K1612" s="3">
        <v>8925.2407677338815</v>
      </c>
    </row>
    <row r="1613" spans="1:11" x14ac:dyDescent="0.3">
      <c r="A1613" t="s">
        <v>1689</v>
      </c>
      <c r="B1613" s="2">
        <v>45413</v>
      </c>
      <c r="C1613">
        <v>2024</v>
      </c>
      <c r="D1613">
        <v>5</v>
      </c>
      <c r="E1613" t="s">
        <v>54</v>
      </c>
      <c r="F1613" t="s">
        <v>48</v>
      </c>
      <c r="G1613" t="s">
        <v>40</v>
      </c>
      <c r="H1613" s="3">
        <v>54485.738429659606</v>
      </c>
      <c r="I1613">
        <v>10</v>
      </c>
      <c r="J1613" s="3">
        <v>37670.19775897661</v>
      </c>
      <c r="K1613" s="3">
        <v>16815.540670683</v>
      </c>
    </row>
    <row r="1614" spans="1:11" x14ac:dyDescent="0.3">
      <c r="A1614" t="s">
        <v>1690</v>
      </c>
      <c r="B1614" s="2">
        <v>45413</v>
      </c>
      <c r="C1614">
        <v>2024</v>
      </c>
      <c r="D1614">
        <v>5</v>
      </c>
      <c r="E1614" t="s">
        <v>58</v>
      </c>
      <c r="F1614" t="s">
        <v>67</v>
      </c>
      <c r="G1614" t="s">
        <v>40</v>
      </c>
      <c r="H1614" s="3">
        <v>21605.73485242945</v>
      </c>
      <c r="I1614">
        <v>4</v>
      </c>
      <c r="J1614" s="3">
        <v>15365.372790984011</v>
      </c>
      <c r="K1614" s="3">
        <v>6240.3620614454394</v>
      </c>
    </row>
    <row r="1615" spans="1:11" x14ac:dyDescent="0.3">
      <c r="A1615" t="s">
        <v>1691</v>
      </c>
      <c r="B1615" s="2">
        <v>45413</v>
      </c>
      <c r="C1615">
        <v>2024</v>
      </c>
      <c r="D1615">
        <v>5</v>
      </c>
      <c r="E1615" t="s">
        <v>58</v>
      </c>
      <c r="F1615" t="s">
        <v>48</v>
      </c>
      <c r="G1615" t="s">
        <v>40</v>
      </c>
      <c r="H1615" s="3">
        <v>39704.897732393772</v>
      </c>
      <c r="I1615">
        <v>7</v>
      </c>
      <c r="J1615" s="3">
        <v>26849.930586808699</v>
      </c>
      <c r="K1615" s="3">
        <v>12854.96714558508</v>
      </c>
    </row>
    <row r="1616" spans="1:11" x14ac:dyDescent="0.3">
      <c r="A1616" t="s">
        <v>1692</v>
      </c>
      <c r="B1616" s="2">
        <v>45413</v>
      </c>
      <c r="C1616">
        <v>2024</v>
      </c>
      <c r="D1616">
        <v>5</v>
      </c>
      <c r="E1616" t="s">
        <v>62</v>
      </c>
      <c r="F1616" t="s">
        <v>67</v>
      </c>
      <c r="G1616" t="s">
        <v>40</v>
      </c>
      <c r="H1616" s="3">
        <v>16303.794111253341</v>
      </c>
      <c r="I1616">
        <v>3</v>
      </c>
      <c r="J1616" s="3">
        <v>11447.25947006744</v>
      </c>
      <c r="K1616" s="3">
        <v>4856.5346411859064</v>
      </c>
    </row>
    <row r="1617" spans="1:11" x14ac:dyDescent="0.3">
      <c r="A1617" t="s">
        <v>1693</v>
      </c>
      <c r="B1617" s="2">
        <v>45413</v>
      </c>
      <c r="C1617">
        <v>2024</v>
      </c>
      <c r="D1617">
        <v>5</v>
      </c>
      <c r="E1617" t="s">
        <v>62</v>
      </c>
      <c r="F1617" t="s">
        <v>48</v>
      </c>
      <c r="G1617" t="s">
        <v>40</v>
      </c>
      <c r="H1617" s="3">
        <v>27881.65196852967</v>
      </c>
      <c r="I1617">
        <v>5</v>
      </c>
      <c r="J1617" s="3">
        <v>19722.968177450199</v>
      </c>
      <c r="K1617" s="3">
        <v>8158.6837910794711</v>
      </c>
    </row>
    <row r="1618" spans="1:11" x14ac:dyDescent="0.3">
      <c r="A1618" t="s">
        <v>1694</v>
      </c>
      <c r="B1618" s="2">
        <v>45413</v>
      </c>
      <c r="C1618">
        <v>2024</v>
      </c>
      <c r="D1618">
        <v>5</v>
      </c>
      <c r="E1618" t="s">
        <v>50</v>
      </c>
      <c r="F1618" t="s">
        <v>67</v>
      </c>
      <c r="G1618" t="s">
        <v>43</v>
      </c>
      <c r="H1618" s="3">
        <v>83792.00028409595</v>
      </c>
      <c r="I1618">
        <v>24</v>
      </c>
      <c r="J1618" s="3">
        <v>48877.858905462723</v>
      </c>
      <c r="K1618" s="3">
        <v>34914.141378633227</v>
      </c>
    </row>
    <row r="1619" spans="1:11" x14ac:dyDescent="0.3">
      <c r="A1619" t="s">
        <v>1695</v>
      </c>
      <c r="B1619" s="2">
        <v>45413</v>
      </c>
      <c r="C1619">
        <v>2024</v>
      </c>
      <c r="D1619">
        <v>5</v>
      </c>
      <c r="E1619" t="s">
        <v>50</v>
      </c>
      <c r="F1619" t="s">
        <v>48</v>
      </c>
      <c r="G1619" t="s">
        <v>43</v>
      </c>
      <c r="H1619" s="3">
        <v>151309.4008266365</v>
      </c>
      <c r="I1619">
        <v>43</v>
      </c>
      <c r="J1619" s="3">
        <v>88826.608233783423</v>
      </c>
      <c r="K1619" s="3">
        <v>62482.792592853097</v>
      </c>
    </row>
    <row r="1620" spans="1:11" x14ac:dyDescent="0.3">
      <c r="A1620" t="s">
        <v>1696</v>
      </c>
      <c r="B1620" s="2">
        <v>45413</v>
      </c>
      <c r="C1620">
        <v>2024</v>
      </c>
      <c r="D1620">
        <v>5</v>
      </c>
      <c r="E1620" t="s">
        <v>54</v>
      </c>
      <c r="F1620" t="s">
        <v>67</v>
      </c>
      <c r="G1620" t="s">
        <v>43</v>
      </c>
      <c r="H1620" s="3">
        <v>67427.651748976481</v>
      </c>
      <c r="I1620">
        <v>19</v>
      </c>
      <c r="J1620" s="3">
        <v>39040.232484132088</v>
      </c>
      <c r="K1620" s="3">
        <v>28387.41926484439</v>
      </c>
    </row>
    <row r="1621" spans="1:11" x14ac:dyDescent="0.3">
      <c r="A1621" t="s">
        <v>1697</v>
      </c>
      <c r="B1621" s="2">
        <v>45413</v>
      </c>
      <c r="C1621">
        <v>2024</v>
      </c>
      <c r="D1621">
        <v>5</v>
      </c>
      <c r="E1621" t="s">
        <v>54</v>
      </c>
      <c r="F1621" t="s">
        <v>48</v>
      </c>
      <c r="G1621" t="s">
        <v>43</v>
      </c>
      <c r="H1621" s="3">
        <v>111601.4006687791</v>
      </c>
      <c r="I1621">
        <v>32</v>
      </c>
      <c r="J1621" s="3">
        <v>65603.682851355115</v>
      </c>
      <c r="K1621" s="3">
        <v>45997.717817424003</v>
      </c>
    </row>
    <row r="1622" spans="1:11" x14ac:dyDescent="0.3">
      <c r="A1622" t="s">
        <v>1698</v>
      </c>
      <c r="B1622" s="2">
        <v>45413</v>
      </c>
      <c r="C1622">
        <v>2024</v>
      </c>
      <c r="D1622">
        <v>5</v>
      </c>
      <c r="E1622" t="s">
        <v>58</v>
      </c>
      <c r="F1622" t="s">
        <v>67</v>
      </c>
      <c r="G1622" t="s">
        <v>43</v>
      </c>
      <c r="H1622" s="3">
        <v>44035.726230603388</v>
      </c>
      <c r="I1622">
        <v>13</v>
      </c>
      <c r="J1622" s="3">
        <v>25963.966830148871</v>
      </c>
      <c r="K1622" s="3">
        <v>18071.759400454521</v>
      </c>
    </row>
    <row r="1623" spans="1:11" x14ac:dyDescent="0.3">
      <c r="A1623" t="s">
        <v>1699</v>
      </c>
      <c r="B1623" s="2">
        <v>45413</v>
      </c>
      <c r="C1623">
        <v>2024</v>
      </c>
      <c r="D1623">
        <v>5</v>
      </c>
      <c r="E1623" t="s">
        <v>58</v>
      </c>
      <c r="F1623" t="s">
        <v>48</v>
      </c>
      <c r="G1623" t="s">
        <v>43</v>
      </c>
      <c r="H1623" s="3">
        <v>77012.272709701152</v>
      </c>
      <c r="I1623">
        <v>22</v>
      </c>
      <c r="J1623" s="3">
        <v>45976.749064414493</v>
      </c>
      <c r="K1623" s="3">
        <v>31035.523645286659</v>
      </c>
    </row>
    <row r="1624" spans="1:11" x14ac:dyDescent="0.3">
      <c r="A1624" t="s">
        <v>1700</v>
      </c>
      <c r="B1624" s="2">
        <v>45413</v>
      </c>
      <c r="C1624">
        <v>2024</v>
      </c>
      <c r="D1624">
        <v>5</v>
      </c>
      <c r="E1624" t="s">
        <v>62</v>
      </c>
      <c r="F1624" t="s">
        <v>67</v>
      </c>
      <c r="G1624" t="s">
        <v>43</v>
      </c>
      <c r="H1624" s="3">
        <v>33335.308614700938</v>
      </c>
      <c r="I1624">
        <v>10</v>
      </c>
      <c r="J1624" s="3">
        <v>20053.779900725611</v>
      </c>
      <c r="K1624" s="3">
        <v>13281.528713975331</v>
      </c>
    </row>
    <row r="1625" spans="1:11" x14ac:dyDescent="0.3">
      <c r="A1625" t="s">
        <v>1701</v>
      </c>
      <c r="B1625" s="2">
        <v>45413</v>
      </c>
      <c r="C1625">
        <v>2024</v>
      </c>
      <c r="D1625">
        <v>5</v>
      </c>
      <c r="E1625" t="s">
        <v>62</v>
      </c>
      <c r="F1625" t="s">
        <v>48</v>
      </c>
      <c r="G1625" t="s">
        <v>43</v>
      </c>
      <c r="H1625" s="3">
        <v>64726.82081622172</v>
      </c>
      <c r="I1625">
        <v>18</v>
      </c>
      <c r="J1625" s="3">
        <v>37674.583916734548</v>
      </c>
      <c r="K1625" s="3">
        <v>27052.236899487169</v>
      </c>
    </row>
    <row r="1626" spans="1:11" x14ac:dyDescent="0.3">
      <c r="A1626" t="s">
        <v>1702</v>
      </c>
      <c r="B1626" s="2">
        <v>45444</v>
      </c>
      <c r="C1626">
        <v>2024</v>
      </c>
      <c r="D1626">
        <v>6</v>
      </c>
      <c r="E1626" t="s">
        <v>50</v>
      </c>
      <c r="F1626" t="s">
        <v>67</v>
      </c>
      <c r="G1626" t="s">
        <v>19</v>
      </c>
      <c r="H1626" s="3">
        <v>86005.260599171321</v>
      </c>
      <c r="I1626">
        <v>17</v>
      </c>
      <c r="J1626" s="3">
        <v>51434.986169560667</v>
      </c>
      <c r="K1626" s="3">
        <v>34570.274429610647</v>
      </c>
    </row>
    <row r="1627" spans="1:11" x14ac:dyDescent="0.3">
      <c r="A1627" t="s">
        <v>1703</v>
      </c>
      <c r="B1627" s="2">
        <v>45444</v>
      </c>
      <c r="C1627">
        <v>2024</v>
      </c>
      <c r="D1627">
        <v>6</v>
      </c>
      <c r="E1627" t="s">
        <v>50</v>
      </c>
      <c r="F1627" t="s">
        <v>48</v>
      </c>
      <c r="G1627" t="s">
        <v>19</v>
      </c>
      <c r="H1627" s="3">
        <v>157012.788029591</v>
      </c>
      <c r="I1627">
        <v>30</v>
      </c>
      <c r="J1627" s="3">
        <v>97310.702143744784</v>
      </c>
      <c r="K1627" s="3">
        <v>59702.085885846223</v>
      </c>
    </row>
    <row r="1628" spans="1:11" x14ac:dyDescent="0.3">
      <c r="A1628" t="s">
        <v>1704</v>
      </c>
      <c r="B1628" s="2">
        <v>45444</v>
      </c>
      <c r="C1628">
        <v>2024</v>
      </c>
      <c r="D1628">
        <v>6</v>
      </c>
      <c r="E1628" t="s">
        <v>54</v>
      </c>
      <c r="F1628" t="s">
        <v>67</v>
      </c>
      <c r="G1628" t="s">
        <v>19</v>
      </c>
      <c r="H1628" s="3">
        <v>69859.343077674304</v>
      </c>
      <c r="I1628">
        <v>13</v>
      </c>
      <c r="J1628" s="3">
        <v>43541.643451534801</v>
      </c>
      <c r="K1628" s="3">
        <v>26317.6996261395</v>
      </c>
    </row>
    <row r="1629" spans="1:11" x14ac:dyDescent="0.3">
      <c r="A1629" t="s">
        <v>1705</v>
      </c>
      <c r="B1629" s="2">
        <v>45444</v>
      </c>
      <c r="C1629">
        <v>2024</v>
      </c>
      <c r="D1629">
        <v>6</v>
      </c>
      <c r="E1629" t="s">
        <v>54</v>
      </c>
      <c r="F1629" t="s">
        <v>48</v>
      </c>
      <c r="G1629" t="s">
        <v>19</v>
      </c>
      <c r="H1629" s="3">
        <v>123035.8782317935</v>
      </c>
      <c r="I1629">
        <v>24</v>
      </c>
      <c r="J1629" s="3">
        <v>76624.715042351716</v>
      </c>
      <c r="K1629" s="3">
        <v>46411.16318944181</v>
      </c>
    </row>
    <row r="1630" spans="1:11" x14ac:dyDescent="0.3">
      <c r="A1630" t="s">
        <v>1706</v>
      </c>
      <c r="B1630" s="2">
        <v>45444</v>
      </c>
      <c r="C1630">
        <v>2024</v>
      </c>
      <c r="D1630">
        <v>6</v>
      </c>
      <c r="E1630" t="s">
        <v>58</v>
      </c>
      <c r="F1630" t="s">
        <v>67</v>
      </c>
      <c r="G1630" t="s">
        <v>19</v>
      </c>
      <c r="H1630" s="3">
        <v>44477.048100773238</v>
      </c>
      <c r="I1630">
        <v>9</v>
      </c>
      <c r="J1630" s="3">
        <v>27413.62102943092</v>
      </c>
      <c r="K1630" s="3">
        <v>17063.42707134231</v>
      </c>
    </row>
    <row r="1631" spans="1:11" x14ac:dyDescent="0.3">
      <c r="A1631" t="s">
        <v>1707</v>
      </c>
      <c r="B1631" s="2">
        <v>45444</v>
      </c>
      <c r="C1631">
        <v>2024</v>
      </c>
      <c r="D1631">
        <v>6</v>
      </c>
      <c r="E1631" t="s">
        <v>58</v>
      </c>
      <c r="F1631" t="s">
        <v>48</v>
      </c>
      <c r="G1631" t="s">
        <v>19</v>
      </c>
      <c r="H1631" s="3">
        <v>92894.451899840031</v>
      </c>
      <c r="I1631">
        <v>18</v>
      </c>
      <c r="J1631" s="3">
        <v>57723.890939506273</v>
      </c>
      <c r="K1631" s="3">
        <v>35170.560960333773</v>
      </c>
    </row>
    <row r="1632" spans="1:11" x14ac:dyDescent="0.3">
      <c r="A1632" t="s">
        <v>1708</v>
      </c>
      <c r="B1632" s="2">
        <v>45444</v>
      </c>
      <c r="C1632">
        <v>2024</v>
      </c>
      <c r="D1632">
        <v>6</v>
      </c>
      <c r="E1632" t="s">
        <v>62</v>
      </c>
      <c r="F1632" t="s">
        <v>67</v>
      </c>
      <c r="G1632" t="s">
        <v>19</v>
      </c>
      <c r="H1632" s="3">
        <v>34073.382116395951</v>
      </c>
      <c r="I1632">
        <v>7</v>
      </c>
      <c r="J1632" s="3">
        <v>21701.758355314741</v>
      </c>
      <c r="K1632" s="3">
        <v>12371.62376108121</v>
      </c>
    </row>
    <row r="1633" spans="1:11" x14ac:dyDescent="0.3">
      <c r="A1633" t="s">
        <v>1709</v>
      </c>
      <c r="B1633" s="2">
        <v>45444</v>
      </c>
      <c r="C1633">
        <v>2024</v>
      </c>
      <c r="D1633">
        <v>6</v>
      </c>
      <c r="E1633" t="s">
        <v>62</v>
      </c>
      <c r="F1633" t="s">
        <v>48</v>
      </c>
      <c r="G1633" t="s">
        <v>19</v>
      </c>
      <c r="H1633" s="3">
        <v>70747.596984751595</v>
      </c>
      <c r="I1633">
        <v>14</v>
      </c>
      <c r="J1633" s="3">
        <v>44164.905741120318</v>
      </c>
      <c r="K1633" s="3">
        <v>26582.691243631281</v>
      </c>
    </row>
    <row r="1634" spans="1:11" x14ac:dyDescent="0.3">
      <c r="A1634" t="s">
        <v>1710</v>
      </c>
      <c r="B1634" s="2">
        <v>45444</v>
      </c>
      <c r="C1634">
        <v>2024</v>
      </c>
      <c r="D1634">
        <v>6</v>
      </c>
      <c r="E1634" t="s">
        <v>50</v>
      </c>
      <c r="F1634" t="s">
        <v>67</v>
      </c>
      <c r="G1634" t="s">
        <v>24</v>
      </c>
      <c r="H1634" s="3">
        <v>90910.640929447327</v>
      </c>
      <c r="I1634">
        <v>15</v>
      </c>
      <c r="J1634" s="3">
        <v>59597.778239135427</v>
      </c>
      <c r="K1634" s="3">
        <v>31312.8626903119</v>
      </c>
    </row>
    <row r="1635" spans="1:11" x14ac:dyDescent="0.3">
      <c r="A1635" t="s">
        <v>1711</v>
      </c>
      <c r="B1635" s="2">
        <v>45444</v>
      </c>
      <c r="C1635">
        <v>2024</v>
      </c>
      <c r="D1635">
        <v>6</v>
      </c>
      <c r="E1635" t="s">
        <v>50</v>
      </c>
      <c r="F1635" t="s">
        <v>48</v>
      </c>
      <c r="G1635" t="s">
        <v>24</v>
      </c>
      <c r="H1635" s="3">
        <v>181574.27138655461</v>
      </c>
      <c r="I1635">
        <v>30</v>
      </c>
      <c r="J1635" s="3">
        <v>118760.04123136841</v>
      </c>
      <c r="K1635" s="3">
        <v>62814.230155186167</v>
      </c>
    </row>
    <row r="1636" spans="1:11" x14ac:dyDescent="0.3">
      <c r="A1636" t="s">
        <v>1712</v>
      </c>
      <c r="B1636" s="2">
        <v>45444</v>
      </c>
      <c r="C1636">
        <v>2024</v>
      </c>
      <c r="D1636">
        <v>6</v>
      </c>
      <c r="E1636" t="s">
        <v>54</v>
      </c>
      <c r="F1636" t="s">
        <v>67</v>
      </c>
      <c r="G1636" t="s">
        <v>24</v>
      </c>
      <c r="H1636" s="3">
        <v>69396.140077091768</v>
      </c>
      <c r="I1636">
        <v>11</v>
      </c>
      <c r="J1636" s="3">
        <v>45661.421726571331</v>
      </c>
      <c r="K1636" s="3">
        <v>23734.718350520441</v>
      </c>
    </row>
    <row r="1637" spans="1:11" x14ac:dyDescent="0.3">
      <c r="A1637" t="s">
        <v>1713</v>
      </c>
      <c r="B1637" s="2">
        <v>45444</v>
      </c>
      <c r="C1637">
        <v>2024</v>
      </c>
      <c r="D1637">
        <v>6</v>
      </c>
      <c r="E1637" t="s">
        <v>54</v>
      </c>
      <c r="F1637" t="s">
        <v>48</v>
      </c>
      <c r="G1637" t="s">
        <v>24</v>
      </c>
      <c r="H1637" s="3">
        <v>138741.6423301413</v>
      </c>
      <c r="I1637">
        <v>23</v>
      </c>
      <c r="J1637" s="3">
        <v>94267.241743509716</v>
      </c>
      <c r="K1637" s="3">
        <v>44474.400586631593</v>
      </c>
    </row>
    <row r="1638" spans="1:11" x14ac:dyDescent="0.3">
      <c r="A1638" t="s">
        <v>1714</v>
      </c>
      <c r="B1638" s="2">
        <v>45444</v>
      </c>
      <c r="C1638">
        <v>2024</v>
      </c>
      <c r="D1638">
        <v>6</v>
      </c>
      <c r="E1638" t="s">
        <v>58</v>
      </c>
      <c r="F1638" t="s">
        <v>67</v>
      </c>
      <c r="G1638" t="s">
        <v>24</v>
      </c>
      <c r="H1638" s="3">
        <v>49921.781634548133</v>
      </c>
      <c r="I1638">
        <v>8</v>
      </c>
      <c r="J1638" s="3">
        <v>32839.665586628013</v>
      </c>
      <c r="K1638" s="3">
        <v>17082.116047920132</v>
      </c>
    </row>
    <row r="1639" spans="1:11" x14ac:dyDescent="0.3">
      <c r="A1639" t="s">
        <v>1715</v>
      </c>
      <c r="B1639" s="2">
        <v>45444</v>
      </c>
      <c r="C1639">
        <v>2024</v>
      </c>
      <c r="D1639">
        <v>6</v>
      </c>
      <c r="E1639" t="s">
        <v>58</v>
      </c>
      <c r="F1639" t="s">
        <v>48</v>
      </c>
      <c r="G1639" t="s">
        <v>24</v>
      </c>
      <c r="H1639" s="3">
        <v>94620.044664109679</v>
      </c>
      <c r="I1639">
        <v>16</v>
      </c>
      <c r="J1639" s="3">
        <v>62426.978930172147</v>
      </c>
      <c r="K1639" s="3">
        <v>32193.065733937528</v>
      </c>
    </row>
    <row r="1640" spans="1:11" x14ac:dyDescent="0.3">
      <c r="A1640" t="s">
        <v>1716</v>
      </c>
      <c r="B1640" s="2">
        <v>45444</v>
      </c>
      <c r="C1640">
        <v>2024</v>
      </c>
      <c r="D1640">
        <v>6</v>
      </c>
      <c r="E1640" t="s">
        <v>62</v>
      </c>
      <c r="F1640" t="s">
        <v>67</v>
      </c>
      <c r="G1640" t="s">
        <v>24</v>
      </c>
      <c r="H1640" s="3">
        <v>41478.441751958489</v>
      </c>
      <c r="I1640">
        <v>7</v>
      </c>
      <c r="J1640" s="3">
        <v>27138.10484583646</v>
      </c>
      <c r="K1640" s="3">
        <v>14340.336906122029</v>
      </c>
    </row>
    <row r="1641" spans="1:11" x14ac:dyDescent="0.3">
      <c r="A1641" t="s">
        <v>1717</v>
      </c>
      <c r="B1641" s="2">
        <v>45444</v>
      </c>
      <c r="C1641">
        <v>2024</v>
      </c>
      <c r="D1641">
        <v>6</v>
      </c>
      <c r="E1641" t="s">
        <v>62</v>
      </c>
      <c r="F1641" t="s">
        <v>48</v>
      </c>
      <c r="G1641" t="s">
        <v>24</v>
      </c>
      <c r="H1641" s="3">
        <v>70730.193693048364</v>
      </c>
      <c r="I1641">
        <v>12</v>
      </c>
      <c r="J1641" s="3">
        <v>47605.375749571118</v>
      </c>
      <c r="K1641" s="3">
        <v>23124.81794347725</v>
      </c>
    </row>
    <row r="1642" spans="1:11" x14ac:dyDescent="0.3">
      <c r="A1642" t="s">
        <v>1718</v>
      </c>
      <c r="B1642" s="2">
        <v>45444</v>
      </c>
      <c r="C1642">
        <v>2024</v>
      </c>
      <c r="D1642">
        <v>6</v>
      </c>
      <c r="E1642" t="s">
        <v>50</v>
      </c>
      <c r="F1642" t="s">
        <v>67</v>
      </c>
      <c r="G1642" t="s">
        <v>29</v>
      </c>
      <c r="H1642" s="3">
        <v>61530.097546055978</v>
      </c>
      <c r="I1642">
        <v>14</v>
      </c>
      <c r="J1642" s="3">
        <v>40768.447449801599</v>
      </c>
      <c r="K1642" s="3">
        <v>20761.65009625438</v>
      </c>
    </row>
    <row r="1643" spans="1:11" x14ac:dyDescent="0.3">
      <c r="A1643" t="s">
        <v>1719</v>
      </c>
      <c r="B1643" s="2">
        <v>45444</v>
      </c>
      <c r="C1643">
        <v>2024</v>
      </c>
      <c r="D1643">
        <v>6</v>
      </c>
      <c r="E1643" t="s">
        <v>50</v>
      </c>
      <c r="F1643" t="s">
        <v>48</v>
      </c>
      <c r="G1643" t="s">
        <v>29</v>
      </c>
      <c r="H1643" s="3">
        <v>115860.7834068825</v>
      </c>
      <c r="I1643">
        <v>27</v>
      </c>
      <c r="J1643" s="3">
        <v>74752.341928608788</v>
      </c>
      <c r="K1643" s="3">
        <v>41108.441478273708</v>
      </c>
    </row>
    <row r="1644" spans="1:11" x14ac:dyDescent="0.3">
      <c r="A1644" t="s">
        <v>1720</v>
      </c>
      <c r="B1644" s="2">
        <v>45444</v>
      </c>
      <c r="C1644">
        <v>2024</v>
      </c>
      <c r="D1644">
        <v>6</v>
      </c>
      <c r="E1644" t="s">
        <v>54</v>
      </c>
      <c r="F1644" t="s">
        <v>67</v>
      </c>
      <c r="G1644" t="s">
        <v>29</v>
      </c>
      <c r="H1644" s="3">
        <v>46353.980904861608</v>
      </c>
      <c r="I1644">
        <v>11</v>
      </c>
      <c r="J1644" s="3">
        <v>29710.748332600819</v>
      </c>
      <c r="K1644" s="3">
        <v>16643.232572260789</v>
      </c>
    </row>
    <row r="1645" spans="1:11" x14ac:dyDescent="0.3">
      <c r="A1645" t="s">
        <v>1721</v>
      </c>
      <c r="B1645" s="2">
        <v>45444</v>
      </c>
      <c r="C1645">
        <v>2024</v>
      </c>
      <c r="D1645">
        <v>6</v>
      </c>
      <c r="E1645" t="s">
        <v>54</v>
      </c>
      <c r="F1645" t="s">
        <v>48</v>
      </c>
      <c r="G1645" t="s">
        <v>29</v>
      </c>
      <c r="H1645" s="3">
        <v>90823.710034119693</v>
      </c>
      <c r="I1645">
        <v>21</v>
      </c>
      <c r="J1645" s="3">
        <v>58165.65990071027</v>
      </c>
      <c r="K1645" s="3">
        <v>32658.050133409419</v>
      </c>
    </row>
    <row r="1646" spans="1:11" x14ac:dyDescent="0.3">
      <c r="A1646" t="s">
        <v>1722</v>
      </c>
      <c r="B1646" s="2">
        <v>45444</v>
      </c>
      <c r="C1646">
        <v>2024</v>
      </c>
      <c r="D1646">
        <v>6</v>
      </c>
      <c r="E1646" t="s">
        <v>58</v>
      </c>
      <c r="F1646" t="s">
        <v>67</v>
      </c>
      <c r="G1646" t="s">
        <v>29</v>
      </c>
      <c r="H1646" s="3">
        <v>38891.606590628333</v>
      </c>
      <c r="I1646">
        <v>9</v>
      </c>
      <c r="J1646" s="3">
        <v>23822.384128930291</v>
      </c>
      <c r="K1646" s="3">
        <v>15069.222461698029</v>
      </c>
    </row>
    <row r="1647" spans="1:11" x14ac:dyDescent="0.3">
      <c r="A1647" t="s">
        <v>1723</v>
      </c>
      <c r="B1647" s="2">
        <v>45444</v>
      </c>
      <c r="C1647">
        <v>2024</v>
      </c>
      <c r="D1647">
        <v>6</v>
      </c>
      <c r="E1647" t="s">
        <v>58</v>
      </c>
      <c r="F1647" t="s">
        <v>48</v>
      </c>
      <c r="G1647" t="s">
        <v>29</v>
      </c>
      <c r="H1647" s="3">
        <v>65031.696385938063</v>
      </c>
      <c r="I1647">
        <v>15</v>
      </c>
      <c r="J1647" s="3">
        <v>42178.526740326437</v>
      </c>
      <c r="K1647" s="3">
        <v>22853.169645611611</v>
      </c>
    </row>
    <row r="1648" spans="1:11" x14ac:dyDescent="0.3">
      <c r="A1648" t="s">
        <v>1724</v>
      </c>
      <c r="B1648" s="2">
        <v>45444</v>
      </c>
      <c r="C1648">
        <v>2024</v>
      </c>
      <c r="D1648">
        <v>6</v>
      </c>
      <c r="E1648" t="s">
        <v>62</v>
      </c>
      <c r="F1648" t="s">
        <v>67</v>
      </c>
      <c r="G1648" t="s">
        <v>29</v>
      </c>
      <c r="H1648" s="3">
        <v>24607.57634546233</v>
      </c>
      <c r="I1648">
        <v>6</v>
      </c>
      <c r="J1648" s="3">
        <v>15786.882260035451</v>
      </c>
      <c r="K1648" s="3">
        <v>8820.6940854268796</v>
      </c>
    </row>
    <row r="1649" spans="1:11" x14ac:dyDescent="0.3">
      <c r="A1649" t="s">
        <v>1725</v>
      </c>
      <c r="B1649" s="2">
        <v>45444</v>
      </c>
      <c r="C1649">
        <v>2024</v>
      </c>
      <c r="D1649">
        <v>6</v>
      </c>
      <c r="E1649" t="s">
        <v>62</v>
      </c>
      <c r="F1649" t="s">
        <v>48</v>
      </c>
      <c r="G1649" t="s">
        <v>29</v>
      </c>
      <c r="H1649" s="3">
        <v>47531.49117857033</v>
      </c>
      <c r="I1649">
        <v>11</v>
      </c>
      <c r="J1649" s="3">
        <v>30654.698517640561</v>
      </c>
      <c r="K1649" s="3">
        <v>16876.792660929768</v>
      </c>
    </row>
    <row r="1650" spans="1:11" x14ac:dyDescent="0.3">
      <c r="A1650" t="s">
        <v>1726</v>
      </c>
      <c r="B1650" s="2">
        <v>45444</v>
      </c>
      <c r="C1650">
        <v>2024</v>
      </c>
      <c r="D1650">
        <v>6</v>
      </c>
      <c r="E1650" t="s">
        <v>50</v>
      </c>
      <c r="F1650" t="s">
        <v>67</v>
      </c>
      <c r="G1650" t="s">
        <v>34</v>
      </c>
      <c r="H1650" s="3">
        <v>55028.413945870772</v>
      </c>
      <c r="I1650">
        <v>65</v>
      </c>
      <c r="J1650" s="3">
        <v>26075.377197916321</v>
      </c>
      <c r="K1650" s="3">
        <v>28953.03674795444</v>
      </c>
    </row>
    <row r="1651" spans="1:11" x14ac:dyDescent="0.3">
      <c r="A1651" t="s">
        <v>1727</v>
      </c>
      <c r="B1651" s="2">
        <v>45444</v>
      </c>
      <c r="C1651">
        <v>2024</v>
      </c>
      <c r="D1651">
        <v>6</v>
      </c>
      <c r="E1651" t="s">
        <v>50</v>
      </c>
      <c r="F1651" t="s">
        <v>48</v>
      </c>
      <c r="G1651" t="s">
        <v>34</v>
      </c>
      <c r="H1651" s="3">
        <v>107846.9606086705</v>
      </c>
      <c r="I1651">
        <v>127</v>
      </c>
      <c r="J1651" s="3">
        <v>51408.305041334686</v>
      </c>
      <c r="K1651" s="3">
        <v>56438.65556733586</v>
      </c>
    </row>
    <row r="1652" spans="1:11" x14ac:dyDescent="0.3">
      <c r="A1652" t="s">
        <v>1728</v>
      </c>
      <c r="B1652" s="2">
        <v>45444</v>
      </c>
      <c r="C1652">
        <v>2024</v>
      </c>
      <c r="D1652">
        <v>6</v>
      </c>
      <c r="E1652" t="s">
        <v>54</v>
      </c>
      <c r="F1652" t="s">
        <v>67</v>
      </c>
      <c r="G1652" t="s">
        <v>34</v>
      </c>
      <c r="H1652" s="3">
        <v>45213.642394724127</v>
      </c>
      <c r="I1652">
        <v>53</v>
      </c>
      <c r="J1652" s="3">
        <v>21541.983155436239</v>
      </c>
      <c r="K1652" s="3">
        <v>23671.659239287899</v>
      </c>
    </row>
    <row r="1653" spans="1:11" x14ac:dyDescent="0.3">
      <c r="A1653" t="s">
        <v>1729</v>
      </c>
      <c r="B1653" s="2">
        <v>45444</v>
      </c>
      <c r="C1653">
        <v>2024</v>
      </c>
      <c r="D1653">
        <v>6</v>
      </c>
      <c r="E1653" t="s">
        <v>54</v>
      </c>
      <c r="F1653" t="s">
        <v>48</v>
      </c>
      <c r="G1653" t="s">
        <v>34</v>
      </c>
      <c r="H1653" s="3">
        <v>86645.917931780612</v>
      </c>
      <c r="I1653">
        <v>102</v>
      </c>
      <c r="J1653" s="3">
        <v>42354.848752326929</v>
      </c>
      <c r="K1653" s="3">
        <v>44291.069179453683</v>
      </c>
    </row>
    <row r="1654" spans="1:11" x14ac:dyDescent="0.3">
      <c r="A1654" t="s">
        <v>1730</v>
      </c>
      <c r="B1654" s="2">
        <v>45444</v>
      </c>
      <c r="C1654">
        <v>2024</v>
      </c>
      <c r="D1654">
        <v>6</v>
      </c>
      <c r="E1654" t="s">
        <v>58</v>
      </c>
      <c r="F1654" t="s">
        <v>67</v>
      </c>
      <c r="G1654" t="s">
        <v>34</v>
      </c>
      <c r="H1654" s="3">
        <v>32080.71375008834</v>
      </c>
      <c r="I1654">
        <v>38</v>
      </c>
      <c r="J1654" s="3">
        <v>15293.75894588287</v>
      </c>
      <c r="K1654" s="3">
        <v>16786.95480420547</v>
      </c>
    </row>
    <row r="1655" spans="1:11" x14ac:dyDescent="0.3">
      <c r="A1655" t="s">
        <v>1731</v>
      </c>
      <c r="B1655" s="2">
        <v>45444</v>
      </c>
      <c r="C1655">
        <v>2024</v>
      </c>
      <c r="D1655">
        <v>6</v>
      </c>
      <c r="E1655" t="s">
        <v>58</v>
      </c>
      <c r="F1655" t="s">
        <v>48</v>
      </c>
      <c r="G1655" t="s">
        <v>34</v>
      </c>
      <c r="H1655" s="3">
        <v>57481.618758845478</v>
      </c>
      <c r="I1655">
        <v>68</v>
      </c>
      <c r="J1655" s="3">
        <v>28625.51189681275</v>
      </c>
      <c r="K1655" s="3">
        <v>28856.106862032731</v>
      </c>
    </row>
    <row r="1656" spans="1:11" x14ac:dyDescent="0.3">
      <c r="A1656" t="s">
        <v>1732</v>
      </c>
      <c r="B1656" s="2">
        <v>45444</v>
      </c>
      <c r="C1656">
        <v>2024</v>
      </c>
      <c r="D1656">
        <v>6</v>
      </c>
      <c r="E1656" t="s">
        <v>62</v>
      </c>
      <c r="F1656" t="s">
        <v>67</v>
      </c>
      <c r="G1656" t="s">
        <v>34</v>
      </c>
      <c r="H1656" s="3">
        <v>23087.2842137158</v>
      </c>
      <c r="I1656">
        <v>27</v>
      </c>
      <c r="J1656" s="3">
        <v>11167.842331181941</v>
      </c>
      <c r="K1656" s="3">
        <v>11919.441882533871</v>
      </c>
    </row>
    <row r="1657" spans="1:11" x14ac:dyDescent="0.3">
      <c r="A1657" t="s">
        <v>1733</v>
      </c>
      <c r="B1657" s="2">
        <v>45444</v>
      </c>
      <c r="C1657">
        <v>2024</v>
      </c>
      <c r="D1657">
        <v>6</v>
      </c>
      <c r="E1657" t="s">
        <v>62</v>
      </c>
      <c r="F1657" t="s">
        <v>48</v>
      </c>
      <c r="G1657" t="s">
        <v>34</v>
      </c>
      <c r="H1657" s="3">
        <v>44133.566284323933</v>
      </c>
      <c r="I1657">
        <v>52</v>
      </c>
      <c r="J1657" s="3">
        <v>20697.67614246509</v>
      </c>
      <c r="K1657" s="3">
        <v>23435.890141858828</v>
      </c>
    </row>
    <row r="1658" spans="1:11" x14ac:dyDescent="0.3">
      <c r="A1658" t="s">
        <v>1734</v>
      </c>
      <c r="B1658" s="2">
        <v>45444</v>
      </c>
      <c r="C1658">
        <v>2024</v>
      </c>
      <c r="D1658">
        <v>6</v>
      </c>
      <c r="E1658" t="s">
        <v>50</v>
      </c>
      <c r="F1658" t="s">
        <v>67</v>
      </c>
      <c r="G1658" t="s">
        <v>37</v>
      </c>
      <c r="H1658" s="3">
        <v>46058.758653459263</v>
      </c>
      <c r="I1658">
        <v>64</v>
      </c>
      <c r="J1658" s="3">
        <v>25273.702500705382</v>
      </c>
      <c r="K1658" s="3">
        <v>20785.056152753881</v>
      </c>
    </row>
    <row r="1659" spans="1:11" x14ac:dyDescent="0.3">
      <c r="A1659" t="s">
        <v>1735</v>
      </c>
      <c r="B1659" s="2">
        <v>45444</v>
      </c>
      <c r="C1659">
        <v>2024</v>
      </c>
      <c r="D1659">
        <v>6</v>
      </c>
      <c r="E1659" t="s">
        <v>50</v>
      </c>
      <c r="F1659" t="s">
        <v>48</v>
      </c>
      <c r="G1659" t="s">
        <v>37</v>
      </c>
      <c r="H1659" s="3">
        <v>87658.125587160073</v>
      </c>
      <c r="I1659">
        <v>122</v>
      </c>
      <c r="J1659" s="3">
        <v>47646.435337907897</v>
      </c>
      <c r="K1659" s="3">
        <v>40011.690249252177</v>
      </c>
    </row>
    <row r="1660" spans="1:11" x14ac:dyDescent="0.3">
      <c r="A1660" t="s">
        <v>1736</v>
      </c>
      <c r="B1660" s="2">
        <v>45444</v>
      </c>
      <c r="C1660">
        <v>2024</v>
      </c>
      <c r="D1660">
        <v>6</v>
      </c>
      <c r="E1660" t="s">
        <v>54</v>
      </c>
      <c r="F1660" t="s">
        <v>67</v>
      </c>
      <c r="G1660" t="s">
        <v>37</v>
      </c>
      <c r="H1660" s="3">
        <v>40042.695529758072</v>
      </c>
      <c r="I1660">
        <v>56</v>
      </c>
      <c r="J1660" s="3">
        <v>21153.579549130009</v>
      </c>
      <c r="K1660" s="3">
        <v>18889.115980628059</v>
      </c>
    </row>
    <row r="1661" spans="1:11" x14ac:dyDescent="0.3">
      <c r="A1661" t="s">
        <v>1737</v>
      </c>
      <c r="B1661" s="2">
        <v>45444</v>
      </c>
      <c r="C1661">
        <v>2024</v>
      </c>
      <c r="D1661">
        <v>6</v>
      </c>
      <c r="E1661" t="s">
        <v>54</v>
      </c>
      <c r="F1661" t="s">
        <v>48</v>
      </c>
      <c r="G1661" t="s">
        <v>37</v>
      </c>
      <c r="H1661" s="3">
        <v>67029.144788192498</v>
      </c>
      <c r="I1661">
        <v>93</v>
      </c>
      <c r="J1661" s="3">
        <v>37927.420208876872</v>
      </c>
      <c r="K1661" s="3">
        <v>29101.724579315629</v>
      </c>
    </row>
    <row r="1662" spans="1:11" x14ac:dyDescent="0.3">
      <c r="A1662" t="s">
        <v>1738</v>
      </c>
      <c r="B1662" s="2">
        <v>45444</v>
      </c>
      <c r="C1662">
        <v>2024</v>
      </c>
      <c r="D1662">
        <v>6</v>
      </c>
      <c r="E1662" t="s">
        <v>58</v>
      </c>
      <c r="F1662" t="s">
        <v>67</v>
      </c>
      <c r="G1662" t="s">
        <v>37</v>
      </c>
      <c r="H1662" s="3">
        <v>26256.435350659602</v>
      </c>
      <c r="I1662">
        <v>36</v>
      </c>
      <c r="J1662" s="3">
        <v>14623.813408213549</v>
      </c>
      <c r="K1662" s="3">
        <v>11632.621942446051</v>
      </c>
    </row>
    <row r="1663" spans="1:11" x14ac:dyDescent="0.3">
      <c r="A1663" t="s">
        <v>1739</v>
      </c>
      <c r="B1663" s="2">
        <v>45444</v>
      </c>
      <c r="C1663">
        <v>2024</v>
      </c>
      <c r="D1663">
        <v>6</v>
      </c>
      <c r="E1663" t="s">
        <v>58</v>
      </c>
      <c r="F1663" t="s">
        <v>48</v>
      </c>
      <c r="G1663" t="s">
        <v>37</v>
      </c>
      <c r="H1663" s="3">
        <v>49724.126823015467</v>
      </c>
      <c r="I1663">
        <v>69</v>
      </c>
      <c r="J1663" s="3">
        <v>27610.751108810549</v>
      </c>
      <c r="K1663" s="3">
        <v>22113.375714204929</v>
      </c>
    </row>
    <row r="1664" spans="1:11" x14ac:dyDescent="0.3">
      <c r="A1664" t="s">
        <v>1740</v>
      </c>
      <c r="B1664" s="2">
        <v>45444</v>
      </c>
      <c r="C1664">
        <v>2024</v>
      </c>
      <c r="D1664">
        <v>6</v>
      </c>
      <c r="E1664" t="s">
        <v>62</v>
      </c>
      <c r="F1664" t="s">
        <v>67</v>
      </c>
      <c r="G1664" t="s">
        <v>37</v>
      </c>
      <c r="H1664" s="3">
        <v>19751.356180205152</v>
      </c>
      <c r="I1664">
        <v>27</v>
      </c>
      <c r="J1664" s="3">
        <v>10895.588670532919</v>
      </c>
      <c r="K1664" s="3">
        <v>8855.767509672236</v>
      </c>
    </row>
    <row r="1665" spans="1:11" x14ac:dyDescent="0.3">
      <c r="A1665" t="s">
        <v>1741</v>
      </c>
      <c r="B1665" s="2">
        <v>45444</v>
      </c>
      <c r="C1665">
        <v>2024</v>
      </c>
      <c r="D1665">
        <v>6</v>
      </c>
      <c r="E1665" t="s">
        <v>62</v>
      </c>
      <c r="F1665" t="s">
        <v>48</v>
      </c>
      <c r="G1665" t="s">
        <v>37</v>
      </c>
      <c r="H1665" s="3">
        <v>37500.161727337552</v>
      </c>
      <c r="I1665">
        <v>52</v>
      </c>
      <c r="J1665" s="3">
        <v>20112.012714909371</v>
      </c>
      <c r="K1665" s="3">
        <v>17388.149012428181</v>
      </c>
    </row>
    <row r="1666" spans="1:11" x14ac:dyDescent="0.3">
      <c r="A1666" t="s">
        <v>1742</v>
      </c>
      <c r="B1666" s="2">
        <v>45444</v>
      </c>
      <c r="C1666">
        <v>2024</v>
      </c>
      <c r="D1666">
        <v>6</v>
      </c>
      <c r="E1666" t="s">
        <v>50</v>
      </c>
      <c r="F1666" t="s">
        <v>67</v>
      </c>
      <c r="G1666" t="s">
        <v>40</v>
      </c>
      <c r="H1666" s="3">
        <v>43971.211264785998</v>
      </c>
      <c r="I1666">
        <v>8</v>
      </c>
      <c r="J1666" s="3">
        <v>30076.02159853221</v>
      </c>
      <c r="K1666" s="3">
        <v>13895.189666253789</v>
      </c>
    </row>
    <row r="1667" spans="1:11" x14ac:dyDescent="0.3">
      <c r="A1667" t="s">
        <v>1743</v>
      </c>
      <c r="B1667" s="2">
        <v>45444</v>
      </c>
      <c r="C1667">
        <v>2024</v>
      </c>
      <c r="D1667">
        <v>6</v>
      </c>
      <c r="E1667" t="s">
        <v>50</v>
      </c>
      <c r="F1667" t="s">
        <v>48</v>
      </c>
      <c r="G1667" t="s">
        <v>40</v>
      </c>
      <c r="H1667" s="3">
        <v>82241.229441220901</v>
      </c>
      <c r="I1667">
        <v>15</v>
      </c>
      <c r="J1667" s="3">
        <v>57606.27356055312</v>
      </c>
      <c r="K1667" s="3">
        <v>24634.955880667781</v>
      </c>
    </row>
    <row r="1668" spans="1:11" x14ac:dyDescent="0.3">
      <c r="A1668" t="s">
        <v>1744</v>
      </c>
      <c r="B1668" s="2">
        <v>45444</v>
      </c>
      <c r="C1668">
        <v>2024</v>
      </c>
      <c r="D1668">
        <v>6</v>
      </c>
      <c r="E1668" t="s">
        <v>54</v>
      </c>
      <c r="F1668" t="s">
        <v>67</v>
      </c>
      <c r="G1668" t="s">
        <v>40</v>
      </c>
      <c r="H1668" s="3">
        <v>33278.740094385517</v>
      </c>
      <c r="I1668">
        <v>6</v>
      </c>
      <c r="J1668" s="3">
        <v>22527.838350463961</v>
      </c>
      <c r="K1668" s="3">
        <v>10750.90174392156</v>
      </c>
    </row>
    <row r="1669" spans="1:11" x14ac:dyDescent="0.3">
      <c r="A1669" t="s">
        <v>1745</v>
      </c>
      <c r="B1669" s="2">
        <v>45444</v>
      </c>
      <c r="C1669">
        <v>2024</v>
      </c>
      <c r="D1669">
        <v>6</v>
      </c>
      <c r="E1669" t="s">
        <v>54</v>
      </c>
      <c r="F1669" t="s">
        <v>48</v>
      </c>
      <c r="G1669" t="s">
        <v>40</v>
      </c>
      <c r="H1669" s="3">
        <v>68666.672341348007</v>
      </c>
      <c r="I1669">
        <v>13</v>
      </c>
      <c r="J1669" s="3">
        <v>45220.809593420832</v>
      </c>
      <c r="K1669" s="3">
        <v>23445.862747927171</v>
      </c>
    </row>
    <row r="1670" spans="1:11" x14ac:dyDescent="0.3">
      <c r="A1670" t="s">
        <v>1746</v>
      </c>
      <c r="B1670" s="2">
        <v>45444</v>
      </c>
      <c r="C1670">
        <v>2024</v>
      </c>
      <c r="D1670">
        <v>6</v>
      </c>
      <c r="E1670" t="s">
        <v>58</v>
      </c>
      <c r="F1670" t="s">
        <v>67</v>
      </c>
      <c r="G1670" t="s">
        <v>40</v>
      </c>
      <c r="H1670" s="3">
        <v>22081.58312279619</v>
      </c>
      <c r="I1670">
        <v>4</v>
      </c>
      <c r="J1670" s="3">
        <v>15174.007791188191</v>
      </c>
      <c r="K1670" s="3">
        <v>6907.5753316080027</v>
      </c>
    </row>
    <row r="1671" spans="1:11" x14ac:dyDescent="0.3">
      <c r="A1671" t="s">
        <v>1747</v>
      </c>
      <c r="B1671" s="2">
        <v>45444</v>
      </c>
      <c r="C1671">
        <v>2024</v>
      </c>
      <c r="D1671">
        <v>6</v>
      </c>
      <c r="E1671" t="s">
        <v>58</v>
      </c>
      <c r="F1671" t="s">
        <v>48</v>
      </c>
      <c r="G1671" t="s">
        <v>40</v>
      </c>
      <c r="H1671" s="3">
        <v>44410.959034656931</v>
      </c>
      <c r="I1671">
        <v>8</v>
      </c>
      <c r="J1671" s="3">
        <v>30565.370519467629</v>
      </c>
      <c r="K1671" s="3">
        <v>13845.5885151893</v>
      </c>
    </row>
    <row r="1672" spans="1:11" x14ac:dyDescent="0.3">
      <c r="A1672" t="s">
        <v>1748</v>
      </c>
      <c r="B1672" s="2">
        <v>45444</v>
      </c>
      <c r="C1672">
        <v>2024</v>
      </c>
      <c r="D1672">
        <v>6</v>
      </c>
      <c r="E1672" t="s">
        <v>62</v>
      </c>
      <c r="F1672" t="s">
        <v>67</v>
      </c>
      <c r="G1672" t="s">
        <v>40</v>
      </c>
      <c r="H1672" s="3">
        <v>19617.755267236349</v>
      </c>
      <c r="I1672">
        <v>4</v>
      </c>
      <c r="J1672" s="3">
        <v>13569.281502479151</v>
      </c>
      <c r="K1672" s="3">
        <v>6048.4737647572074</v>
      </c>
    </row>
    <row r="1673" spans="1:11" x14ac:dyDescent="0.3">
      <c r="A1673" t="s">
        <v>1749</v>
      </c>
      <c r="B1673" s="2">
        <v>45444</v>
      </c>
      <c r="C1673">
        <v>2024</v>
      </c>
      <c r="D1673">
        <v>6</v>
      </c>
      <c r="E1673" t="s">
        <v>62</v>
      </c>
      <c r="F1673" t="s">
        <v>48</v>
      </c>
      <c r="G1673" t="s">
        <v>40</v>
      </c>
      <c r="H1673" s="3">
        <v>32558.829134925571</v>
      </c>
      <c r="I1673">
        <v>6</v>
      </c>
      <c r="J1673" s="3">
        <v>22760.190951423239</v>
      </c>
      <c r="K1673" s="3">
        <v>9798.638183502324</v>
      </c>
    </row>
    <row r="1674" spans="1:11" x14ac:dyDescent="0.3">
      <c r="A1674" t="s">
        <v>1750</v>
      </c>
      <c r="B1674" s="2">
        <v>45444</v>
      </c>
      <c r="C1674">
        <v>2024</v>
      </c>
      <c r="D1674">
        <v>6</v>
      </c>
      <c r="E1674" t="s">
        <v>50</v>
      </c>
      <c r="F1674" t="s">
        <v>67</v>
      </c>
      <c r="G1674" t="s">
        <v>43</v>
      </c>
      <c r="H1674" s="3">
        <v>98613.084064092458</v>
      </c>
      <c r="I1674">
        <v>28</v>
      </c>
      <c r="J1674" s="3">
        <v>58849.465644275682</v>
      </c>
      <c r="K1674" s="3">
        <v>39763.618419816783</v>
      </c>
    </row>
    <row r="1675" spans="1:11" x14ac:dyDescent="0.3">
      <c r="A1675" t="s">
        <v>1751</v>
      </c>
      <c r="B1675" s="2">
        <v>45444</v>
      </c>
      <c r="C1675">
        <v>2024</v>
      </c>
      <c r="D1675">
        <v>6</v>
      </c>
      <c r="E1675" t="s">
        <v>50</v>
      </c>
      <c r="F1675" t="s">
        <v>48</v>
      </c>
      <c r="G1675" t="s">
        <v>43</v>
      </c>
      <c r="H1675" s="3">
        <v>177217.93713394349</v>
      </c>
      <c r="I1675">
        <v>51</v>
      </c>
      <c r="J1675" s="3">
        <v>105045.6017834738</v>
      </c>
      <c r="K1675" s="3">
        <v>72172.33535046973</v>
      </c>
    </row>
    <row r="1676" spans="1:11" x14ac:dyDescent="0.3">
      <c r="A1676" t="s">
        <v>1752</v>
      </c>
      <c r="B1676" s="2">
        <v>45444</v>
      </c>
      <c r="C1676">
        <v>2024</v>
      </c>
      <c r="D1676">
        <v>6</v>
      </c>
      <c r="E1676" t="s">
        <v>54</v>
      </c>
      <c r="F1676" t="s">
        <v>67</v>
      </c>
      <c r="G1676" t="s">
        <v>43</v>
      </c>
      <c r="H1676" s="3">
        <v>69617.32365891253</v>
      </c>
      <c r="I1676">
        <v>20</v>
      </c>
      <c r="J1676" s="3">
        <v>41958.120325911688</v>
      </c>
      <c r="K1676" s="3">
        <v>27659.203333000842</v>
      </c>
    </row>
    <row r="1677" spans="1:11" x14ac:dyDescent="0.3">
      <c r="A1677" t="s">
        <v>1753</v>
      </c>
      <c r="B1677" s="2">
        <v>45444</v>
      </c>
      <c r="C1677">
        <v>2024</v>
      </c>
      <c r="D1677">
        <v>6</v>
      </c>
      <c r="E1677" t="s">
        <v>54</v>
      </c>
      <c r="F1677" t="s">
        <v>48</v>
      </c>
      <c r="G1677" t="s">
        <v>43</v>
      </c>
      <c r="H1677" s="3">
        <v>134025.52852585679</v>
      </c>
      <c r="I1677">
        <v>38</v>
      </c>
      <c r="J1677" s="3">
        <v>76913.034502205643</v>
      </c>
      <c r="K1677" s="3">
        <v>57112.494023651117</v>
      </c>
    </row>
    <row r="1678" spans="1:11" x14ac:dyDescent="0.3">
      <c r="A1678" t="s">
        <v>1754</v>
      </c>
      <c r="B1678" s="2">
        <v>45444</v>
      </c>
      <c r="C1678">
        <v>2024</v>
      </c>
      <c r="D1678">
        <v>6</v>
      </c>
      <c r="E1678" t="s">
        <v>58</v>
      </c>
      <c r="F1678" t="s">
        <v>67</v>
      </c>
      <c r="G1678" t="s">
        <v>43</v>
      </c>
      <c r="H1678" s="3">
        <v>49658.308995890278</v>
      </c>
      <c r="I1678">
        <v>14</v>
      </c>
      <c r="J1678" s="3">
        <v>29564.504245532869</v>
      </c>
      <c r="K1678" s="3">
        <v>20093.804750357409</v>
      </c>
    </row>
    <row r="1679" spans="1:11" x14ac:dyDescent="0.3">
      <c r="A1679" t="s">
        <v>1755</v>
      </c>
      <c r="B1679" s="2">
        <v>45444</v>
      </c>
      <c r="C1679">
        <v>2024</v>
      </c>
      <c r="D1679">
        <v>6</v>
      </c>
      <c r="E1679" t="s">
        <v>58</v>
      </c>
      <c r="F1679" t="s">
        <v>48</v>
      </c>
      <c r="G1679" t="s">
        <v>43</v>
      </c>
      <c r="H1679" s="3">
        <v>96100.899030635657</v>
      </c>
      <c r="I1679">
        <v>27</v>
      </c>
      <c r="J1679" s="3">
        <v>57338.970186009858</v>
      </c>
      <c r="K1679" s="3">
        <v>38761.928844625792</v>
      </c>
    </row>
    <row r="1680" spans="1:11" x14ac:dyDescent="0.3">
      <c r="A1680" t="s">
        <v>1756</v>
      </c>
      <c r="B1680" s="2">
        <v>45444</v>
      </c>
      <c r="C1680">
        <v>2024</v>
      </c>
      <c r="D1680">
        <v>6</v>
      </c>
      <c r="E1680" t="s">
        <v>62</v>
      </c>
      <c r="F1680" t="s">
        <v>67</v>
      </c>
      <c r="G1680" t="s">
        <v>43</v>
      </c>
      <c r="H1680" s="3">
        <v>38323.724286094082</v>
      </c>
      <c r="I1680">
        <v>11</v>
      </c>
      <c r="J1680" s="3">
        <v>22106.498017085662</v>
      </c>
      <c r="K1680" s="3">
        <v>16217.226269008421</v>
      </c>
    </row>
    <row r="1681" spans="1:11" x14ac:dyDescent="0.3">
      <c r="A1681" t="s">
        <v>1757</v>
      </c>
      <c r="B1681" s="2">
        <v>45444</v>
      </c>
      <c r="C1681">
        <v>2024</v>
      </c>
      <c r="D1681">
        <v>6</v>
      </c>
      <c r="E1681" t="s">
        <v>62</v>
      </c>
      <c r="F1681" t="s">
        <v>48</v>
      </c>
      <c r="G1681" t="s">
        <v>43</v>
      </c>
      <c r="H1681" s="3">
        <v>73433.758879443078</v>
      </c>
      <c r="I1681">
        <v>21</v>
      </c>
      <c r="J1681" s="3">
        <v>42153.879268320488</v>
      </c>
      <c r="K1681" s="3">
        <v>31279.879611122589</v>
      </c>
    </row>
    <row r="1682" spans="1:11" x14ac:dyDescent="0.3">
      <c r="A1682" t="s">
        <v>1758</v>
      </c>
      <c r="B1682" s="2">
        <v>45474</v>
      </c>
      <c r="C1682">
        <v>2024</v>
      </c>
      <c r="D1682">
        <v>7</v>
      </c>
      <c r="E1682" t="s">
        <v>50</v>
      </c>
      <c r="F1682" t="s">
        <v>67</v>
      </c>
      <c r="G1682" t="s">
        <v>19</v>
      </c>
      <c r="H1682" s="3">
        <v>76006.052042978321</v>
      </c>
      <c r="I1682">
        <v>15</v>
      </c>
      <c r="J1682" s="3">
        <v>46491.023611127297</v>
      </c>
      <c r="K1682" s="3">
        <v>29515.02843185102</v>
      </c>
    </row>
    <row r="1683" spans="1:11" x14ac:dyDescent="0.3">
      <c r="A1683" t="s">
        <v>1759</v>
      </c>
      <c r="B1683" s="2">
        <v>45474</v>
      </c>
      <c r="C1683">
        <v>2024</v>
      </c>
      <c r="D1683">
        <v>7</v>
      </c>
      <c r="E1683" t="s">
        <v>50</v>
      </c>
      <c r="F1683" t="s">
        <v>48</v>
      </c>
      <c r="G1683" t="s">
        <v>19</v>
      </c>
      <c r="H1683" s="3">
        <v>138950.05771491231</v>
      </c>
      <c r="I1683">
        <v>27</v>
      </c>
      <c r="J1683" s="3">
        <v>85123.194949985293</v>
      </c>
      <c r="K1683" s="3">
        <v>53826.862764926962</v>
      </c>
    </row>
    <row r="1684" spans="1:11" x14ac:dyDescent="0.3">
      <c r="A1684" t="s">
        <v>1760</v>
      </c>
      <c r="B1684" s="2">
        <v>45474</v>
      </c>
      <c r="C1684">
        <v>2024</v>
      </c>
      <c r="D1684">
        <v>7</v>
      </c>
      <c r="E1684" t="s">
        <v>54</v>
      </c>
      <c r="F1684" t="s">
        <v>67</v>
      </c>
      <c r="G1684" t="s">
        <v>19</v>
      </c>
      <c r="H1684" s="3">
        <v>64879.853469577378</v>
      </c>
      <c r="I1684">
        <v>12</v>
      </c>
      <c r="J1684" s="3">
        <v>40771.029418565697</v>
      </c>
      <c r="K1684" s="3">
        <v>24108.824051011681</v>
      </c>
    </row>
    <row r="1685" spans="1:11" x14ac:dyDescent="0.3">
      <c r="A1685" t="s">
        <v>1761</v>
      </c>
      <c r="B1685" s="2">
        <v>45474</v>
      </c>
      <c r="C1685">
        <v>2024</v>
      </c>
      <c r="D1685">
        <v>7</v>
      </c>
      <c r="E1685" t="s">
        <v>54</v>
      </c>
      <c r="F1685" t="s">
        <v>48</v>
      </c>
      <c r="G1685" t="s">
        <v>19</v>
      </c>
      <c r="H1685" s="3">
        <v>128094.7809634173</v>
      </c>
      <c r="I1685">
        <v>25</v>
      </c>
      <c r="J1685" s="3">
        <v>78540.257803781467</v>
      </c>
      <c r="K1685" s="3">
        <v>49554.523159635843</v>
      </c>
    </row>
    <row r="1686" spans="1:11" x14ac:dyDescent="0.3">
      <c r="A1686" t="s">
        <v>1762</v>
      </c>
      <c r="B1686" s="2">
        <v>45474</v>
      </c>
      <c r="C1686">
        <v>2024</v>
      </c>
      <c r="D1686">
        <v>7</v>
      </c>
      <c r="E1686" t="s">
        <v>58</v>
      </c>
      <c r="F1686" t="s">
        <v>67</v>
      </c>
      <c r="G1686" t="s">
        <v>19</v>
      </c>
      <c r="H1686" s="3">
        <v>39096.441129653591</v>
      </c>
      <c r="I1686">
        <v>8</v>
      </c>
      <c r="J1686" s="3">
        <v>23866.15469793028</v>
      </c>
      <c r="K1686" s="3">
        <v>15230.286431723311</v>
      </c>
    </row>
    <row r="1687" spans="1:11" x14ac:dyDescent="0.3">
      <c r="A1687" t="s">
        <v>1763</v>
      </c>
      <c r="B1687" s="2">
        <v>45474</v>
      </c>
      <c r="C1687">
        <v>2024</v>
      </c>
      <c r="D1687">
        <v>7</v>
      </c>
      <c r="E1687" t="s">
        <v>58</v>
      </c>
      <c r="F1687" t="s">
        <v>48</v>
      </c>
      <c r="G1687" t="s">
        <v>19</v>
      </c>
      <c r="H1687" s="3">
        <v>73993.860832855542</v>
      </c>
      <c r="I1687">
        <v>14</v>
      </c>
      <c r="J1687" s="3">
        <v>45371.124016185233</v>
      </c>
      <c r="K1687" s="3">
        <v>28622.73681667032</v>
      </c>
    </row>
    <row r="1688" spans="1:11" x14ac:dyDescent="0.3">
      <c r="A1688" t="s">
        <v>1764</v>
      </c>
      <c r="B1688" s="2">
        <v>45474</v>
      </c>
      <c r="C1688">
        <v>2024</v>
      </c>
      <c r="D1688">
        <v>7</v>
      </c>
      <c r="E1688" t="s">
        <v>62</v>
      </c>
      <c r="F1688" t="s">
        <v>67</v>
      </c>
      <c r="G1688" t="s">
        <v>19</v>
      </c>
      <c r="H1688" s="3">
        <v>36664.694473613381</v>
      </c>
      <c r="I1688">
        <v>7</v>
      </c>
      <c r="J1688" s="3">
        <v>23189.830304042669</v>
      </c>
      <c r="K1688" s="3">
        <v>13474.86416957071</v>
      </c>
    </row>
    <row r="1689" spans="1:11" x14ac:dyDescent="0.3">
      <c r="A1689" t="s">
        <v>1765</v>
      </c>
      <c r="B1689" s="2">
        <v>45474</v>
      </c>
      <c r="C1689">
        <v>2024</v>
      </c>
      <c r="D1689">
        <v>7</v>
      </c>
      <c r="E1689" t="s">
        <v>62</v>
      </c>
      <c r="F1689" t="s">
        <v>48</v>
      </c>
      <c r="G1689" t="s">
        <v>19</v>
      </c>
      <c r="H1689" s="3">
        <v>59980.245237566611</v>
      </c>
      <c r="I1689">
        <v>12</v>
      </c>
      <c r="J1689" s="3">
        <v>37196.48301519073</v>
      </c>
      <c r="K1689" s="3">
        <v>22783.762222375881</v>
      </c>
    </row>
    <row r="1690" spans="1:11" x14ac:dyDescent="0.3">
      <c r="A1690" t="s">
        <v>1766</v>
      </c>
      <c r="B1690" s="2">
        <v>45474</v>
      </c>
      <c r="C1690">
        <v>2024</v>
      </c>
      <c r="D1690">
        <v>7</v>
      </c>
      <c r="E1690" t="s">
        <v>50</v>
      </c>
      <c r="F1690" t="s">
        <v>67</v>
      </c>
      <c r="G1690" t="s">
        <v>24</v>
      </c>
      <c r="H1690" s="3">
        <v>78280.104730619671</v>
      </c>
      <c r="I1690">
        <v>13</v>
      </c>
      <c r="J1690" s="3">
        <v>51498.171468437416</v>
      </c>
      <c r="K1690" s="3">
        <v>26781.93326218225</v>
      </c>
    </row>
    <row r="1691" spans="1:11" x14ac:dyDescent="0.3">
      <c r="A1691" t="s">
        <v>1767</v>
      </c>
      <c r="B1691" s="2">
        <v>45474</v>
      </c>
      <c r="C1691">
        <v>2024</v>
      </c>
      <c r="D1691">
        <v>7</v>
      </c>
      <c r="E1691" t="s">
        <v>50</v>
      </c>
      <c r="F1691" t="s">
        <v>48</v>
      </c>
      <c r="G1691" t="s">
        <v>24</v>
      </c>
      <c r="H1691" s="3">
        <v>149928.24003445031</v>
      </c>
      <c r="I1691">
        <v>25</v>
      </c>
      <c r="J1691" s="3">
        <v>98756.702404662574</v>
      </c>
      <c r="K1691" s="3">
        <v>51171.537629787708</v>
      </c>
    </row>
    <row r="1692" spans="1:11" x14ac:dyDescent="0.3">
      <c r="A1692" t="s">
        <v>1768</v>
      </c>
      <c r="B1692" s="2">
        <v>45474</v>
      </c>
      <c r="C1692">
        <v>2024</v>
      </c>
      <c r="D1692">
        <v>7</v>
      </c>
      <c r="E1692" t="s">
        <v>54</v>
      </c>
      <c r="F1692" t="s">
        <v>67</v>
      </c>
      <c r="G1692" t="s">
        <v>24</v>
      </c>
      <c r="H1692" s="3">
        <v>70148.766436459904</v>
      </c>
      <c r="I1692">
        <v>11</v>
      </c>
      <c r="J1692" s="3">
        <v>47374.946738803621</v>
      </c>
      <c r="K1692" s="3">
        <v>22773.819697656279</v>
      </c>
    </row>
    <row r="1693" spans="1:11" x14ac:dyDescent="0.3">
      <c r="A1693" t="s">
        <v>1769</v>
      </c>
      <c r="B1693" s="2">
        <v>45474</v>
      </c>
      <c r="C1693">
        <v>2024</v>
      </c>
      <c r="D1693">
        <v>7</v>
      </c>
      <c r="E1693" t="s">
        <v>54</v>
      </c>
      <c r="F1693" t="s">
        <v>48</v>
      </c>
      <c r="G1693" t="s">
        <v>24</v>
      </c>
      <c r="H1693" s="3">
        <v>109874.4314284483</v>
      </c>
      <c r="I1693">
        <v>18</v>
      </c>
      <c r="J1693" s="3">
        <v>71539.224710842624</v>
      </c>
      <c r="K1693" s="3">
        <v>38335.206717605717</v>
      </c>
    </row>
    <row r="1694" spans="1:11" x14ac:dyDescent="0.3">
      <c r="A1694" t="s">
        <v>1770</v>
      </c>
      <c r="B1694" s="2">
        <v>45474</v>
      </c>
      <c r="C1694">
        <v>2024</v>
      </c>
      <c r="D1694">
        <v>7</v>
      </c>
      <c r="E1694" t="s">
        <v>58</v>
      </c>
      <c r="F1694" t="s">
        <v>67</v>
      </c>
      <c r="G1694" t="s">
        <v>24</v>
      </c>
      <c r="H1694" s="3">
        <v>41770.60688685644</v>
      </c>
      <c r="I1694">
        <v>7</v>
      </c>
      <c r="J1694" s="3">
        <v>28221.401551891089</v>
      </c>
      <c r="K1694" s="3">
        <v>13549.205334965351</v>
      </c>
    </row>
    <row r="1695" spans="1:11" x14ac:dyDescent="0.3">
      <c r="A1695" t="s">
        <v>1771</v>
      </c>
      <c r="B1695" s="2">
        <v>45474</v>
      </c>
      <c r="C1695">
        <v>2024</v>
      </c>
      <c r="D1695">
        <v>7</v>
      </c>
      <c r="E1695" t="s">
        <v>58</v>
      </c>
      <c r="F1695" t="s">
        <v>48</v>
      </c>
      <c r="G1695" t="s">
        <v>24</v>
      </c>
      <c r="H1695" s="3">
        <v>76290.126057881978</v>
      </c>
      <c r="I1695">
        <v>13</v>
      </c>
      <c r="J1695" s="3">
        <v>50542.261613653842</v>
      </c>
      <c r="K1695" s="3">
        <v>25747.86444422814</v>
      </c>
    </row>
    <row r="1696" spans="1:11" x14ac:dyDescent="0.3">
      <c r="A1696" t="s">
        <v>1772</v>
      </c>
      <c r="B1696" s="2">
        <v>45474</v>
      </c>
      <c r="C1696">
        <v>2024</v>
      </c>
      <c r="D1696">
        <v>7</v>
      </c>
      <c r="E1696" t="s">
        <v>62</v>
      </c>
      <c r="F1696" t="s">
        <v>67</v>
      </c>
      <c r="G1696" t="s">
        <v>24</v>
      </c>
      <c r="H1696" s="3">
        <v>34794.288322502609</v>
      </c>
      <c r="I1696">
        <v>6</v>
      </c>
      <c r="J1696" s="3">
        <v>22897.919955491579</v>
      </c>
      <c r="K1696" s="3">
        <v>11896.368367011029</v>
      </c>
    </row>
    <row r="1697" spans="1:11" x14ac:dyDescent="0.3">
      <c r="A1697" t="s">
        <v>1773</v>
      </c>
      <c r="B1697" s="2">
        <v>45474</v>
      </c>
      <c r="C1697">
        <v>2024</v>
      </c>
      <c r="D1697">
        <v>7</v>
      </c>
      <c r="E1697" t="s">
        <v>62</v>
      </c>
      <c r="F1697" t="s">
        <v>48</v>
      </c>
      <c r="G1697" t="s">
        <v>24</v>
      </c>
      <c r="H1697" s="3">
        <v>60197.638248213712</v>
      </c>
      <c r="I1697">
        <v>10</v>
      </c>
      <c r="J1697" s="3">
        <v>41518.955089037823</v>
      </c>
      <c r="K1697" s="3">
        <v>18678.683159175889</v>
      </c>
    </row>
    <row r="1698" spans="1:11" x14ac:dyDescent="0.3">
      <c r="A1698" t="s">
        <v>1774</v>
      </c>
      <c r="B1698" s="2">
        <v>45474</v>
      </c>
      <c r="C1698">
        <v>2024</v>
      </c>
      <c r="D1698">
        <v>7</v>
      </c>
      <c r="E1698" t="s">
        <v>50</v>
      </c>
      <c r="F1698" t="s">
        <v>67</v>
      </c>
      <c r="G1698" t="s">
        <v>29</v>
      </c>
      <c r="H1698" s="3">
        <v>55211.78866493659</v>
      </c>
      <c r="I1698">
        <v>13</v>
      </c>
      <c r="J1698" s="3">
        <v>34664.116009874182</v>
      </c>
      <c r="K1698" s="3">
        <v>20547.672655062412</v>
      </c>
    </row>
    <row r="1699" spans="1:11" x14ac:dyDescent="0.3">
      <c r="A1699" t="s">
        <v>1775</v>
      </c>
      <c r="B1699" s="2">
        <v>45474</v>
      </c>
      <c r="C1699">
        <v>2024</v>
      </c>
      <c r="D1699">
        <v>7</v>
      </c>
      <c r="E1699" t="s">
        <v>50</v>
      </c>
      <c r="F1699" t="s">
        <v>48</v>
      </c>
      <c r="G1699" t="s">
        <v>29</v>
      </c>
      <c r="H1699" s="3">
        <v>105229.1705999626</v>
      </c>
      <c r="I1699">
        <v>24</v>
      </c>
      <c r="J1699" s="3">
        <v>66917.917142772509</v>
      </c>
      <c r="K1699" s="3">
        <v>38311.253457190112</v>
      </c>
    </row>
    <row r="1700" spans="1:11" x14ac:dyDescent="0.3">
      <c r="A1700" t="s">
        <v>1776</v>
      </c>
      <c r="B1700" s="2">
        <v>45474</v>
      </c>
      <c r="C1700">
        <v>2024</v>
      </c>
      <c r="D1700">
        <v>7</v>
      </c>
      <c r="E1700" t="s">
        <v>54</v>
      </c>
      <c r="F1700" t="s">
        <v>67</v>
      </c>
      <c r="G1700" t="s">
        <v>29</v>
      </c>
      <c r="H1700" s="3">
        <v>44510.032110399952</v>
      </c>
      <c r="I1700">
        <v>10</v>
      </c>
      <c r="J1700" s="3">
        <v>27854.484568241322</v>
      </c>
      <c r="K1700" s="3">
        <v>16655.547542158631</v>
      </c>
    </row>
    <row r="1701" spans="1:11" x14ac:dyDescent="0.3">
      <c r="A1701" t="s">
        <v>1777</v>
      </c>
      <c r="B1701" s="2">
        <v>45474</v>
      </c>
      <c r="C1701">
        <v>2024</v>
      </c>
      <c r="D1701">
        <v>7</v>
      </c>
      <c r="E1701" t="s">
        <v>54</v>
      </c>
      <c r="F1701" t="s">
        <v>48</v>
      </c>
      <c r="G1701" t="s">
        <v>29</v>
      </c>
      <c r="H1701" s="3">
        <v>84559.879490480875</v>
      </c>
      <c r="I1701">
        <v>20</v>
      </c>
      <c r="J1701" s="3">
        <v>55046.144473946471</v>
      </c>
      <c r="K1701" s="3">
        <v>29513.7350165344</v>
      </c>
    </row>
    <row r="1702" spans="1:11" x14ac:dyDescent="0.3">
      <c r="A1702" t="s">
        <v>1778</v>
      </c>
      <c r="B1702" s="2">
        <v>45474</v>
      </c>
      <c r="C1702">
        <v>2024</v>
      </c>
      <c r="D1702">
        <v>7</v>
      </c>
      <c r="E1702" t="s">
        <v>58</v>
      </c>
      <c r="F1702" t="s">
        <v>67</v>
      </c>
      <c r="G1702" t="s">
        <v>29</v>
      </c>
      <c r="H1702" s="3">
        <v>31035.995610333179</v>
      </c>
      <c r="I1702">
        <v>7</v>
      </c>
      <c r="J1702" s="3">
        <v>20466.98079761296</v>
      </c>
      <c r="K1702" s="3">
        <v>10569.014812720219</v>
      </c>
    </row>
    <row r="1703" spans="1:11" x14ac:dyDescent="0.3">
      <c r="A1703" t="s">
        <v>1779</v>
      </c>
      <c r="B1703" s="2">
        <v>45474</v>
      </c>
      <c r="C1703">
        <v>2024</v>
      </c>
      <c r="D1703">
        <v>7</v>
      </c>
      <c r="E1703" t="s">
        <v>58</v>
      </c>
      <c r="F1703" t="s">
        <v>48</v>
      </c>
      <c r="G1703" t="s">
        <v>29</v>
      </c>
      <c r="H1703" s="3">
        <v>59065.525570113648</v>
      </c>
      <c r="I1703">
        <v>14</v>
      </c>
      <c r="J1703" s="3">
        <v>38938.21002977711</v>
      </c>
      <c r="K1703" s="3">
        <v>20127.315540336542</v>
      </c>
    </row>
    <row r="1704" spans="1:11" x14ac:dyDescent="0.3">
      <c r="A1704" t="s">
        <v>1780</v>
      </c>
      <c r="B1704" s="2">
        <v>45474</v>
      </c>
      <c r="C1704">
        <v>2024</v>
      </c>
      <c r="D1704">
        <v>7</v>
      </c>
      <c r="E1704" t="s">
        <v>62</v>
      </c>
      <c r="F1704" t="s">
        <v>67</v>
      </c>
      <c r="G1704" t="s">
        <v>29</v>
      </c>
      <c r="H1704" s="3">
        <v>23424.16923458995</v>
      </c>
      <c r="I1704">
        <v>5</v>
      </c>
      <c r="J1704" s="3">
        <v>15321.74651116594</v>
      </c>
      <c r="K1704" s="3">
        <v>8102.4227234240061</v>
      </c>
    </row>
    <row r="1705" spans="1:11" x14ac:dyDescent="0.3">
      <c r="A1705" t="s">
        <v>1781</v>
      </c>
      <c r="B1705" s="2">
        <v>45474</v>
      </c>
      <c r="C1705">
        <v>2024</v>
      </c>
      <c r="D1705">
        <v>7</v>
      </c>
      <c r="E1705" t="s">
        <v>62</v>
      </c>
      <c r="F1705" t="s">
        <v>48</v>
      </c>
      <c r="G1705" t="s">
        <v>29</v>
      </c>
      <c r="H1705" s="3">
        <v>43586.067495914082</v>
      </c>
      <c r="I1705">
        <v>10</v>
      </c>
      <c r="J1705" s="3">
        <v>27795.855688352869</v>
      </c>
      <c r="K1705" s="3">
        <v>15790.211807561211</v>
      </c>
    </row>
    <row r="1706" spans="1:11" x14ac:dyDescent="0.3">
      <c r="A1706" t="s">
        <v>1782</v>
      </c>
      <c r="B1706" s="2">
        <v>45474</v>
      </c>
      <c r="C1706">
        <v>2024</v>
      </c>
      <c r="D1706">
        <v>7</v>
      </c>
      <c r="E1706" t="s">
        <v>50</v>
      </c>
      <c r="F1706" t="s">
        <v>67</v>
      </c>
      <c r="G1706" t="s">
        <v>34</v>
      </c>
      <c r="H1706" s="3">
        <v>48512.581857973841</v>
      </c>
      <c r="I1706">
        <v>57</v>
      </c>
      <c r="J1706" s="3">
        <v>23132.949008276792</v>
      </c>
      <c r="K1706" s="3">
        <v>25379.632849697049</v>
      </c>
    </row>
    <row r="1707" spans="1:11" x14ac:dyDescent="0.3">
      <c r="A1707" t="s">
        <v>1783</v>
      </c>
      <c r="B1707" s="2">
        <v>45474</v>
      </c>
      <c r="C1707">
        <v>2024</v>
      </c>
      <c r="D1707">
        <v>7</v>
      </c>
      <c r="E1707" t="s">
        <v>50</v>
      </c>
      <c r="F1707" t="s">
        <v>48</v>
      </c>
      <c r="G1707" t="s">
        <v>34</v>
      </c>
      <c r="H1707" s="3">
        <v>101493.30832402081</v>
      </c>
      <c r="I1707">
        <v>119</v>
      </c>
      <c r="J1707" s="3">
        <v>47251.335572329612</v>
      </c>
      <c r="K1707" s="3">
        <v>54241.972751691181</v>
      </c>
    </row>
    <row r="1708" spans="1:11" x14ac:dyDescent="0.3">
      <c r="A1708" t="s">
        <v>1784</v>
      </c>
      <c r="B1708" s="2">
        <v>45474</v>
      </c>
      <c r="C1708">
        <v>2024</v>
      </c>
      <c r="D1708">
        <v>7</v>
      </c>
      <c r="E1708" t="s">
        <v>54</v>
      </c>
      <c r="F1708" t="s">
        <v>67</v>
      </c>
      <c r="G1708" t="s">
        <v>34</v>
      </c>
      <c r="H1708" s="3">
        <v>42523.584201891557</v>
      </c>
      <c r="I1708">
        <v>50</v>
      </c>
      <c r="J1708" s="3">
        <v>21159.30802389613</v>
      </c>
      <c r="K1708" s="3">
        <v>21364.276177995442</v>
      </c>
    </row>
    <row r="1709" spans="1:11" x14ac:dyDescent="0.3">
      <c r="A1709" t="s">
        <v>1785</v>
      </c>
      <c r="B1709" s="2">
        <v>45474</v>
      </c>
      <c r="C1709">
        <v>2024</v>
      </c>
      <c r="D1709">
        <v>7</v>
      </c>
      <c r="E1709" t="s">
        <v>54</v>
      </c>
      <c r="F1709" t="s">
        <v>48</v>
      </c>
      <c r="G1709" t="s">
        <v>34</v>
      </c>
      <c r="H1709" s="3">
        <v>83878.950307040388</v>
      </c>
      <c r="I1709">
        <v>99</v>
      </c>
      <c r="J1709" s="3">
        <v>40601.771187579987</v>
      </c>
      <c r="K1709" s="3">
        <v>43277.179119460401</v>
      </c>
    </row>
    <row r="1710" spans="1:11" x14ac:dyDescent="0.3">
      <c r="A1710" t="s">
        <v>1786</v>
      </c>
      <c r="B1710" s="2">
        <v>45474</v>
      </c>
      <c r="C1710">
        <v>2024</v>
      </c>
      <c r="D1710">
        <v>7</v>
      </c>
      <c r="E1710" t="s">
        <v>58</v>
      </c>
      <c r="F1710" t="s">
        <v>67</v>
      </c>
      <c r="G1710" t="s">
        <v>34</v>
      </c>
      <c r="H1710" s="3">
        <v>27822.878631997599</v>
      </c>
      <c r="I1710">
        <v>33</v>
      </c>
      <c r="J1710" s="3">
        <v>13236.72038466392</v>
      </c>
      <c r="K1710" s="3">
        <v>14586.158247333669</v>
      </c>
    </row>
    <row r="1711" spans="1:11" x14ac:dyDescent="0.3">
      <c r="A1711" t="s">
        <v>1787</v>
      </c>
      <c r="B1711" s="2">
        <v>45474</v>
      </c>
      <c r="C1711">
        <v>2024</v>
      </c>
      <c r="D1711">
        <v>7</v>
      </c>
      <c r="E1711" t="s">
        <v>58</v>
      </c>
      <c r="F1711" t="s">
        <v>48</v>
      </c>
      <c r="G1711" t="s">
        <v>34</v>
      </c>
      <c r="H1711" s="3">
        <v>53753.571774243668</v>
      </c>
      <c r="I1711">
        <v>63</v>
      </c>
      <c r="J1711" s="3">
        <v>26418.50505489004</v>
      </c>
      <c r="K1711" s="3">
        <v>27335.066719353628</v>
      </c>
    </row>
    <row r="1712" spans="1:11" x14ac:dyDescent="0.3">
      <c r="A1712" t="s">
        <v>1788</v>
      </c>
      <c r="B1712" s="2">
        <v>45474</v>
      </c>
      <c r="C1712">
        <v>2024</v>
      </c>
      <c r="D1712">
        <v>7</v>
      </c>
      <c r="E1712" t="s">
        <v>62</v>
      </c>
      <c r="F1712" t="s">
        <v>67</v>
      </c>
      <c r="G1712" t="s">
        <v>34</v>
      </c>
      <c r="H1712" s="3">
        <v>20867.146667600249</v>
      </c>
      <c r="I1712">
        <v>25</v>
      </c>
      <c r="J1712" s="3">
        <v>9840.8485969936428</v>
      </c>
      <c r="K1712" s="3">
        <v>11026.29807060661</v>
      </c>
    </row>
    <row r="1713" spans="1:11" x14ac:dyDescent="0.3">
      <c r="A1713" t="s">
        <v>1789</v>
      </c>
      <c r="B1713" s="2">
        <v>45474</v>
      </c>
      <c r="C1713">
        <v>2024</v>
      </c>
      <c r="D1713">
        <v>7</v>
      </c>
      <c r="E1713" t="s">
        <v>62</v>
      </c>
      <c r="F1713" t="s">
        <v>48</v>
      </c>
      <c r="G1713" t="s">
        <v>34</v>
      </c>
      <c r="H1713" s="3">
        <v>44760.057890244498</v>
      </c>
      <c r="I1713">
        <v>53</v>
      </c>
      <c r="J1713" s="3">
        <v>21642.079466153809</v>
      </c>
      <c r="K1713" s="3">
        <v>23117.978424090688</v>
      </c>
    </row>
    <row r="1714" spans="1:11" x14ac:dyDescent="0.3">
      <c r="A1714" t="s">
        <v>1790</v>
      </c>
      <c r="B1714" s="2">
        <v>45474</v>
      </c>
      <c r="C1714">
        <v>2024</v>
      </c>
      <c r="D1714">
        <v>7</v>
      </c>
      <c r="E1714" t="s">
        <v>50</v>
      </c>
      <c r="F1714" t="s">
        <v>67</v>
      </c>
      <c r="G1714" t="s">
        <v>37</v>
      </c>
      <c r="H1714" s="3">
        <v>48129.974844949327</v>
      </c>
      <c r="I1714">
        <v>67</v>
      </c>
      <c r="J1714" s="3">
        <v>26389.230669402001</v>
      </c>
      <c r="K1714" s="3">
        <v>21740.744175547341</v>
      </c>
    </row>
    <row r="1715" spans="1:11" x14ac:dyDescent="0.3">
      <c r="A1715" t="s">
        <v>1791</v>
      </c>
      <c r="B1715" s="2">
        <v>45474</v>
      </c>
      <c r="C1715">
        <v>2024</v>
      </c>
      <c r="D1715">
        <v>7</v>
      </c>
      <c r="E1715" t="s">
        <v>50</v>
      </c>
      <c r="F1715" t="s">
        <v>48</v>
      </c>
      <c r="G1715" t="s">
        <v>37</v>
      </c>
      <c r="H1715" s="3">
        <v>88081.056028140665</v>
      </c>
      <c r="I1715">
        <v>122</v>
      </c>
      <c r="J1715" s="3">
        <v>49001.508849200101</v>
      </c>
      <c r="K1715" s="3">
        <v>39079.547178940556</v>
      </c>
    </row>
    <row r="1716" spans="1:11" x14ac:dyDescent="0.3">
      <c r="A1716" t="s">
        <v>1792</v>
      </c>
      <c r="B1716" s="2">
        <v>45474</v>
      </c>
      <c r="C1716">
        <v>2024</v>
      </c>
      <c r="D1716">
        <v>7</v>
      </c>
      <c r="E1716" t="s">
        <v>54</v>
      </c>
      <c r="F1716" t="s">
        <v>67</v>
      </c>
      <c r="G1716" t="s">
        <v>37</v>
      </c>
      <c r="H1716" s="3">
        <v>37416.264478451078</v>
      </c>
      <c r="I1716">
        <v>52</v>
      </c>
      <c r="J1716" s="3">
        <v>20555.396488023511</v>
      </c>
      <c r="K1716" s="3">
        <v>16860.867990427581</v>
      </c>
    </row>
    <row r="1717" spans="1:11" x14ac:dyDescent="0.3">
      <c r="A1717" t="s">
        <v>1793</v>
      </c>
      <c r="B1717" s="2">
        <v>45474</v>
      </c>
      <c r="C1717">
        <v>2024</v>
      </c>
      <c r="D1717">
        <v>7</v>
      </c>
      <c r="E1717" t="s">
        <v>54</v>
      </c>
      <c r="F1717" t="s">
        <v>48</v>
      </c>
      <c r="G1717" t="s">
        <v>37</v>
      </c>
      <c r="H1717" s="3">
        <v>68194.875825798765</v>
      </c>
      <c r="I1717">
        <v>95</v>
      </c>
      <c r="J1717" s="3">
        <v>36527.617815260797</v>
      </c>
      <c r="K1717" s="3">
        <v>31667.258010537971</v>
      </c>
    </row>
    <row r="1718" spans="1:11" x14ac:dyDescent="0.3">
      <c r="A1718" t="s">
        <v>1794</v>
      </c>
      <c r="B1718" s="2">
        <v>45474</v>
      </c>
      <c r="C1718">
        <v>2024</v>
      </c>
      <c r="D1718">
        <v>7</v>
      </c>
      <c r="E1718" t="s">
        <v>58</v>
      </c>
      <c r="F1718" t="s">
        <v>67</v>
      </c>
      <c r="G1718" t="s">
        <v>37</v>
      </c>
      <c r="H1718" s="3">
        <v>26726.42950583253</v>
      </c>
      <c r="I1718">
        <v>37</v>
      </c>
      <c r="J1718" s="3">
        <v>14719.53310551297</v>
      </c>
      <c r="K1718" s="3">
        <v>12006.89640031956</v>
      </c>
    </row>
    <row r="1719" spans="1:11" x14ac:dyDescent="0.3">
      <c r="A1719" t="s">
        <v>1795</v>
      </c>
      <c r="B1719" s="2">
        <v>45474</v>
      </c>
      <c r="C1719">
        <v>2024</v>
      </c>
      <c r="D1719">
        <v>7</v>
      </c>
      <c r="E1719" t="s">
        <v>58</v>
      </c>
      <c r="F1719" t="s">
        <v>48</v>
      </c>
      <c r="G1719" t="s">
        <v>37</v>
      </c>
      <c r="H1719" s="3">
        <v>47580.06723228412</v>
      </c>
      <c r="I1719">
        <v>66</v>
      </c>
      <c r="J1719" s="3">
        <v>26663.09673899709</v>
      </c>
      <c r="K1719" s="3">
        <v>20916.97049328703</v>
      </c>
    </row>
    <row r="1720" spans="1:11" x14ac:dyDescent="0.3">
      <c r="A1720" t="s">
        <v>1796</v>
      </c>
      <c r="B1720" s="2">
        <v>45474</v>
      </c>
      <c r="C1720">
        <v>2024</v>
      </c>
      <c r="D1720">
        <v>7</v>
      </c>
      <c r="E1720" t="s">
        <v>62</v>
      </c>
      <c r="F1720" t="s">
        <v>67</v>
      </c>
      <c r="G1720" t="s">
        <v>37</v>
      </c>
      <c r="H1720" s="3">
        <v>19603.54785283118</v>
      </c>
      <c r="I1720">
        <v>27</v>
      </c>
      <c r="J1720" s="3">
        <v>10776.281141475711</v>
      </c>
      <c r="K1720" s="3">
        <v>8827.2667113554689</v>
      </c>
    </row>
    <row r="1721" spans="1:11" x14ac:dyDescent="0.3">
      <c r="A1721" t="s">
        <v>1797</v>
      </c>
      <c r="B1721" s="2">
        <v>45474</v>
      </c>
      <c r="C1721">
        <v>2024</v>
      </c>
      <c r="D1721">
        <v>7</v>
      </c>
      <c r="E1721" t="s">
        <v>62</v>
      </c>
      <c r="F1721" t="s">
        <v>48</v>
      </c>
      <c r="G1721" t="s">
        <v>37</v>
      </c>
      <c r="H1721" s="3">
        <v>36192.378707577227</v>
      </c>
      <c r="I1721">
        <v>50</v>
      </c>
      <c r="J1721" s="3">
        <v>20183.53556339044</v>
      </c>
      <c r="K1721" s="3">
        <v>16008.843144186791</v>
      </c>
    </row>
    <row r="1722" spans="1:11" x14ac:dyDescent="0.3">
      <c r="A1722" t="s">
        <v>1798</v>
      </c>
      <c r="B1722" s="2">
        <v>45474</v>
      </c>
      <c r="C1722">
        <v>2024</v>
      </c>
      <c r="D1722">
        <v>7</v>
      </c>
      <c r="E1722" t="s">
        <v>50</v>
      </c>
      <c r="F1722" t="s">
        <v>67</v>
      </c>
      <c r="G1722" t="s">
        <v>40</v>
      </c>
      <c r="H1722" s="3">
        <v>37658.770490182178</v>
      </c>
      <c r="I1722">
        <v>7</v>
      </c>
      <c r="J1722" s="3">
        <v>25495.534569849569</v>
      </c>
      <c r="K1722" s="3">
        <v>12163.23592033261</v>
      </c>
    </row>
    <row r="1723" spans="1:11" x14ac:dyDescent="0.3">
      <c r="A1723" t="s">
        <v>1799</v>
      </c>
      <c r="B1723" s="2">
        <v>45474</v>
      </c>
      <c r="C1723">
        <v>2024</v>
      </c>
      <c r="D1723">
        <v>7</v>
      </c>
      <c r="E1723" t="s">
        <v>50</v>
      </c>
      <c r="F1723" t="s">
        <v>48</v>
      </c>
      <c r="G1723" t="s">
        <v>40</v>
      </c>
      <c r="H1723" s="3">
        <v>70844.063803721889</v>
      </c>
      <c r="I1723">
        <v>13</v>
      </c>
      <c r="J1723" s="3">
        <v>48859.297591848903</v>
      </c>
      <c r="K1723" s="3">
        <v>21984.76621187299</v>
      </c>
    </row>
    <row r="1724" spans="1:11" x14ac:dyDescent="0.3">
      <c r="A1724" t="s">
        <v>1800</v>
      </c>
      <c r="B1724" s="2">
        <v>45474</v>
      </c>
      <c r="C1724">
        <v>2024</v>
      </c>
      <c r="D1724">
        <v>7</v>
      </c>
      <c r="E1724" t="s">
        <v>54</v>
      </c>
      <c r="F1724" t="s">
        <v>67</v>
      </c>
      <c r="G1724" t="s">
        <v>40</v>
      </c>
      <c r="H1724" s="3">
        <v>32788.391181993917</v>
      </c>
      <c r="I1724">
        <v>6</v>
      </c>
      <c r="J1724" s="3">
        <v>22369.66938729008</v>
      </c>
      <c r="K1724" s="3">
        <v>10418.721794703841</v>
      </c>
    </row>
    <row r="1725" spans="1:11" x14ac:dyDescent="0.3">
      <c r="A1725" t="s">
        <v>1801</v>
      </c>
      <c r="B1725" s="2">
        <v>45474</v>
      </c>
      <c r="C1725">
        <v>2024</v>
      </c>
      <c r="D1725">
        <v>7</v>
      </c>
      <c r="E1725" t="s">
        <v>54</v>
      </c>
      <c r="F1725" t="s">
        <v>48</v>
      </c>
      <c r="G1725" t="s">
        <v>40</v>
      </c>
      <c r="H1725" s="3">
        <v>58568.769752231383</v>
      </c>
      <c r="I1725">
        <v>11</v>
      </c>
      <c r="J1725" s="3">
        <v>40955.823009550732</v>
      </c>
      <c r="K1725" s="3">
        <v>17612.94674268064</v>
      </c>
    </row>
    <row r="1726" spans="1:11" x14ac:dyDescent="0.3">
      <c r="A1726" t="s">
        <v>1802</v>
      </c>
      <c r="B1726" s="2">
        <v>45474</v>
      </c>
      <c r="C1726">
        <v>2024</v>
      </c>
      <c r="D1726">
        <v>7</v>
      </c>
      <c r="E1726" t="s">
        <v>58</v>
      </c>
      <c r="F1726" t="s">
        <v>67</v>
      </c>
      <c r="G1726" t="s">
        <v>40</v>
      </c>
      <c r="H1726" s="3">
        <v>19562.123677468091</v>
      </c>
      <c r="I1726">
        <v>4</v>
      </c>
      <c r="J1726" s="3">
        <v>13505.5165770532</v>
      </c>
      <c r="K1726" s="3">
        <v>6056.607100414898</v>
      </c>
    </row>
    <row r="1727" spans="1:11" x14ac:dyDescent="0.3">
      <c r="A1727" t="s">
        <v>1803</v>
      </c>
      <c r="B1727" s="2">
        <v>45474</v>
      </c>
      <c r="C1727">
        <v>2024</v>
      </c>
      <c r="D1727">
        <v>7</v>
      </c>
      <c r="E1727" t="s">
        <v>58</v>
      </c>
      <c r="F1727" t="s">
        <v>48</v>
      </c>
      <c r="G1727" t="s">
        <v>40</v>
      </c>
      <c r="H1727" s="3">
        <v>34801.49512442101</v>
      </c>
      <c r="I1727">
        <v>6</v>
      </c>
      <c r="J1727" s="3">
        <v>24311.305334227389</v>
      </c>
      <c r="K1727" s="3">
        <v>10490.189790193621</v>
      </c>
    </row>
    <row r="1728" spans="1:11" x14ac:dyDescent="0.3">
      <c r="A1728" t="s">
        <v>1804</v>
      </c>
      <c r="B1728" s="2">
        <v>45474</v>
      </c>
      <c r="C1728">
        <v>2024</v>
      </c>
      <c r="D1728">
        <v>7</v>
      </c>
      <c r="E1728" t="s">
        <v>62</v>
      </c>
      <c r="F1728" t="s">
        <v>67</v>
      </c>
      <c r="G1728" t="s">
        <v>40</v>
      </c>
      <c r="H1728" s="3">
        <v>16003.13408124265</v>
      </c>
      <c r="I1728">
        <v>3</v>
      </c>
      <c r="J1728" s="3">
        <v>11258.35467138624</v>
      </c>
      <c r="K1728" s="3">
        <v>4744.77940985641</v>
      </c>
    </row>
    <row r="1729" spans="1:11" x14ac:dyDescent="0.3">
      <c r="A1729" t="s">
        <v>1805</v>
      </c>
      <c r="B1729" s="2">
        <v>45474</v>
      </c>
      <c r="C1729">
        <v>2024</v>
      </c>
      <c r="D1729">
        <v>7</v>
      </c>
      <c r="E1729" t="s">
        <v>62</v>
      </c>
      <c r="F1729" t="s">
        <v>48</v>
      </c>
      <c r="G1729" t="s">
        <v>40</v>
      </c>
      <c r="H1729" s="3">
        <v>29756.796639400651</v>
      </c>
      <c r="I1729">
        <v>6</v>
      </c>
      <c r="J1729" s="3">
        <v>20787.79766907209</v>
      </c>
      <c r="K1729" s="3">
        <v>8968.9989703285646</v>
      </c>
    </row>
    <row r="1730" spans="1:11" x14ac:dyDescent="0.3">
      <c r="A1730" t="s">
        <v>1806</v>
      </c>
      <c r="B1730" s="2">
        <v>45474</v>
      </c>
      <c r="C1730">
        <v>2024</v>
      </c>
      <c r="D1730">
        <v>7</v>
      </c>
      <c r="E1730" t="s">
        <v>50</v>
      </c>
      <c r="F1730" t="s">
        <v>67</v>
      </c>
      <c r="G1730" t="s">
        <v>43</v>
      </c>
      <c r="H1730" s="3">
        <v>86752.353636179905</v>
      </c>
      <c r="I1730">
        <v>25</v>
      </c>
      <c r="J1730" s="3">
        <v>51435.515388847947</v>
      </c>
      <c r="K1730" s="3">
        <v>35316.838247331958</v>
      </c>
    </row>
    <row r="1731" spans="1:11" x14ac:dyDescent="0.3">
      <c r="A1731" t="s">
        <v>1807</v>
      </c>
      <c r="B1731" s="2">
        <v>45474</v>
      </c>
      <c r="C1731">
        <v>2024</v>
      </c>
      <c r="D1731">
        <v>7</v>
      </c>
      <c r="E1731" t="s">
        <v>50</v>
      </c>
      <c r="F1731" t="s">
        <v>48</v>
      </c>
      <c r="G1731" t="s">
        <v>43</v>
      </c>
      <c r="H1731" s="3">
        <v>151438.9744770976</v>
      </c>
      <c r="I1731">
        <v>43</v>
      </c>
      <c r="J1731" s="3">
        <v>87743.588224834777</v>
      </c>
      <c r="K1731" s="3">
        <v>63695.38625226279</v>
      </c>
    </row>
    <row r="1732" spans="1:11" x14ac:dyDescent="0.3">
      <c r="A1732" t="s">
        <v>1808</v>
      </c>
      <c r="B1732" s="2">
        <v>45474</v>
      </c>
      <c r="C1732">
        <v>2024</v>
      </c>
      <c r="D1732">
        <v>7</v>
      </c>
      <c r="E1732" t="s">
        <v>54</v>
      </c>
      <c r="F1732" t="s">
        <v>67</v>
      </c>
      <c r="G1732" t="s">
        <v>43</v>
      </c>
      <c r="H1732" s="3">
        <v>63963.376695842147</v>
      </c>
      <c r="I1732">
        <v>18</v>
      </c>
      <c r="J1732" s="3">
        <v>37736.499670477257</v>
      </c>
      <c r="K1732" s="3">
        <v>26226.877025364891</v>
      </c>
    </row>
    <row r="1733" spans="1:11" x14ac:dyDescent="0.3">
      <c r="A1733" t="s">
        <v>1809</v>
      </c>
      <c r="B1733" s="2">
        <v>45474</v>
      </c>
      <c r="C1733">
        <v>2024</v>
      </c>
      <c r="D1733">
        <v>7</v>
      </c>
      <c r="E1733" t="s">
        <v>54</v>
      </c>
      <c r="F1733" t="s">
        <v>48</v>
      </c>
      <c r="G1733" t="s">
        <v>43</v>
      </c>
      <c r="H1733" s="3">
        <v>115655.6565089732</v>
      </c>
      <c r="I1733">
        <v>33</v>
      </c>
      <c r="J1733" s="3">
        <v>67582.062085393729</v>
      </c>
      <c r="K1733" s="3">
        <v>48073.594423579489</v>
      </c>
    </row>
    <row r="1734" spans="1:11" x14ac:dyDescent="0.3">
      <c r="A1734" t="s">
        <v>1810</v>
      </c>
      <c r="B1734" s="2">
        <v>45474</v>
      </c>
      <c r="C1734">
        <v>2024</v>
      </c>
      <c r="D1734">
        <v>7</v>
      </c>
      <c r="E1734" t="s">
        <v>58</v>
      </c>
      <c r="F1734" t="s">
        <v>67</v>
      </c>
      <c r="G1734" t="s">
        <v>43</v>
      </c>
      <c r="H1734" s="3">
        <v>40501.114205413323</v>
      </c>
      <c r="I1734">
        <v>12</v>
      </c>
      <c r="J1734" s="3">
        <v>23747.66796151466</v>
      </c>
      <c r="K1734" s="3">
        <v>16753.446243898648</v>
      </c>
    </row>
    <row r="1735" spans="1:11" x14ac:dyDescent="0.3">
      <c r="A1735" t="s">
        <v>1811</v>
      </c>
      <c r="B1735" s="2">
        <v>45474</v>
      </c>
      <c r="C1735">
        <v>2024</v>
      </c>
      <c r="D1735">
        <v>7</v>
      </c>
      <c r="E1735" t="s">
        <v>58</v>
      </c>
      <c r="F1735" t="s">
        <v>48</v>
      </c>
      <c r="G1735" t="s">
        <v>43</v>
      </c>
      <c r="H1735" s="3">
        <v>82488.286888283692</v>
      </c>
      <c r="I1735">
        <v>24</v>
      </c>
      <c r="J1735" s="3">
        <v>48339.987757426461</v>
      </c>
      <c r="K1735" s="3">
        <v>34148.299130857231</v>
      </c>
    </row>
    <row r="1736" spans="1:11" x14ac:dyDescent="0.3">
      <c r="A1736" t="s">
        <v>1812</v>
      </c>
      <c r="B1736" s="2">
        <v>45474</v>
      </c>
      <c r="C1736">
        <v>2024</v>
      </c>
      <c r="D1736">
        <v>7</v>
      </c>
      <c r="E1736" t="s">
        <v>62</v>
      </c>
      <c r="F1736" t="s">
        <v>67</v>
      </c>
      <c r="G1736" t="s">
        <v>43</v>
      </c>
      <c r="H1736" s="3">
        <v>33896.356410040433</v>
      </c>
      <c r="I1736">
        <v>10</v>
      </c>
      <c r="J1736" s="3">
        <v>19646.09735448888</v>
      </c>
      <c r="K1736" s="3">
        <v>14250.25905555154</v>
      </c>
    </row>
    <row r="1737" spans="1:11" x14ac:dyDescent="0.3">
      <c r="A1737" t="s">
        <v>1813</v>
      </c>
      <c r="B1737" s="2">
        <v>45474</v>
      </c>
      <c r="C1737">
        <v>2024</v>
      </c>
      <c r="D1737">
        <v>7</v>
      </c>
      <c r="E1737" t="s">
        <v>62</v>
      </c>
      <c r="F1737" t="s">
        <v>48</v>
      </c>
      <c r="G1737" t="s">
        <v>43</v>
      </c>
      <c r="H1737" s="3">
        <v>59498.527411711148</v>
      </c>
      <c r="I1737">
        <v>17</v>
      </c>
      <c r="J1737" s="3">
        <v>33867.339102419952</v>
      </c>
      <c r="K1737" s="3">
        <v>25631.188309291199</v>
      </c>
    </row>
    <row r="1738" spans="1:11" x14ac:dyDescent="0.3">
      <c r="A1738" t="s">
        <v>1814</v>
      </c>
      <c r="B1738" s="2">
        <v>45505</v>
      </c>
      <c r="C1738">
        <v>2024</v>
      </c>
      <c r="D1738">
        <v>8</v>
      </c>
      <c r="E1738" t="s">
        <v>50</v>
      </c>
      <c r="F1738" t="s">
        <v>67</v>
      </c>
      <c r="G1738" t="s">
        <v>19</v>
      </c>
      <c r="H1738" s="3">
        <v>86819.275087049944</v>
      </c>
      <c r="I1738">
        <v>17</v>
      </c>
      <c r="J1738" s="3">
        <v>53180.584676540369</v>
      </c>
      <c r="K1738" s="3">
        <v>33638.690410509567</v>
      </c>
    </row>
    <row r="1739" spans="1:11" x14ac:dyDescent="0.3">
      <c r="A1739" t="s">
        <v>1815</v>
      </c>
      <c r="B1739" s="2">
        <v>45505</v>
      </c>
      <c r="C1739">
        <v>2024</v>
      </c>
      <c r="D1739">
        <v>8</v>
      </c>
      <c r="E1739" t="s">
        <v>50</v>
      </c>
      <c r="F1739" t="s">
        <v>48</v>
      </c>
      <c r="G1739" t="s">
        <v>19</v>
      </c>
      <c r="H1739" s="3">
        <v>155867.1062771485</v>
      </c>
      <c r="I1739">
        <v>30</v>
      </c>
      <c r="J1739" s="3">
        <v>96973.984982559312</v>
      </c>
      <c r="K1739" s="3">
        <v>58893.12129458916</v>
      </c>
    </row>
    <row r="1740" spans="1:11" x14ac:dyDescent="0.3">
      <c r="A1740" t="s">
        <v>1816</v>
      </c>
      <c r="B1740" s="2">
        <v>45505</v>
      </c>
      <c r="C1740">
        <v>2024</v>
      </c>
      <c r="D1740">
        <v>8</v>
      </c>
      <c r="E1740" t="s">
        <v>54</v>
      </c>
      <c r="F1740" t="s">
        <v>67</v>
      </c>
      <c r="G1740" t="s">
        <v>19</v>
      </c>
      <c r="H1740" s="3">
        <v>66439.85377487987</v>
      </c>
      <c r="I1740">
        <v>13</v>
      </c>
      <c r="J1740" s="3">
        <v>40193.07816733441</v>
      </c>
      <c r="K1740" s="3">
        <v>26246.77560754546</v>
      </c>
    </row>
    <row r="1741" spans="1:11" x14ac:dyDescent="0.3">
      <c r="A1741" t="s">
        <v>1817</v>
      </c>
      <c r="B1741" s="2">
        <v>45505</v>
      </c>
      <c r="C1741">
        <v>2024</v>
      </c>
      <c r="D1741">
        <v>8</v>
      </c>
      <c r="E1741" t="s">
        <v>54</v>
      </c>
      <c r="F1741" t="s">
        <v>48</v>
      </c>
      <c r="G1741" t="s">
        <v>19</v>
      </c>
      <c r="H1741" s="3">
        <v>119938.2608866565</v>
      </c>
      <c r="I1741">
        <v>23</v>
      </c>
      <c r="J1741" s="3">
        <v>74382.712595615507</v>
      </c>
      <c r="K1741" s="3">
        <v>45555.548291040977</v>
      </c>
    </row>
    <row r="1742" spans="1:11" x14ac:dyDescent="0.3">
      <c r="A1742" t="s">
        <v>1818</v>
      </c>
      <c r="B1742" s="2">
        <v>45505</v>
      </c>
      <c r="C1742">
        <v>2024</v>
      </c>
      <c r="D1742">
        <v>8</v>
      </c>
      <c r="E1742" t="s">
        <v>58</v>
      </c>
      <c r="F1742" t="s">
        <v>67</v>
      </c>
      <c r="G1742" t="s">
        <v>19</v>
      </c>
      <c r="H1742" s="3">
        <v>48839.719476118742</v>
      </c>
      <c r="I1742">
        <v>9</v>
      </c>
      <c r="J1742" s="3">
        <v>31316.36979197666</v>
      </c>
      <c r="K1742" s="3">
        <v>17523.349684142078</v>
      </c>
    </row>
    <row r="1743" spans="1:11" x14ac:dyDescent="0.3">
      <c r="A1743" t="s">
        <v>1819</v>
      </c>
      <c r="B1743" s="2">
        <v>45505</v>
      </c>
      <c r="C1743">
        <v>2024</v>
      </c>
      <c r="D1743">
        <v>8</v>
      </c>
      <c r="E1743" t="s">
        <v>58</v>
      </c>
      <c r="F1743" t="s">
        <v>48</v>
      </c>
      <c r="G1743" t="s">
        <v>19</v>
      </c>
      <c r="H1743" s="3">
        <v>86332.649901980854</v>
      </c>
      <c r="I1743">
        <v>17</v>
      </c>
      <c r="J1743" s="3">
        <v>54511.92966613415</v>
      </c>
      <c r="K1743" s="3">
        <v>31820.7202358467</v>
      </c>
    </row>
    <row r="1744" spans="1:11" x14ac:dyDescent="0.3">
      <c r="A1744" t="s">
        <v>1820</v>
      </c>
      <c r="B1744" s="2">
        <v>45505</v>
      </c>
      <c r="C1744">
        <v>2024</v>
      </c>
      <c r="D1744">
        <v>8</v>
      </c>
      <c r="E1744" t="s">
        <v>62</v>
      </c>
      <c r="F1744" t="s">
        <v>67</v>
      </c>
      <c r="G1744" t="s">
        <v>19</v>
      </c>
      <c r="H1744" s="3">
        <v>37043.437335009279</v>
      </c>
      <c r="I1744">
        <v>7</v>
      </c>
      <c r="J1744" s="3">
        <v>23646.379031916371</v>
      </c>
      <c r="K1744" s="3">
        <v>13397.05830309291</v>
      </c>
    </row>
    <row r="1745" spans="1:11" x14ac:dyDescent="0.3">
      <c r="A1745" t="s">
        <v>1821</v>
      </c>
      <c r="B1745" s="2">
        <v>45505</v>
      </c>
      <c r="C1745">
        <v>2024</v>
      </c>
      <c r="D1745">
        <v>8</v>
      </c>
      <c r="E1745" t="s">
        <v>62</v>
      </c>
      <c r="F1745" t="s">
        <v>48</v>
      </c>
      <c r="G1745" t="s">
        <v>19</v>
      </c>
      <c r="H1745" s="3">
        <v>65676.792175821596</v>
      </c>
      <c r="I1745">
        <v>13</v>
      </c>
      <c r="J1745" s="3">
        <v>41006.289500057683</v>
      </c>
      <c r="K1745" s="3">
        <v>24670.502675763921</v>
      </c>
    </row>
    <row r="1746" spans="1:11" x14ac:dyDescent="0.3">
      <c r="A1746" t="s">
        <v>1822</v>
      </c>
      <c r="B1746" s="2">
        <v>45505</v>
      </c>
      <c r="C1746">
        <v>2024</v>
      </c>
      <c r="D1746">
        <v>8</v>
      </c>
      <c r="E1746" t="s">
        <v>50</v>
      </c>
      <c r="F1746" t="s">
        <v>67</v>
      </c>
      <c r="G1746" t="s">
        <v>24</v>
      </c>
      <c r="H1746" s="3">
        <v>90250.511819384279</v>
      </c>
      <c r="I1746">
        <v>15</v>
      </c>
      <c r="J1746" s="3">
        <v>60817.113906648403</v>
      </c>
      <c r="K1746" s="3">
        <v>29433.39791273588</v>
      </c>
    </row>
    <row r="1747" spans="1:11" x14ac:dyDescent="0.3">
      <c r="A1747" t="s">
        <v>1823</v>
      </c>
      <c r="B1747" s="2">
        <v>45505</v>
      </c>
      <c r="C1747">
        <v>2024</v>
      </c>
      <c r="D1747">
        <v>8</v>
      </c>
      <c r="E1747" t="s">
        <v>50</v>
      </c>
      <c r="F1747" t="s">
        <v>48</v>
      </c>
      <c r="G1747" t="s">
        <v>24</v>
      </c>
      <c r="H1747" s="3">
        <v>167901.51552927011</v>
      </c>
      <c r="I1747">
        <v>28</v>
      </c>
      <c r="J1747" s="3">
        <v>109370.9295171471</v>
      </c>
      <c r="K1747" s="3">
        <v>58530.586012122993</v>
      </c>
    </row>
    <row r="1748" spans="1:11" x14ac:dyDescent="0.3">
      <c r="A1748" t="s">
        <v>1824</v>
      </c>
      <c r="B1748" s="2">
        <v>45505</v>
      </c>
      <c r="C1748">
        <v>2024</v>
      </c>
      <c r="D1748">
        <v>8</v>
      </c>
      <c r="E1748" t="s">
        <v>54</v>
      </c>
      <c r="F1748" t="s">
        <v>67</v>
      </c>
      <c r="G1748" t="s">
        <v>24</v>
      </c>
      <c r="H1748" s="3">
        <v>67516.193653376467</v>
      </c>
      <c r="I1748">
        <v>11</v>
      </c>
      <c r="J1748" s="3">
        <v>44043.867392535001</v>
      </c>
      <c r="K1748" s="3">
        <v>23472.32626084147</v>
      </c>
    </row>
    <row r="1749" spans="1:11" x14ac:dyDescent="0.3">
      <c r="A1749" t="s">
        <v>1825</v>
      </c>
      <c r="B1749" s="2">
        <v>45505</v>
      </c>
      <c r="C1749">
        <v>2024</v>
      </c>
      <c r="D1749">
        <v>8</v>
      </c>
      <c r="E1749" t="s">
        <v>54</v>
      </c>
      <c r="F1749" t="s">
        <v>48</v>
      </c>
      <c r="G1749" t="s">
        <v>24</v>
      </c>
      <c r="H1749" s="3">
        <v>126744.8262733594</v>
      </c>
      <c r="I1749">
        <v>21</v>
      </c>
      <c r="J1749" s="3">
        <v>79527.183767581781</v>
      </c>
      <c r="K1749" s="3">
        <v>47217.642505777578</v>
      </c>
    </row>
    <row r="1750" spans="1:11" x14ac:dyDescent="0.3">
      <c r="A1750" t="s">
        <v>1826</v>
      </c>
      <c r="B1750" s="2">
        <v>45505</v>
      </c>
      <c r="C1750">
        <v>2024</v>
      </c>
      <c r="D1750">
        <v>8</v>
      </c>
      <c r="E1750" t="s">
        <v>58</v>
      </c>
      <c r="F1750" t="s">
        <v>67</v>
      </c>
      <c r="G1750" t="s">
        <v>24</v>
      </c>
      <c r="H1750" s="3">
        <v>45758.99691808613</v>
      </c>
      <c r="I1750">
        <v>8</v>
      </c>
      <c r="J1750" s="3">
        <v>30845.74667177915</v>
      </c>
      <c r="K1750" s="3">
        <v>14913.25024630698</v>
      </c>
    </row>
    <row r="1751" spans="1:11" x14ac:dyDescent="0.3">
      <c r="A1751" t="s">
        <v>1827</v>
      </c>
      <c r="B1751" s="2">
        <v>45505</v>
      </c>
      <c r="C1751">
        <v>2024</v>
      </c>
      <c r="D1751">
        <v>8</v>
      </c>
      <c r="E1751" t="s">
        <v>58</v>
      </c>
      <c r="F1751" t="s">
        <v>48</v>
      </c>
      <c r="G1751" t="s">
        <v>24</v>
      </c>
      <c r="H1751" s="3">
        <v>88876.845527243975</v>
      </c>
      <c r="I1751">
        <v>15</v>
      </c>
      <c r="J1751" s="3">
        <v>60285.079788607392</v>
      </c>
      <c r="K1751" s="3">
        <v>28591.765738636579</v>
      </c>
    </row>
    <row r="1752" spans="1:11" x14ac:dyDescent="0.3">
      <c r="A1752" t="s">
        <v>1828</v>
      </c>
      <c r="B1752" s="2">
        <v>45505</v>
      </c>
      <c r="C1752">
        <v>2024</v>
      </c>
      <c r="D1752">
        <v>8</v>
      </c>
      <c r="E1752" t="s">
        <v>62</v>
      </c>
      <c r="F1752" t="s">
        <v>67</v>
      </c>
      <c r="G1752" t="s">
        <v>24</v>
      </c>
      <c r="H1752" s="3">
        <v>34878.306453488993</v>
      </c>
      <c r="I1752">
        <v>6</v>
      </c>
      <c r="J1752" s="3">
        <v>22790.47089972526</v>
      </c>
      <c r="K1752" s="3">
        <v>12087.835553763731</v>
      </c>
    </row>
    <row r="1753" spans="1:11" x14ac:dyDescent="0.3">
      <c r="A1753" t="s">
        <v>1829</v>
      </c>
      <c r="B1753" s="2">
        <v>45505</v>
      </c>
      <c r="C1753">
        <v>2024</v>
      </c>
      <c r="D1753">
        <v>8</v>
      </c>
      <c r="E1753" t="s">
        <v>62</v>
      </c>
      <c r="F1753" t="s">
        <v>48</v>
      </c>
      <c r="G1753" t="s">
        <v>24</v>
      </c>
      <c r="H1753" s="3">
        <v>68277.248412372966</v>
      </c>
      <c r="I1753">
        <v>11</v>
      </c>
      <c r="J1753" s="3">
        <v>44856.995162106083</v>
      </c>
      <c r="K1753" s="3">
        <v>23420.25325026688</v>
      </c>
    </row>
    <row r="1754" spans="1:11" x14ac:dyDescent="0.3">
      <c r="A1754" t="s">
        <v>1830</v>
      </c>
      <c r="B1754" s="2">
        <v>45505</v>
      </c>
      <c r="C1754">
        <v>2024</v>
      </c>
      <c r="D1754">
        <v>8</v>
      </c>
      <c r="E1754" t="s">
        <v>50</v>
      </c>
      <c r="F1754" t="s">
        <v>67</v>
      </c>
      <c r="G1754" t="s">
        <v>29</v>
      </c>
      <c r="H1754" s="3">
        <v>55230.431948395839</v>
      </c>
      <c r="I1754">
        <v>13</v>
      </c>
      <c r="J1754" s="3">
        <v>34867.828227430109</v>
      </c>
      <c r="K1754" s="3">
        <v>20362.60372096573</v>
      </c>
    </row>
    <row r="1755" spans="1:11" x14ac:dyDescent="0.3">
      <c r="A1755" t="s">
        <v>1831</v>
      </c>
      <c r="B1755" s="2">
        <v>45505</v>
      </c>
      <c r="C1755">
        <v>2024</v>
      </c>
      <c r="D1755">
        <v>8</v>
      </c>
      <c r="E1755" t="s">
        <v>50</v>
      </c>
      <c r="F1755" t="s">
        <v>48</v>
      </c>
      <c r="G1755" t="s">
        <v>29</v>
      </c>
      <c r="H1755" s="3">
        <v>101141.38258769079</v>
      </c>
      <c r="I1755">
        <v>24</v>
      </c>
      <c r="J1755" s="3">
        <v>65176.333154665073</v>
      </c>
      <c r="K1755" s="3">
        <v>35965.049433025677</v>
      </c>
    </row>
    <row r="1756" spans="1:11" x14ac:dyDescent="0.3">
      <c r="A1756" t="s">
        <v>1832</v>
      </c>
      <c r="B1756" s="2">
        <v>45505</v>
      </c>
      <c r="C1756">
        <v>2024</v>
      </c>
      <c r="D1756">
        <v>8</v>
      </c>
      <c r="E1756" t="s">
        <v>54</v>
      </c>
      <c r="F1756" t="s">
        <v>67</v>
      </c>
      <c r="G1756" t="s">
        <v>29</v>
      </c>
      <c r="H1756" s="3">
        <v>45566.034211635662</v>
      </c>
      <c r="I1756">
        <v>11</v>
      </c>
      <c r="J1756" s="3">
        <v>29752.762290462029</v>
      </c>
      <c r="K1756" s="3">
        <v>15813.27192117364</v>
      </c>
    </row>
    <row r="1757" spans="1:11" x14ac:dyDescent="0.3">
      <c r="A1757" t="s">
        <v>1833</v>
      </c>
      <c r="B1757" s="2">
        <v>45505</v>
      </c>
      <c r="C1757">
        <v>2024</v>
      </c>
      <c r="D1757">
        <v>8</v>
      </c>
      <c r="E1757" t="s">
        <v>54</v>
      </c>
      <c r="F1757" t="s">
        <v>48</v>
      </c>
      <c r="G1757" t="s">
        <v>29</v>
      </c>
      <c r="H1757" s="3">
        <v>89347.032077941767</v>
      </c>
      <c r="I1757">
        <v>21</v>
      </c>
      <c r="J1757" s="3">
        <v>55388.304010082429</v>
      </c>
      <c r="K1757" s="3">
        <v>33958.728067859338</v>
      </c>
    </row>
    <row r="1758" spans="1:11" x14ac:dyDescent="0.3">
      <c r="A1758" t="s">
        <v>1834</v>
      </c>
      <c r="B1758" s="2">
        <v>45505</v>
      </c>
      <c r="C1758">
        <v>2024</v>
      </c>
      <c r="D1758">
        <v>8</v>
      </c>
      <c r="E1758" t="s">
        <v>58</v>
      </c>
      <c r="F1758" t="s">
        <v>67</v>
      </c>
      <c r="G1758" t="s">
        <v>29</v>
      </c>
      <c r="H1758" s="3">
        <v>34653.8720023059</v>
      </c>
      <c r="I1758">
        <v>8</v>
      </c>
      <c r="J1758" s="3">
        <v>22341.931104071871</v>
      </c>
      <c r="K1758" s="3">
        <v>12311.94089823403</v>
      </c>
    </row>
    <row r="1759" spans="1:11" x14ac:dyDescent="0.3">
      <c r="A1759" t="s">
        <v>1835</v>
      </c>
      <c r="B1759" s="2">
        <v>45505</v>
      </c>
      <c r="C1759">
        <v>2024</v>
      </c>
      <c r="D1759">
        <v>8</v>
      </c>
      <c r="E1759" t="s">
        <v>58</v>
      </c>
      <c r="F1759" t="s">
        <v>48</v>
      </c>
      <c r="G1759" t="s">
        <v>29</v>
      </c>
      <c r="H1759" s="3">
        <v>60532.454137191999</v>
      </c>
      <c r="I1759">
        <v>14</v>
      </c>
      <c r="J1759" s="3">
        <v>38547.838050050806</v>
      </c>
      <c r="K1759" s="3">
        <v>21984.616087141188</v>
      </c>
    </row>
    <row r="1760" spans="1:11" x14ac:dyDescent="0.3">
      <c r="A1760" t="s">
        <v>1836</v>
      </c>
      <c r="B1760" s="2">
        <v>45505</v>
      </c>
      <c r="C1760">
        <v>2024</v>
      </c>
      <c r="D1760">
        <v>8</v>
      </c>
      <c r="E1760" t="s">
        <v>62</v>
      </c>
      <c r="F1760" t="s">
        <v>67</v>
      </c>
      <c r="G1760" t="s">
        <v>29</v>
      </c>
      <c r="H1760" s="3">
        <v>22295.32086664388</v>
      </c>
      <c r="I1760">
        <v>5</v>
      </c>
      <c r="J1760" s="3">
        <v>14298.12980800297</v>
      </c>
      <c r="K1760" s="3">
        <v>7997.1910586409122</v>
      </c>
    </row>
    <row r="1761" spans="1:11" x14ac:dyDescent="0.3">
      <c r="A1761" t="s">
        <v>1837</v>
      </c>
      <c r="B1761" s="2">
        <v>45505</v>
      </c>
      <c r="C1761">
        <v>2024</v>
      </c>
      <c r="D1761">
        <v>8</v>
      </c>
      <c r="E1761" t="s">
        <v>62</v>
      </c>
      <c r="F1761" t="s">
        <v>48</v>
      </c>
      <c r="G1761" t="s">
        <v>29</v>
      </c>
      <c r="H1761" s="3">
        <v>43558.23026097929</v>
      </c>
      <c r="I1761">
        <v>10</v>
      </c>
      <c r="J1761" s="3">
        <v>28107.586340108392</v>
      </c>
      <c r="K1761" s="3">
        <v>15450.6439208709</v>
      </c>
    </row>
    <row r="1762" spans="1:11" x14ac:dyDescent="0.3">
      <c r="A1762" t="s">
        <v>1838</v>
      </c>
      <c r="B1762" s="2">
        <v>45505</v>
      </c>
      <c r="C1762">
        <v>2024</v>
      </c>
      <c r="D1762">
        <v>8</v>
      </c>
      <c r="E1762" t="s">
        <v>50</v>
      </c>
      <c r="F1762" t="s">
        <v>67</v>
      </c>
      <c r="G1762" t="s">
        <v>34</v>
      </c>
      <c r="H1762" s="3">
        <v>53556.730532747068</v>
      </c>
      <c r="I1762">
        <v>63</v>
      </c>
      <c r="J1762" s="3">
        <v>25620.143712655561</v>
      </c>
      <c r="K1762" s="3">
        <v>27936.58682009151</v>
      </c>
    </row>
    <row r="1763" spans="1:11" x14ac:dyDescent="0.3">
      <c r="A1763" t="s">
        <v>1839</v>
      </c>
      <c r="B1763" s="2">
        <v>45505</v>
      </c>
      <c r="C1763">
        <v>2024</v>
      </c>
      <c r="D1763">
        <v>8</v>
      </c>
      <c r="E1763" t="s">
        <v>50</v>
      </c>
      <c r="F1763" t="s">
        <v>48</v>
      </c>
      <c r="G1763" t="s">
        <v>34</v>
      </c>
      <c r="H1763" s="3">
        <v>94209.567005389472</v>
      </c>
      <c r="I1763">
        <v>111</v>
      </c>
      <c r="J1763" s="3">
        <v>45136.275503264107</v>
      </c>
      <c r="K1763" s="3">
        <v>49073.291502125358</v>
      </c>
    </row>
    <row r="1764" spans="1:11" x14ac:dyDescent="0.3">
      <c r="A1764" t="s">
        <v>1840</v>
      </c>
      <c r="B1764" s="2">
        <v>45505</v>
      </c>
      <c r="C1764">
        <v>2024</v>
      </c>
      <c r="D1764">
        <v>8</v>
      </c>
      <c r="E1764" t="s">
        <v>54</v>
      </c>
      <c r="F1764" t="s">
        <v>67</v>
      </c>
      <c r="G1764" t="s">
        <v>34</v>
      </c>
      <c r="H1764" s="3">
        <v>42301.750354363583</v>
      </c>
      <c r="I1764">
        <v>50</v>
      </c>
      <c r="J1764" s="3">
        <v>20226.671550410629</v>
      </c>
      <c r="K1764" s="3">
        <v>22075.07880395294</v>
      </c>
    </row>
    <row r="1765" spans="1:11" x14ac:dyDescent="0.3">
      <c r="A1765" t="s">
        <v>1841</v>
      </c>
      <c r="B1765" s="2">
        <v>45505</v>
      </c>
      <c r="C1765">
        <v>2024</v>
      </c>
      <c r="D1765">
        <v>8</v>
      </c>
      <c r="E1765" t="s">
        <v>54</v>
      </c>
      <c r="F1765" t="s">
        <v>48</v>
      </c>
      <c r="G1765" t="s">
        <v>34</v>
      </c>
      <c r="H1765" s="3">
        <v>79946.239557478286</v>
      </c>
      <c r="I1765">
        <v>94</v>
      </c>
      <c r="J1765" s="3">
        <v>39044.42684387631</v>
      </c>
      <c r="K1765" s="3">
        <v>40901.812713601983</v>
      </c>
    </row>
    <row r="1766" spans="1:11" x14ac:dyDescent="0.3">
      <c r="A1766" t="s">
        <v>1842</v>
      </c>
      <c r="B1766" s="2">
        <v>45505</v>
      </c>
      <c r="C1766">
        <v>2024</v>
      </c>
      <c r="D1766">
        <v>8</v>
      </c>
      <c r="E1766" t="s">
        <v>58</v>
      </c>
      <c r="F1766" t="s">
        <v>67</v>
      </c>
      <c r="G1766" t="s">
        <v>34</v>
      </c>
      <c r="H1766" s="3">
        <v>28378.305883772689</v>
      </c>
      <c r="I1766">
        <v>33</v>
      </c>
      <c r="J1766" s="3">
        <v>13724.261977007731</v>
      </c>
      <c r="K1766" s="3">
        <v>14654.04390676496</v>
      </c>
    </row>
    <row r="1767" spans="1:11" x14ac:dyDescent="0.3">
      <c r="A1767" t="s">
        <v>1843</v>
      </c>
      <c r="B1767" s="2">
        <v>45505</v>
      </c>
      <c r="C1767">
        <v>2024</v>
      </c>
      <c r="D1767">
        <v>8</v>
      </c>
      <c r="E1767" t="s">
        <v>58</v>
      </c>
      <c r="F1767" t="s">
        <v>48</v>
      </c>
      <c r="G1767" t="s">
        <v>34</v>
      </c>
      <c r="H1767" s="3">
        <v>50553.092344831573</v>
      </c>
      <c r="I1767">
        <v>59</v>
      </c>
      <c r="J1767" s="3">
        <v>24361.83052031296</v>
      </c>
      <c r="K1767" s="3">
        <v>26191.26182451861</v>
      </c>
    </row>
    <row r="1768" spans="1:11" x14ac:dyDescent="0.3">
      <c r="A1768" t="s">
        <v>1844</v>
      </c>
      <c r="B1768" s="2">
        <v>45505</v>
      </c>
      <c r="C1768">
        <v>2024</v>
      </c>
      <c r="D1768">
        <v>8</v>
      </c>
      <c r="E1768" t="s">
        <v>62</v>
      </c>
      <c r="F1768" t="s">
        <v>67</v>
      </c>
      <c r="G1768" t="s">
        <v>34</v>
      </c>
      <c r="H1768" s="3">
        <v>21370.541248913061</v>
      </c>
      <c r="I1768">
        <v>25</v>
      </c>
      <c r="J1768" s="3">
        <v>10023.1893972746</v>
      </c>
      <c r="K1768" s="3">
        <v>11347.351851638459</v>
      </c>
    </row>
    <row r="1769" spans="1:11" x14ac:dyDescent="0.3">
      <c r="A1769" t="s">
        <v>1845</v>
      </c>
      <c r="B1769" s="2">
        <v>45505</v>
      </c>
      <c r="C1769">
        <v>2024</v>
      </c>
      <c r="D1769">
        <v>8</v>
      </c>
      <c r="E1769" t="s">
        <v>62</v>
      </c>
      <c r="F1769" t="s">
        <v>48</v>
      </c>
      <c r="G1769" t="s">
        <v>34</v>
      </c>
      <c r="H1769" s="3">
        <v>39531.718065558052</v>
      </c>
      <c r="I1769">
        <v>47</v>
      </c>
      <c r="J1769" s="3">
        <v>18845.91922916421</v>
      </c>
      <c r="K1769" s="3">
        <v>20685.798836393831</v>
      </c>
    </row>
    <row r="1770" spans="1:11" x14ac:dyDescent="0.3">
      <c r="A1770" t="s">
        <v>1846</v>
      </c>
      <c r="B1770" s="2">
        <v>45505</v>
      </c>
      <c r="C1770">
        <v>2024</v>
      </c>
      <c r="D1770">
        <v>8</v>
      </c>
      <c r="E1770" t="s">
        <v>50</v>
      </c>
      <c r="F1770" t="s">
        <v>67</v>
      </c>
      <c r="G1770" t="s">
        <v>37</v>
      </c>
      <c r="H1770" s="3">
        <v>45243.608293070669</v>
      </c>
      <c r="I1770">
        <v>63</v>
      </c>
      <c r="J1770" s="3">
        <v>25286.509012395811</v>
      </c>
      <c r="K1770" s="3">
        <v>19957.099280674862</v>
      </c>
    </row>
    <row r="1771" spans="1:11" x14ac:dyDescent="0.3">
      <c r="A1771" t="s">
        <v>1847</v>
      </c>
      <c r="B1771" s="2">
        <v>45505</v>
      </c>
      <c r="C1771">
        <v>2024</v>
      </c>
      <c r="D1771">
        <v>8</v>
      </c>
      <c r="E1771" t="s">
        <v>50</v>
      </c>
      <c r="F1771" t="s">
        <v>48</v>
      </c>
      <c r="G1771" t="s">
        <v>37</v>
      </c>
      <c r="H1771" s="3">
        <v>91705.642838188869</v>
      </c>
      <c r="I1771">
        <v>127</v>
      </c>
      <c r="J1771" s="3">
        <v>50472.327746868032</v>
      </c>
      <c r="K1771" s="3">
        <v>41233.315091320837</v>
      </c>
    </row>
    <row r="1772" spans="1:11" x14ac:dyDescent="0.3">
      <c r="A1772" t="s">
        <v>1848</v>
      </c>
      <c r="B1772" s="2">
        <v>45505</v>
      </c>
      <c r="C1772">
        <v>2024</v>
      </c>
      <c r="D1772">
        <v>8</v>
      </c>
      <c r="E1772" t="s">
        <v>54</v>
      </c>
      <c r="F1772" t="s">
        <v>67</v>
      </c>
      <c r="G1772" t="s">
        <v>37</v>
      </c>
      <c r="H1772" s="3">
        <v>33221.419958187151</v>
      </c>
      <c r="I1772">
        <v>46</v>
      </c>
      <c r="J1772" s="3">
        <v>18488.695639078858</v>
      </c>
      <c r="K1772" s="3">
        <v>14732.724319108291</v>
      </c>
    </row>
    <row r="1773" spans="1:11" x14ac:dyDescent="0.3">
      <c r="A1773" t="s">
        <v>1849</v>
      </c>
      <c r="B1773" s="2">
        <v>45505</v>
      </c>
      <c r="C1773">
        <v>2024</v>
      </c>
      <c r="D1773">
        <v>8</v>
      </c>
      <c r="E1773" t="s">
        <v>54</v>
      </c>
      <c r="F1773" t="s">
        <v>48</v>
      </c>
      <c r="G1773" t="s">
        <v>37</v>
      </c>
      <c r="H1773" s="3">
        <v>60954.882621382967</v>
      </c>
      <c r="I1773">
        <v>85</v>
      </c>
      <c r="J1773" s="3">
        <v>34591.192884199401</v>
      </c>
      <c r="K1773" s="3">
        <v>26363.689737183569</v>
      </c>
    </row>
    <row r="1774" spans="1:11" x14ac:dyDescent="0.3">
      <c r="A1774" t="s">
        <v>1850</v>
      </c>
      <c r="B1774" s="2">
        <v>45505</v>
      </c>
      <c r="C1774">
        <v>2024</v>
      </c>
      <c r="D1774">
        <v>8</v>
      </c>
      <c r="E1774" t="s">
        <v>58</v>
      </c>
      <c r="F1774" t="s">
        <v>67</v>
      </c>
      <c r="G1774" t="s">
        <v>37</v>
      </c>
      <c r="H1774" s="3">
        <v>28455.052685607989</v>
      </c>
      <c r="I1774">
        <v>40</v>
      </c>
      <c r="J1774" s="3">
        <v>15942.859522231791</v>
      </c>
      <c r="K1774" s="3">
        <v>12512.1931633762</v>
      </c>
    </row>
    <row r="1775" spans="1:11" x14ac:dyDescent="0.3">
      <c r="A1775" t="s">
        <v>1851</v>
      </c>
      <c r="B1775" s="2">
        <v>45505</v>
      </c>
      <c r="C1775">
        <v>2024</v>
      </c>
      <c r="D1775">
        <v>8</v>
      </c>
      <c r="E1775" t="s">
        <v>58</v>
      </c>
      <c r="F1775" t="s">
        <v>48</v>
      </c>
      <c r="G1775" t="s">
        <v>37</v>
      </c>
      <c r="H1775" s="3">
        <v>48745.904514696922</v>
      </c>
      <c r="I1775">
        <v>68</v>
      </c>
      <c r="J1775" s="3">
        <v>26855.204248682479</v>
      </c>
      <c r="K1775" s="3">
        <v>21890.70026601445</v>
      </c>
    </row>
    <row r="1776" spans="1:11" x14ac:dyDescent="0.3">
      <c r="A1776" t="s">
        <v>1852</v>
      </c>
      <c r="B1776" s="2">
        <v>45505</v>
      </c>
      <c r="C1776">
        <v>2024</v>
      </c>
      <c r="D1776">
        <v>8</v>
      </c>
      <c r="E1776" t="s">
        <v>62</v>
      </c>
      <c r="F1776" t="s">
        <v>67</v>
      </c>
      <c r="G1776" t="s">
        <v>37</v>
      </c>
      <c r="H1776" s="3">
        <v>18799.151769246932</v>
      </c>
      <c r="I1776">
        <v>26</v>
      </c>
      <c r="J1776" s="3">
        <v>10244.432459752599</v>
      </c>
      <c r="K1776" s="3">
        <v>8554.7193094943323</v>
      </c>
    </row>
    <row r="1777" spans="1:11" x14ac:dyDescent="0.3">
      <c r="A1777" t="s">
        <v>1853</v>
      </c>
      <c r="B1777" s="2">
        <v>45505</v>
      </c>
      <c r="C1777">
        <v>2024</v>
      </c>
      <c r="D1777">
        <v>8</v>
      </c>
      <c r="E1777" t="s">
        <v>62</v>
      </c>
      <c r="F1777" t="s">
        <v>48</v>
      </c>
      <c r="G1777" t="s">
        <v>37</v>
      </c>
      <c r="H1777" s="3">
        <v>36068.784554065518</v>
      </c>
      <c r="I1777">
        <v>50</v>
      </c>
      <c r="J1777" s="3">
        <v>18926.007545476248</v>
      </c>
      <c r="K1777" s="3">
        <v>17142.77700858927</v>
      </c>
    </row>
    <row r="1778" spans="1:11" x14ac:dyDescent="0.3">
      <c r="A1778" t="s">
        <v>1854</v>
      </c>
      <c r="B1778" s="2">
        <v>45505</v>
      </c>
      <c r="C1778">
        <v>2024</v>
      </c>
      <c r="D1778">
        <v>8</v>
      </c>
      <c r="E1778" t="s">
        <v>50</v>
      </c>
      <c r="F1778" t="s">
        <v>67</v>
      </c>
      <c r="G1778" t="s">
        <v>40</v>
      </c>
      <c r="H1778" s="3">
        <v>41120.723065772872</v>
      </c>
      <c r="I1778">
        <v>8</v>
      </c>
      <c r="J1778" s="3">
        <v>28287.301472096289</v>
      </c>
      <c r="K1778" s="3">
        <v>12833.42159367658</v>
      </c>
    </row>
    <row r="1779" spans="1:11" x14ac:dyDescent="0.3">
      <c r="A1779" t="s">
        <v>1855</v>
      </c>
      <c r="B1779" s="2">
        <v>45505</v>
      </c>
      <c r="C1779">
        <v>2024</v>
      </c>
      <c r="D1779">
        <v>8</v>
      </c>
      <c r="E1779" t="s">
        <v>50</v>
      </c>
      <c r="F1779" t="s">
        <v>48</v>
      </c>
      <c r="G1779" t="s">
        <v>40</v>
      </c>
      <c r="H1779" s="3">
        <v>74016.492528280913</v>
      </c>
      <c r="I1779">
        <v>14</v>
      </c>
      <c r="J1779" s="3">
        <v>50771.681500371262</v>
      </c>
      <c r="K1779" s="3">
        <v>23244.811027909651</v>
      </c>
    </row>
    <row r="1780" spans="1:11" x14ac:dyDescent="0.3">
      <c r="A1780" t="s">
        <v>1856</v>
      </c>
      <c r="B1780" s="2">
        <v>45505</v>
      </c>
      <c r="C1780">
        <v>2024</v>
      </c>
      <c r="D1780">
        <v>8</v>
      </c>
      <c r="E1780" t="s">
        <v>54</v>
      </c>
      <c r="F1780" t="s">
        <v>67</v>
      </c>
      <c r="G1780" t="s">
        <v>40</v>
      </c>
      <c r="H1780" s="3">
        <v>35756.06276365379</v>
      </c>
      <c r="I1780">
        <v>7</v>
      </c>
      <c r="J1780" s="3">
        <v>24845.041147114429</v>
      </c>
      <c r="K1780" s="3">
        <v>10911.021616539359</v>
      </c>
    </row>
    <row r="1781" spans="1:11" x14ac:dyDescent="0.3">
      <c r="A1781" t="s">
        <v>1857</v>
      </c>
      <c r="B1781" s="2">
        <v>45505</v>
      </c>
      <c r="C1781">
        <v>2024</v>
      </c>
      <c r="D1781">
        <v>8</v>
      </c>
      <c r="E1781" t="s">
        <v>54</v>
      </c>
      <c r="F1781" t="s">
        <v>48</v>
      </c>
      <c r="G1781" t="s">
        <v>40</v>
      </c>
      <c r="H1781" s="3">
        <v>61963.956589122899</v>
      </c>
      <c r="I1781">
        <v>11</v>
      </c>
      <c r="J1781" s="3">
        <v>42636.685762600311</v>
      </c>
      <c r="K1781" s="3">
        <v>19327.270826522588</v>
      </c>
    </row>
    <row r="1782" spans="1:11" x14ac:dyDescent="0.3">
      <c r="A1782" t="s">
        <v>1858</v>
      </c>
      <c r="B1782" s="2">
        <v>45505</v>
      </c>
      <c r="C1782">
        <v>2024</v>
      </c>
      <c r="D1782">
        <v>8</v>
      </c>
      <c r="E1782" t="s">
        <v>58</v>
      </c>
      <c r="F1782" t="s">
        <v>67</v>
      </c>
      <c r="G1782" t="s">
        <v>40</v>
      </c>
      <c r="H1782" s="3">
        <v>25843.66716377464</v>
      </c>
      <c r="I1782">
        <v>5</v>
      </c>
      <c r="J1782" s="3">
        <v>17729.293676487599</v>
      </c>
      <c r="K1782" s="3">
        <v>8114.3734872870446</v>
      </c>
    </row>
    <row r="1783" spans="1:11" x14ac:dyDescent="0.3">
      <c r="A1783" t="s">
        <v>1859</v>
      </c>
      <c r="B1783" s="2">
        <v>45505</v>
      </c>
      <c r="C1783">
        <v>2024</v>
      </c>
      <c r="D1783">
        <v>8</v>
      </c>
      <c r="E1783" t="s">
        <v>58</v>
      </c>
      <c r="F1783" t="s">
        <v>48</v>
      </c>
      <c r="G1783" t="s">
        <v>40</v>
      </c>
      <c r="H1783" s="3">
        <v>46774.108672474918</v>
      </c>
      <c r="I1783">
        <v>9</v>
      </c>
      <c r="J1783" s="3">
        <v>31240.42088108309</v>
      </c>
      <c r="K1783" s="3">
        <v>15533.687791391831</v>
      </c>
    </row>
    <row r="1784" spans="1:11" x14ac:dyDescent="0.3">
      <c r="A1784" t="s">
        <v>1860</v>
      </c>
      <c r="B1784" s="2">
        <v>45505</v>
      </c>
      <c r="C1784">
        <v>2024</v>
      </c>
      <c r="D1784">
        <v>8</v>
      </c>
      <c r="E1784" t="s">
        <v>62</v>
      </c>
      <c r="F1784" t="s">
        <v>67</v>
      </c>
      <c r="G1784" t="s">
        <v>40</v>
      </c>
      <c r="H1784" s="3">
        <v>17054.787626256199</v>
      </c>
      <c r="I1784">
        <v>3</v>
      </c>
      <c r="J1784" s="3">
        <v>11568.699041982059</v>
      </c>
      <c r="K1784" s="3">
        <v>5486.0885842741336</v>
      </c>
    </row>
    <row r="1785" spans="1:11" x14ac:dyDescent="0.3">
      <c r="A1785" t="s">
        <v>1861</v>
      </c>
      <c r="B1785" s="2">
        <v>45505</v>
      </c>
      <c r="C1785">
        <v>2024</v>
      </c>
      <c r="D1785">
        <v>8</v>
      </c>
      <c r="E1785" t="s">
        <v>62</v>
      </c>
      <c r="F1785" t="s">
        <v>48</v>
      </c>
      <c r="G1785" t="s">
        <v>40</v>
      </c>
      <c r="H1785" s="3">
        <v>31726.64351515505</v>
      </c>
      <c r="I1785">
        <v>6</v>
      </c>
      <c r="J1785" s="3">
        <v>22079.205943102359</v>
      </c>
      <c r="K1785" s="3">
        <v>9647.4375720526878</v>
      </c>
    </row>
    <row r="1786" spans="1:11" x14ac:dyDescent="0.3">
      <c r="A1786" t="s">
        <v>1862</v>
      </c>
      <c r="B1786" s="2">
        <v>45505</v>
      </c>
      <c r="C1786">
        <v>2024</v>
      </c>
      <c r="D1786">
        <v>8</v>
      </c>
      <c r="E1786" t="s">
        <v>50</v>
      </c>
      <c r="F1786" t="s">
        <v>67</v>
      </c>
      <c r="G1786" t="s">
        <v>43</v>
      </c>
      <c r="H1786" s="3">
        <v>79095.923782925849</v>
      </c>
      <c r="I1786">
        <v>23</v>
      </c>
      <c r="J1786" s="3">
        <v>48107.95522954296</v>
      </c>
      <c r="K1786" s="3">
        <v>30987.968553382889</v>
      </c>
    </row>
    <row r="1787" spans="1:11" x14ac:dyDescent="0.3">
      <c r="A1787" t="s">
        <v>1863</v>
      </c>
      <c r="B1787" s="2">
        <v>45505</v>
      </c>
      <c r="C1787">
        <v>2024</v>
      </c>
      <c r="D1787">
        <v>8</v>
      </c>
      <c r="E1787" t="s">
        <v>50</v>
      </c>
      <c r="F1787" t="s">
        <v>48</v>
      </c>
      <c r="G1787" t="s">
        <v>43</v>
      </c>
      <c r="H1787" s="3">
        <v>150927.19078919571</v>
      </c>
      <c r="I1787">
        <v>43</v>
      </c>
      <c r="J1787" s="3">
        <v>88890.724319668239</v>
      </c>
      <c r="K1787" s="3">
        <v>62036.466469527499</v>
      </c>
    </row>
    <row r="1788" spans="1:11" x14ac:dyDescent="0.3">
      <c r="A1788" t="s">
        <v>1864</v>
      </c>
      <c r="B1788" s="2">
        <v>45505</v>
      </c>
      <c r="C1788">
        <v>2024</v>
      </c>
      <c r="D1788">
        <v>8</v>
      </c>
      <c r="E1788" t="s">
        <v>54</v>
      </c>
      <c r="F1788" t="s">
        <v>67</v>
      </c>
      <c r="G1788" t="s">
        <v>43</v>
      </c>
      <c r="H1788" s="3">
        <v>65676.742895244286</v>
      </c>
      <c r="I1788">
        <v>19</v>
      </c>
      <c r="J1788" s="3">
        <v>38977.922273597898</v>
      </c>
      <c r="K1788" s="3">
        <v>26698.820621646391</v>
      </c>
    </row>
    <row r="1789" spans="1:11" x14ac:dyDescent="0.3">
      <c r="A1789" t="s">
        <v>1865</v>
      </c>
      <c r="B1789" s="2">
        <v>45505</v>
      </c>
      <c r="C1789">
        <v>2024</v>
      </c>
      <c r="D1789">
        <v>8</v>
      </c>
      <c r="E1789" t="s">
        <v>54</v>
      </c>
      <c r="F1789" t="s">
        <v>48</v>
      </c>
      <c r="G1789" t="s">
        <v>43</v>
      </c>
      <c r="H1789" s="3">
        <v>120753.79676205369</v>
      </c>
      <c r="I1789">
        <v>35</v>
      </c>
      <c r="J1789" s="3">
        <v>72466.203146808111</v>
      </c>
      <c r="K1789" s="3">
        <v>48287.593615245583</v>
      </c>
    </row>
    <row r="1790" spans="1:11" x14ac:dyDescent="0.3">
      <c r="A1790" t="s">
        <v>1866</v>
      </c>
      <c r="B1790" s="2">
        <v>45505</v>
      </c>
      <c r="C1790">
        <v>2024</v>
      </c>
      <c r="D1790">
        <v>8</v>
      </c>
      <c r="E1790" t="s">
        <v>58</v>
      </c>
      <c r="F1790" t="s">
        <v>67</v>
      </c>
      <c r="G1790" t="s">
        <v>43</v>
      </c>
      <c r="H1790" s="3">
        <v>46660.831761775458</v>
      </c>
      <c r="I1790">
        <v>13</v>
      </c>
      <c r="J1790" s="3">
        <v>27128.061953079799</v>
      </c>
      <c r="K1790" s="3">
        <v>19532.769808695659</v>
      </c>
    </row>
    <row r="1791" spans="1:11" x14ac:dyDescent="0.3">
      <c r="A1791" t="s">
        <v>1867</v>
      </c>
      <c r="B1791" s="2">
        <v>45505</v>
      </c>
      <c r="C1791">
        <v>2024</v>
      </c>
      <c r="D1791">
        <v>8</v>
      </c>
      <c r="E1791" t="s">
        <v>58</v>
      </c>
      <c r="F1791" t="s">
        <v>48</v>
      </c>
      <c r="G1791" t="s">
        <v>43</v>
      </c>
      <c r="H1791" s="3">
        <v>80544.362262817493</v>
      </c>
      <c r="I1791">
        <v>23</v>
      </c>
      <c r="J1791" s="3">
        <v>47834.939544892033</v>
      </c>
      <c r="K1791" s="3">
        <v>32709.422717925459</v>
      </c>
    </row>
    <row r="1792" spans="1:11" x14ac:dyDescent="0.3">
      <c r="A1792" t="s">
        <v>1868</v>
      </c>
      <c r="B1792" s="2">
        <v>45505</v>
      </c>
      <c r="C1792">
        <v>2024</v>
      </c>
      <c r="D1792">
        <v>8</v>
      </c>
      <c r="E1792" t="s">
        <v>62</v>
      </c>
      <c r="F1792" t="s">
        <v>67</v>
      </c>
      <c r="G1792" t="s">
        <v>43</v>
      </c>
      <c r="H1792" s="3">
        <v>34367.555728342959</v>
      </c>
      <c r="I1792">
        <v>10</v>
      </c>
      <c r="J1792" s="3">
        <v>20006.591252068469</v>
      </c>
      <c r="K1792" s="3">
        <v>14360.96447627449</v>
      </c>
    </row>
    <row r="1793" spans="1:11" x14ac:dyDescent="0.3">
      <c r="A1793" t="s">
        <v>1869</v>
      </c>
      <c r="B1793" s="2">
        <v>45505</v>
      </c>
      <c r="C1793">
        <v>2024</v>
      </c>
      <c r="D1793">
        <v>8</v>
      </c>
      <c r="E1793" t="s">
        <v>62</v>
      </c>
      <c r="F1793" t="s">
        <v>48</v>
      </c>
      <c r="G1793" t="s">
        <v>43</v>
      </c>
      <c r="H1793" s="3">
        <v>63864.614526759004</v>
      </c>
      <c r="I1793">
        <v>18</v>
      </c>
      <c r="J1793" s="3">
        <v>38266.683005989777</v>
      </c>
      <c r="K1793" s="3">
        <v>25597.931520769209</v>
      </c>
    </row>
    <row r="1794" spans="1:11" x14ac:dyDescent="0.3">
      <c r="A1794" t="s">
        <v>1870</v>
      </c>
      <c r="B1794" s="2">
        <v>45536</v>
      </c>
      <c r="C1794">
        <v>2024</v>
      </c>
      <c r="D1794">
        <v>9</v>
      </c>
      <c r="E1794" t="s">
        <v>50</v>
      </c>
      <c r="F1794" t="s">
        <v>67</v>
      </c>
      <c r="G1794" t="s">
        <v>19</v>
      </c>
      <c r="H1794" s="3">
        <v>82671.777339058259</v>
      </c>
      <c r="I1794">
        <v>16</v>
      </c>
      <c r="J1794" s="3">
        <v>51396.188981423038</v>
      </c>
      <c r="K1794" s="3">
        <v>31275.588357635221</v>
      </c>
    </row>
    <row r="1795" spans="1:11" x14ac:dyDescent="0.3">
      <c r="A1795" t="s">
        <v>1871</v>
      </c>
      <c r="B1795" s="2">
        <v>45536</v>
      </c>
      <c r="C1795">
        <v>2024</v>
      </c>
      <c r="D1795">
        <v>9</v>
      </c>
      <c r="E1795" t="s">
        <v>50</v>
      </c>
      <c r="F1795" t="s">
        <v>48</v>
      </c>
      <c r="G1795" t="s">
        <v>19</v>
      </c>
      <c r="H1795" s="3">
        <v>162650.13102919259</v>
      </c>
      <c r="I1795">
        <v>31</v>
      </c>
      <c r="J1795" s="3">
        <v>101384.8236475132</v>
      </c>
      <c r="K1795" s="3">
        <v>61265.30738167942</v>
      </c>
    </row>
    <row r="1796" spans="1:11" x14ac:dyDescent="0.3">
      <c r="A1796" t="s">
        <v>1872</v>
      </c>
      <c r="B1796" s="2">
        <v>45536</v>
      </c>
      <c r="C1796">
        <v>2024</v>
      </c>
      <c r="D1796">
        <v>9</v>
      </c>
      <c r="E1796" t="s">
        <v>54</v>
      </c>
      <c r="F1796" t="s">
        <v>67</v>
      </c>
      <c r="G1796" t="s">
        <v>19</v>
      </c>
      <c r="H1796" s="3">
        <v>64822.379977317767</v>
      </c>
      <c r="I1796">
        <v>12</v>
      </c>
      <c r="J1796" s="3">
        <v>39623.729861185348</v>
      </c>
      <c r="K1796" s="3">
        <v>25198.65011613243</v>
      </c>
    </row>
    <row r="1797" spans="1:11" x14ac:dyDescent="0.3">
      <c r="A1797" t="s">
        <v>1873</v>
      </c>
      <c r="B1797" s="2">
        <v>45536</v>
      </c>
      <c r="C1797">
        <v>2024</v>
      </c>
      <c r="D1797">
        <v>9</v>
      </c>
      <c r="E1797" t="s">
        <v>54</v>
      </c>
      <c r="F1797" t="s">
        <v>48</v>
      </c>
      <c r="G1797" t="s">
        <v>19</v>
      </c>
      <c r="H1797" s="3">
        <v>122827.0202637708</v>
      </c>
      <c r="I1797">
        <v>24</v>
      </c>
      <c r="J1797" s="3">
        <v>77121.916849583271</v>
      </c>
      <c r="K1797" s="3">
        <v>45705.103414187528</v>
      </c>
    </row>
    <row r="1798" spans="1:11" x14ac:dyDescent="0.3">
      <c r="A1798" t="s">
        <v>1874</v>
      </c>
      <c r="B1798" s="2">
        <v>45536</v>
      </c>
      <c r="C1798">
        <v>2024</v>
      </c>
      <c r="D1798">
        <v>9</v>
      </c>
      <c r="E1798" t="s">
        <v>58</v>
      </c>
      <c r="F1798" t="s">
        <v>67</v>
      </c>
      <c r="G1798" t="s">
        <v>19</v>
      </c>
      <c r="H1798" s="3">
        <v>42627.510288722588</v>
      </c>
      <c r="I1798">
        <v>8</v>
      </c>
      <c r="J1798" s="3">
        <v>27420.8022949347</v>
      </c>
      <c r="K1798" s="3">
        <v>15206.70799378789</v>
      </c>
    </row>
    <row r="1799" spans="1:11" x14ac:dyDescent="0.3">
      <c r="A1799" t="s">
        <v>1875</v>
      </c>
      <c r="B1799" s="2">
        <v>45536</v>
      </c>
      <c r="C1799">
        <v>2024</v>
      </c>
      <c r="D1799">
        <v>9</v>
      </c>
      <c r="E1799" t="s">
        <v>58</v>
      </c>
      <c r="F1799" t="s">
        <v>48</v>
      </c>
      <c r="G1799" t="s">
        <v>19</v>
      </c>
      <c r="H1799" s="3">
        <v>83597.260636426552</v>
      </c>
      <c r="I1799">
        <v>16</v>
      </c>
      <c r="J1799" s="3">
        <v>50889.974985798908</v>
      </c>
      <c r="K1799" s="3">
        <v>32707.28565062764</v>
      </c>
    </row>
    <row r="1800" spans="1:11" x14ac:dyDescent="0.3">
      <c r="A1800" t="s">
        <v>1876</v>
      </c>
      <c r="B1800" s="2">
        <v>45536</v>
      </c>
      <c r="C1800">
        <v>2024</v>
      </c>
      <c r="D1800">
        <v>9</v>
      </c>
      <c r="E1800" t="s">
        <v>62</v>
      </c>
      <c r="F1800" t="s">
        <v>67</v>
      </c>
      <c r="G1800" t="s">
        <v>19</v>
      </c>
      <c r="H1800" s="3">
        <v>35473.701661806743</v>
      </c>
      <c r="I1800">
        <v>7</v>
      </c>
      <c r="J1800" s="3">
        <v>21859.189022356109</v>
      </c>
      <c r="K1800" s="3">
        <v>13614.51263945063</v>
      </c>
    </row>
    <row r="1801" spans="1:11" x14ac:dyDescent="0.3">
      <c r="A1801" t="s">
        <v>1877</v>
      </c>
      <c r="B1801" s="2">
        <v>45536</v>
      </c>
      <c r="C1801">
        <v>2024</v>
      </c>
      <c r="D1801">
        <v>9</v>
      </c>
      <c r="E1801" t="s">
        <v>62</v>
      </c>
      <c r="F1801" t="s">
        <v>48</v>
      </c>
      <c r="G1801" t="s">
        <v>19</v>
      </c>
      <c r="H1801" s="3">
        <v>62218.819505694832</v>
      </c>
      <c r="I1801">
        <v>12</v>
      </c>
      <c r="J1801" s="3">
        <v>38736.487528457597</v>
      </c>
      <c r="K1801" s="3">
        <v>23482.331977237231</v>
      </c>
    </row>
    <row r="1802" spans="1:11" x14ac:dyDescent="0.3">
      <c r="A1802" t="s">
        <v>1878</v>
      </c>
      <c r="B1802" s="2">
        <v>45536</v>
      </c>
      <c r="C1802">
        <v>2024</v>
      </c>
      <c r="D1802">
        <v>9</v>
      </c>
      <c r="E1802" t="s">
        <v>50</v>
      </c>
      <c r="F1802" t="s">
        <v>67</v>
      </c>
      <c r="G1802" t="s">
        <v>24</v>
      </c>
      <c r="H1802" s="3">
        <v>92165.698573556685</v>
      </c>
      <c r="I1802">
        <v>15</v>
      </c>
      <c r="J1802" s="3">
        <v>61690.419631894612</v>
      </c>
      <c r="K1802" s="3">
        <v>30475.278941662069</v>
      </c>
    </row>
    <row r="1803" spans="1:11" x14ac:dyDescent="0.3">
      <c r="A1803" t="s">
        <v>1879</v>
      </c>
      <c r="B1803" s="2">
        <v>45536</v>
      </c>
      <c r="C1803">
        <v>2024</v>
      </c>
      <c r="D1803">
        <v>9</v>
      </c>
      <c r="E1803" t="s">
        <v>50</v>
      </c>
      <c r="F1803" t="s">
        <v>48</v>
      </c>
      <c r="G1803" t="s">
        <v>24</v>
      </c>
      <c r="H1803" s="3">
        <v>161899.8464432387</v>
      </c>
      <c r="I1803">
        <v>27</v>
      </c>
      <c r="J1803" s="3">
        <v>105777.6840154625</v>
      </c>
      <c r="K1803" s="3">
        <v>56122.162427776202</v>
      </c>
    </row>
    <row r="1804" spans="1:11" x14ac:dyDescent="0.3">
      <c r="A1804" t="s">
        <v>1880</v>
      </c>
      <c r="B1804" s="2">
        <v>45536</v>
      </c>
      <c r="C1804">
        <v>2024</v>
      </c>
      <c r="D1804">
        <v>9</v>
      </c>
      <c r="E1804" t="s">
        <v>54</v>
      </c>
      <c r="F1804" t="s">
        <v>67</v>
      </c>
      <c r="G1804" t="s">
        <v>24</v>
      </c>
      <c r="H1804" s="3">
        <v>71993.107269895525</v>
      </c>
      <c r="I1804">
        <v>12</v>
      </c>
      <c r="J1804" s="3">
        <v>45092.421993634976</v>
      </c>
      <c r="K1804" s="3">
        <v>26900.685276260549</v>
      </c>
    </row>
    <row r="1805" spans="1:11" x14ac:dyDescent="0.3">
      <c r="A1805" t="s">
        <v>1881</v>
      </c>
      <c r="B1805" s="2">
        <v>45536</v>
      </c>
      <c r="C1805">
        <v>2024</v>
      </c>
      <c r="D1805">
        <v>9</v>
      </c>
      <c r="E1805" t="s">
        <v>54</v>
      </c>
      <c r="F1805" t="s">
        <v>48</v>
      </c>
      <c r="G1805" t="s">
        <v>24</v>
      </c>
      <c r="H1805" s="3">
        <v>130316.0022404824</v>
      </c>
      <c r="I1805">
        <v>21</v>
      </c>
      <c r="J1805" s="3">
        <v>88112.796275778994</v>
      </c>
      <c r="K1805" s="3">
        <v>42203.205964703397</v>
      </c>
    </row>
    <row r="1806" spans="1:11" x14ac:dyDescent="0.3">
      <c r="A1806" t="s">
        <v>1882</v>
      </c>
      <c r="B1806" s="2">
        <v>45536</v>
      </c>
      <c r="C1806">
        <v>2024</v>
      </c>
      <c r="D1806">
        <v>9</v>
      </c>
      <c r="E1806" t="s">
        <v>58</v>
      </c>
      <c r="F1806" t="s">
        <v>67</v>
      </c>
      <c r="G1806" t="s">
        <v>24</v>
      </c>
      <c r="H1806" s="3">
        <v>49447.91466064439</v>
      </c>
      <c r="I1806">
        <v>8</v>
      </c>
      <c r="J1806" s="3">
        <v>33082.376323422417</v>
      </c>
      <c r="K1806" s="3">
        <v>16365.538337221969</v>
      </c>
    </row>
    <row r="1807" spans="1:11" x14ac:dyDescent="0.3">
      <c r="A1807" t="s">
        <v>1883</v>
      </c>
      <c r="B1807" s="2">
        <v>45536</v>
      </c>
      <c r="C1807">
        <v>2024</v>
      </c>
      <c r="D1807">
        <v>9</v>
      </c>
      <c r="E1807" t="s">
        <v>58</v>
      </c>
      <c r="F1807" t="s">
        <v>48</v>
      </c>
      <c r="G1807" t="s">
        <v>24</v>
      </c>
      <c r="H1807" s="3">
        <v>90243.180489796912</v>
      </c>
      <c r="I1807">
        <v>15</v>
      </c>
      <c r="J1807" s="3">
        <v>57691.904275759858</v>
      </c>
      <c r="K1807" s="3">
        <v>32551.276214037051</v>
      </c>
    </row>
    <row r="1808" spans="1:11" x14ac:dyDescent="0.3">
      <c r="A1808" t="s">
        <v>1884</v>
      </c>
      <c r="B1808" s="2">
        <v>45536</v>
      </c>
      <c r="C1808">
        <v>2024</v>
      </c>
      <c r="D1808">
        <v>9</v>
      </c>
      <c r="E1808" t="s">
        <v>62</v>
      </c>
      <c r="F1808" t="s">
        <v>67</v>
      </c>
      <c r="G1808" t="s">
        <v>24</v>
      </c>
      <c r="H1808" s="3">
        <v>32283.135715393881</v>
      </c>
      <c r="I1808">
        <v>5</v>
      </c>
      <c r="J1808" s="3">
        <v>21073.85257011385</v>
      </c>
      <c r="K1808" s="3">
        <v>11209.283145280029</v>
      </c>
    </row>
    <row r="1809" spans="1:11" x14ac:dyDescent="0.3">
      <c r="A1809" t="s">
        <v>1885</v>
      </c>
      <c r="B1809" s="2">
        <v>45536</v>
      </c>
      <c r="C1809">
        <v>2024</v>
      </c>
      <c r="D1809">
        <v>9</v>
      </c>
      <c r="E1809" t="s">
        <v>62</v>
      </c>
      <c r="F1809" t="s">
        <v>48</v>
      </c>
      <c r="G1809" t="s">
        <v>24</v>
      </c>
      <c r="H1809" s="3">
        <v>70720.400220133175</v>
      </c>
      <c r="I1809">
        <v>12</v>
      </c>
      <c r="J1809" s="3">
        <v>47992.98571501601</v>
      </c>
      <c r="K1809" s="3">
        <v>22727.414505117169</v>
      </c>
    </row>
    <row r="1810" spans="1:11" x14ac:dyDescent="0.3">
      <c r="A1810" t="s">
        <v>1886</v>
      </c>
      <c r="B1810" s="2">
        <v>45536</v>
      </c>
      <c r="C1810">
        <v>2024</v>
      </c>
      <c r="D1810">
        <v>9</v>
      </c>
      <c r="E1810" t="s">
        <v>50</v>
      </c>
      <c r="F1810" t="s">
        <v>67</v>
      </c>
      <c r="G1810" t="s">
        <v>29</v>
      </c>
      <c r="H1810" s="3">
        <v>65310.049226630668</v>
      </c>
      <c r="I1810">
        <v>15</v>
      </c>
      <c r="J1810" s="3">
        <v>42887.712654786483</v>
      </c>
      <c r="K1810" s="3">
        <v>22422.336571844189</v>
      </c>
    </row>
    <row r="1811" spans="1:11" x14ac:dyDescent="0.3">
      <c r="A1811" t="s">
        <v>1887</v>
      </c>
      <c r="B1811" s="2">
        <v>45536</v>
      </c>
      <c r="C1811">
        <v>2024</v>
      </c>
      <c r="D1811">
        <v>9</v>
      </c>
      <c r="E1811" t="s">
        <v>50</v>
      </c>
      <c r="F1811" t="s">
        <v>48</v>
      </c>
      <c r="G1811" t="s">
        <v>29</v>
      </c>
      <c r="H1811" s="3">
        <v>114165.8070324158</v>
      </c>
      <c r="I1811">
        <v>27</v>
      </c>
      <c r="J1811" s="3">
        <v>74300.606563233901</v>
      </c>
      <c r="K1811" s="3">
        <v>39865.200469181873</v>
      </c>
    </row>
    <row r="1812" spans="1:11" x14ac:dyDescent="0.3">
      <c r="A1812" t="s">
        <v>1888</v>
      </c>
      <c r="B1812" s="2">
        <v>45536</v>
      </c>
      <c r="C1812">
        <v>2024</v>
      </c>
      <c r="D1812">
        <v>9</v>
      </c>
      <c r="E1812" t="s">
        <v>54</v>
      </c>
      <c r="F1812" t="s">
        <v>67</v>
      </c>
      <c r="G1812" t="s">
        <v>29</v>
      </c>
      <c r="H1812" s="3">
        <v>52470.51815730286</v>
      </c>
      <c r="I1812">
        <v>12</v>
      </c>
      <c r="J1812" s="3">
        <v>33474.678633826647</v>
      </c>
      <c r="K1812" s="3">
        <v>18995.83952347621</v>
      </c>
    </row>
    <row r="1813" spans="1:11" x14ac:dyDescent="0.3">
      <c r="A1813" t="s">
        <v>1889</v>
      </c>
      <c r="B1813" s="2">
        <v>45536</v>
      </c>
      <c r="C1813">
        <v>2024</v>
      </c>
      <c r="D1813">
        <v>9</v>
      </c>
      <c r="E1813" t="s">
        <v>54</v>
      </c>
      <c r="F1813" t="s">
        <v>48</v>
      </c>
      <c r="G1813" t="s">
        <v>29</v>
      </c>
      <c r="H1813" s="3">
        <v>89902.735730929839</v>
      </c>
      <c r="I1813">
        <v>21</v>
      </c>
      <c r="J1813" s="3">
        <v>57623.699237513407</v>
      </c>
      <c r="K1813" s="3">
        <v>32279.036493416421</v>
      </c>
    </row>
    <row r="1814" spans="1:11" x14ac:dyDescent="0.3">
      <c r="A1814" t="s">
        <v>1890</v>
      </c>
      <c r="B1814" s="2">
        <v>45536</v>
      </c>
      <c r="C1814">
        <v>2024</v>
      </c>
      <c r="D1814">
        <v>9</v>
      </c>
      <c r="E1814" t="s">
        <v>58</v>
      </c>
      <c r="F1814" t="s">
        <v>67</v>
      </c>
      <c r="G1814" t="s">
        <v>29</v>
      </c>
      <c r="H1814" s="3">
        <v>33627.860743197707</v>
      </c>
      <c r="I1814">
        <v>8</v>
      </c>
      <c r="J1814" s="3">
        <v>21471.111141013262</v>
      </c>
      <c r="K1814" s="3">
        <v>12156.74960218446</v>
      </c>
    </row>
    <row r="1815" spans="1:11" x14ac:dyDescent="0.3">
      <c r="A1815" t="s">
        <v>1891</v>
      </c>
      <c r="B1815" s="2">
        <v>45536</v>
      </c>
      <c r="C1815">
        <v>2024</v>
      </c>
      <c r="D1815">
        <v>9</v>
      </c>
      <c r="E1815" t="s">
        <v>58</v>
      </c>
      <c r="F1815" t="s">
        <v>48</v>
      </c>
      <c r="G1815" t="s">
        <v>29</v>
      </c>
      <c r="H1815" s="3">
        <v>61646.06812287349</v>
      </c>
      <c r="I1815">
        <v>14</v>
      </c>
      <c r="J1815" s="3">
        <v>40254.717414760547</v>
      </c>
      <c r="K1815" s="3">
        <v>21391.350708112939</v>
      </c>
    </row>
    <row r="1816" spans="1:11" x14ac:dyDescent="0.3">
      <c r="A1816" t="s">
        <v>1892</v>
      </c>
      <c r="B1816" s="2">
        <v>45536</v>
      </c>
      <c r="C1816">
        <v>2024</v>
      </c>
      <c r="D1816">
        <v>9</v>
      </c>
      <c r="E1816" t="s">
        <v>62</v>
      </c>
      <c r="F1816" t="s">
        <v>67</v>
      </c>
      <c r="G1816" t="s">
        <v>29</v>
      </c>
      <c r="H1816" s="3">
        <v>24062.637543321991</v>
      </c>
      <c r="I1816">
        <v>6</v>
      </c>
      <c r="J1816" s="3">
        <v>15157.30312487415</v>
      </c>
      <c r="K1816" s="3">
        <v>8905.3344184478374</v>
      </c>
    </row>
    <row r="1817" spans="1:11" x14ac:dyDescent="0.3">
      <c r="A1817" t="s">
        <v>1893</v>
      </c>
      <c r="B1817" s="2">
        <v>45536</v>
      </c>
      <c r="C1817">
        <v>2024</v>
      </c>
      <c r="D1817">
        <v>9</v>
      </c>
      <c r="E1817" t="s">
        <v>62</v>
      </c>
      <c r="F1817" t="s">
        <v>48</v>
      </c>
      <c r="G1817" t="s">
        <v>29</v>
      </c>
      <c r="H1817" s="3">
        <v>45631.835341628517</v>
      </c>
      <c r="I1817">
        <v>11</v>
      </c>
      <c r="J1817" s="3">
        <v>28780.782868843649</v>
      </c>
      <c r="K1817" s="3">
        <v>16851.052472784861</v>
      </c>
    </row>
    <row r="1818" spans="1:11" x14ac:dyDescent="0.3">
      <c r="A1818" t="s">
        <v>1894</v>
      </c>
      <c r="B1818" s="2">
        <v>45536</v>
      </c>
      <c r="C1818">
        <v>2024</v>
      </c>
      <c r="D1818">
        <v>9</v>
      </c>
      <c r="E1818" t="s">
        <v>50</v>
      </c>
      <c r="F1818" t="s">
        <v>67</v>
      </c>
      <c r="G1818" t="s">
        <v>34</v>
      </c>
      <c r="H1818" s="3">
        <v>58293.911435023343</v>
      </c>
      <c r="I1818">
        <v>69</v>
      </c>
      <c r="J1818" s="3">
        <v>28489.911775797431</v>
      </c>
      <c r="K1818" s="3">
        <v>29803.999659225901</v>
      </c>
    </row>
    <row r="1819" spans="1:11" x14ac:dyDescent="0.3">
      <c r="A1819" t="s">
        <v>1895</v>
      </c>
      <c r="B1819" s="2">
        <v>45536</v>
      </c>
      <c r="C1819">
        <v>2024</v>
      </c>
      <c r="D1819">
        <v>9</v>
      </c>
      <c r="E1819" t="s">
        <v>50</v>
      </c>
      <c r="F1819" t="s">
        <v>48</v>
      </c>
      <c r="G1819" t="s">
        <v>34</v>
      </c>
      <c r="H1819" s="3">
        <v>109261.47730490319</v>
      </c>
      <c r="I1819">
        <v>129</v>
      </c>
      <c r="J1819" s="3">
        <v>52403.631042211513</v>
      </c>
      <c r="K1819" s="3">
        <v>56857.846262691732</v>
      </c>
    </row>
    <row r="1820" spans="1:11" x14ac:dyDescent="0.3">
      <c r="A1820" t="s">
        <v>1896</v>
      </c>
      <c r="B1820" s="2">
        <v>45536</v>
      </c>
      <c r="C1820">
        <v>2024</v>
      </c>
      <c r="D1820">
        <v>9</v>
      </c>
      <c r="E1820" t="s">
        <v>54</v>
      </c>
      <c r="F1820" t="s">
        <v>67</v>
      </c>
      <c r="G1820" t="s">
        <v>34</v>
      </c>
      <c r="H1820" s="3">
        <v>44617.978341147122</v>
      </c>
      <c r="I1820">
        <v>52</v>
      </c>
      <c r="J1820" s="3">
        <v>21948.027849657701</v>
      </c>
      <c r="K1820" s="3">
        <v>22669.950491489421</v>
      </c>
    </row>
    <row r="1821" spans="1:11" x14ac:dyDescent="0.3">
      <c r="A1821" t="s">
        <v>1897</v>
      </c>
      <c r="B1821" s="2">
        <v>45536</v>
      </c>
      <c r="C1821">
        <v>2024</v>
      </c>
      <c r="D1821">
        <v>9</v>
      </c>
      <c r="E1821" t="s">
        <v>54</v>
      </c>
      <c r="F1821" t="s">
        <v>48</v>
      </c>
      <c r="G1821" t="s">
        <v>34</v>
      </c>
      <c r="H1821" s="3">
        <v>82859.075377579356</v>
      </c>
      <c r="I1821">
        <v>97</v>
      </c>
      <c r="J1821" s="3">
        <v>39291.618973068653</v>
      </c>
      <c r="K1821" s="3">
        <v>43567.456404510704</v>
      </c>
    </row>
    <row r="1822" spans="1:11" x14ac:dyDescent="0.3">
      <c r="A1822" t="s">
        <v>1898</v>
      </c>
      <c r="B1822" s="2">
        <v>45536</v>
      </c>
      <c r="C1822">
        <v>2024</v>
      </c>
      <c r="D1822">
        <v>9</v>
      </c>
      <c r="E1822" t="s">
        <v>58</v>
      </c>
      <c r="F1822" t="s">
        <v>67</v>
      </c>
      <c r="G1822" t="s">
        <v>34</v>
      </c>
      <c r="H1822" s="3">
        <v>29945.52258035315</v>
      </c>
      <c r="I1822">
        <v>35</v>
      </c>
      <c r="J1822" s="3">
        <v>14359.67807091706</v>
      </c>
      <c r="K1822" s="3">
        <v>15585.84450943609</v>
      </c>
    </row>
    <row r="1823" spans="1:11" x14ac:dyDescent="0.3">
      <c r="A1823" t="s">
        <v>1899</v>
      </c>
      <c r="B1823" s="2">
        <v>45536</v>
      </c>
      <c r="C1823">
        <v>2024</v>
      </c>
      <c r="D1823">
        <v>9</v>
      </c>
      <c r="E1823" t="s">
        <v>58</v>
      </c>
      <c r="F1823" t="s">
        <v>48</v>
      </c>
      <c r="G1823" t="s">
        <v>34</v>
      </c>
      <c r="H1823" s="3">
        <v>61256.657976615563</v>
      </c>
      <c r="I1823">
        <v>72</v>
      </c>
      <c r="J1823" s="3">
        <v>28915.00181546477</v>
      </c>
      <c r="K1823" s="3">
        <v>32341.65616115079</v>
      </c>
    </row>
    <row r="1824" spans="1:11" x14ac:dyDescent="0.3">
      <c r="A1824" t="s">
        <v>1900</v>
      </c>
      <c r="B1824" s="2">
        <v>45536</v>
      </c>
      <c r="C1824">
        <v>2024</v>
      </c>
      <c r="D1824">
        <v>9</v>
      </c>
      <c r="E1824" t="s">
        <v>62</v>
      </c>
      <c r="F1824" t="s">
        <v>67</v>
      </c>
      <c r="G1824" t="s">
        <v>34</v>
      </c>
      <c r="H1824" s="3">
        <v>21054.063556333589</v>
      </c>
      <c r="I1824">
        <v>25</v>
      </c>
      <c r="J1824" s="3">
        <v>10107.28983113331</v>
      </c>
      <c r="K1824" s="3">
        <v>10946.77372520029</v>
      </c>
    </row>
    <row r="1825" spans="1:11" x14ac:dyDescent="0.3">
      <c r="A1825" t="s">
        <v>1901</v>
      </c>
      <c r="B1825" s="2">
        <v>45536</v>
      </c>
      <c r="C1825">
        <v>2024</v>
      </c>
      <c r="D1825">
        <v>9</v>
      </c>
      <c r="E1825" t="s">
        <v>62</v>
      </c>
      <c r="F1825" t="s">
        <v>48</v>
      </c>
      <c r="G1825" t="s">
        <v>34</v>
      </c>
      <c r="H1825" s="3">
        <v>40554.011557903803</v>
      </c>
      <c r="I1825">
        <v>48</v>
      </c>
      <c r="J1825" s="3">
        <v>18947.862425092149</v>
      </c>
      <c r="K1825" s="3">
        <v>21606.14913281165</v>
      </c>
    </row>
    <row r="1826" spans="1:11" x14ac:dyDescent="0.3">
      <c r="A1826" t="s">
        <v>1902</v>
      </c>
      <c r="B1826" s="2">
        <v>45536</v>
      </c>
      <c r="C1826">
        <v>2024</v>
      </c>
      <c r="D1826">
        <v>9</v>
      </c>
      <c r="E1826" t="s">
        <v>50</v>
      </c>
      <c r="F1826" t="s">
        <v>67</v>
      </c>
      <c r="G1826" t="s">
        <v>37</v>
      </c>
      <c r="H1826" s="3">
        <v>43699.172993198386</v>
      </c>
      <c r="I1826">
        <v>61</v>
      </c>
      <c r="J1826" s="3">
        <v>23823.584291785312</v>
      </c>
      <c r="K1826" s="3">
        <v>19875.588701413071</v>
      </c>
    </row>
    <row r="1827" spans="1:11" x14ac:dyDescent="0.3">
      <c r="A1827" t="s">
        <v>1903</v>
      </c>
      <c r="B1827" s="2">
        <v>45536</v>
      </c>
      <c r="C1827">
        <v>2024</v>
      </c>
      <c r="D1827">
        <v>9</v>
      </c>
      <c r="E1827" t="s">
        <v>50</v>
      </c>
      <c r="F1827" t="s">
        <v>48</v>
      </c>
      <c r="G1827" t="s">
        <v>37</v>
      </c>
      <c r="H1827" s="3">
        <v>81951.407681872515</v>
      </c>
      <c r="I1827">
        <v>114</v>
      </c>
      <c r="J1827" s="3">
        <v>43908.014267437939</v>
      </c>
      <c r="K1827" s="3">
        <v>38043.393414434577</v>
      </c>
    </row>
    <row r="1828" spans="1:11" x14ac:dyDescent="0.3">
      <c r="A1828" t="s">
        <v>1904</v>
      </c>
      <c r="B1828" s="2">
        <v>45536</v>
      </c>
      <c r="C1828">
        <v>2024</v>
      </c>
      <c r="D1828">
        <v>9</v>
      </c>
      <c r="E1828" t="s">
        <v>54</v>
      </c>
      <c r="F1828" t="s">
        <v>67</v>
      </c>
      <c r="G1828" t="s">
        <v>37</v>
      </c>
      <c r="H1828" s="3">
        <v>37705.3401117916</v>
      </c>
      <c r="I1828">
        <v>52</v>
      </c>
      <c r="J1828" s="3">
        <v>20996.966715522991</v>
      </c>
      <c r="K1828" s="3">
        <v>16708.373396268609</v>
      </c>
    </row>
    <row r="1829" spans="1:11" x14ac:dyDescent="0.3">
      <c r="A1829" t="s">
        <v>1905</v>
      </c>
      <c r="B1829" s="2">
        <v>45536</v>
      </c>
      <c r="C1829">
        <v>2024</v>
      </c>
      <c r="D1829">
        <v>9</v>
      </c>
      <c r="E1829" t="s">
        <v>54</v>
      </c>
      <c r="F1829" t="s">
        <v>48</v>
      </c>
      <c r="G1829" t="s">
        <v>37</v>
      </c>
      <c r="H1829" s="3">
        <v>63711.166629021624</v>
      </c>
      <c r="I1829">
        <v>88</v>
      </c>
      <c r="J1829" s="3">
        <v>35493.123599978957</v>
      </c>
      <c r="K1829" s="3">
        <v>28218.043029042648</v>
      </c>
    </row>
    <row r="1830" spans="1:11" x14ac:dyDescent="0.3">
      <c r="A1830" t="s">
        <v>1906</v>
      </c>
      <c r="B1830" s="2">
        <v>45536</v>
      </c>
      <c r="C1830">
        <v>2024</v>
      </c>
      <c r="D1830">
        <v>9</v>
      </c>
      <c r="E1830" t="s">
        <v>58</v>
      </c>
      <c r="F1830" t="s">
        <v>67</v>
      </c>
      <c r="G1830" t="s">
        <v>37</v>
      </c>
      <c r="H1830" s="3">
        <v>25482.896127461219</v>
      </c>
      <c r="I1830">
        <v>35</v>
      </c>
      <c r="J1830" s="3">
        <v>13579.08102630559</v>
      </c>
      <c r="K1830" s="3">
        <v>11903.815101155629</v>
      </c>
    </row>
    <row r="1831" spans="1:11" x14ac:dyDescent="0.3">
      <c r="A1831" t="s">
        <v>1907</v>
      </c>
      <c r="B1831" s="2">
        <v>45536</v>
      </c>
      <c r="C1831">
        <v>2024</v>
      </c>
      <c r="D1831">
        <v>9</v>
      </c>
      <c r="E1831" t="s">
        <v>58</v>
      </c>
      <c r="F1831" t="s">
        <v>48</v>
      </c>
      <c r="G1831" t="s">
        <v>37</v>
      </c>
      <c r="H1831" s="3">
        <v>46399.712206444281</v>
      </c>
      <c r="I1831">
        <v>64</v>
      </c>
      <c r="J1831" s="3">
        <v>26132.57166914866</v>
      </c>
      <c r="K1831" s="3">
        <v>20267.140537295621</v>
      </c>
    </row>
    <row r="1832" spans="1:11" x14ac:dyDescent="0.3">
      <c r="A1832" t="s">
        <v>1908</v>
      </c>
      <c r="B1832" s="2">
        <v>45536</v>
      </c>
      <c r="C1832">
        <v>2024</v>
      </c>
      <c r="D1832">
        <v>9</v>
      </c>
      <c r="E1832" t="s">
        <v>62</v>
      </c>
      <c r="F1832" t="s">
        <v>67</v>
      </c>
      <c r="G1832" t="s">
        <v>37</v>
      </c>
      <c r="H1832" s="3">
        <v>18131.74124274421</v>
      </c>
      <c r="I1832">
        <v>25</v>
      </c>
      <c r="J1832" s="3">
        <v>10420.75428350412</v>
      </c>
      <c r="K1832" s="3">
        <v>7710.9869592400901</v>
      </c>
    </row>
    <row r="1833" spans="1:11" x14ac:dyDescent="0.3">
      <c r="A1833" t="s">
        <v>1909</v>
      </c>
      <c r="B1833" s="2">
        <v>45536</v>
      </c>
      <c r="C1833">
        <v>2024</v>
      </c>
      <c r="D1833">
        <v>9</v>
      </c>
      <c r="E1833" t="s">
        <v>62</v>
      </c>
      <c r="F1833" t="s">
        <v>48</v>
      </c>
      <c r="G1833" t="s">
        <v>37</v>
      </c>
      <c r="H1833" s="3">
        <v>36331.424756787463</v>
      </c>
      <c r="I1833">
        <v>50</v>
      </c>
      <c r="J1833" s="3">
        <v>19998.831244255729</v>
      </c>
      <c r="K1833" s="3">
        <v>16332.59351253173</v>
      </c>
    </row>
    <row r="1834" spans="1:11" x14ac:dyDescent="0.3">
      <c r="A1834" t="s">
        <v>1910</v>
      </c>
      <c r="B1834" s="2">
        <v>45536</v>
      </c>
      <c r="C1834">
        <v>2024</v>
      </c>
      <c r="D1834">
        <v>9</v>
      </c>
      <c r="E1834" t="s">
        <v>50</v>
      </c>
      <c r="F1834" t="s">
        <v>67</v>
      </c>
      <c r="G1834" t="s">
        <v>40</v>
      </c>
      <c r="H1834" s="3">
        <v>43753.910436700018</v>
      </c>
      <c r="I1834">
        <v>8</v>
      </c>
      <c r="J1834" s="3">
        <v>29841.801602777239</v>
      </c>
      <c r="K1834" s="3">
        <v>13912.108833922781</v>
      </c>
    </row>
    <row r="1835" spans="1:11" x14ac:dyDescent="0.3">
      <c r="A1835" t="s">
        <v>1911</v>
      </c>
      <c r="B1835" s="2">
        <v>45536</v>
      </c>
      <c r="C1835">
        <v>2024</v>
      </c>
      <c r="D1835">
        <v>9</v>
      </c>
      <c r="E1835" t="s">
        <v>50</v>
      </c>
      <c r="F1835" t="s">
        <v>48</v>
      </c>
      <c r="G1835" t="s">
        <v>40</v>
      </c>
      <c r="H1835" s="3">
        <v>77765.418468815391</v>
      </c>
      <c r="I1835">
        <v>14</v>
      </c>
      <c r="J1835" s="3">
        <v>56386.008552253683</v>
      </c>
      <c r="K1835" s="3">
        <v>21379.409916561712</v>
      </c>
    </row>
    <row r="1836" spans="1:11" x14ac:dyDescent="0.3">
      <c r="A1836" t="s">
        <v>1912</v>
      </c>
      <c r="B1836" s="2">
        <v>45536</v>
      </c>
      <c r="C1836">
        <v>2024</v>
      </c>
      <c r="D1836">
        <v>9</v>
      </c>
      <c r="E1836" t="s">
        <v>54</v>
      </c>
      <c r="F1836" t="s">
        <v>67</v>
      </c>
      <c r="G1836" t="s">
        <v>40</v>
      </c>
      <c r="H1836" s="3">
        <v>30862.325639439969</v>
      </c>
      <c r="I1836">
        <v>6</v>
      </c>
      <c r="J1836" s="3">
        <v>20789.43076475311</v>
      </c>
      <c r="K1836" s="3">
        <v>10072.894874686859</v>
      </c>
    </row>
    <row r="1837" spans="1:11" x14ac:dyDescent="0.3">
      <c r="A1837" t="s">
        <v>1913</v>
      </c>
      <c r="B1837" s="2">
        <v>45536</v>
      </c>
      <c r="C1837">
        <v>2024</v>
      </c>
      <c r="D1837">
        <v>9</v>
      </c>
      <c r="E1837" t="s">
        <v>54</v>
      </c>
      <c r="F1837" t="s">
        <v>48</v>
      </c>
      <c r="G1837" t="s">
        <v>40</v>
      </c>
      <c r="H1837" s="3">
        <v>63606.387218255593</v>
      </c>
      <c r="I1837">
        <v>12</v>
      </c>
      <c r="J1837" s="3">
        <v>43904.291115084809</v>
      </c>
      <c r="K1837" s="3">
        <v>19702.096103170781</v>
      </c>
    </row>
    <row r="1838" spans="1:11" x14ac:dyDescent="0.3">
      <c r="A1838" t="s">
        <v>1914</v>
      </c>
      <c r="B1838" s="2">
        <v>45536</v>
      </c>
      <c r="C1838">
        <v>2024</v>
      </c>
      <c r="D1838">
        <v>9</v>
      </c>
      <c r="E1838" t="s">
        <v>58</v>
      </c>
      <c r="F1838" t="s">
        <v>67</v>
      </c>
      <c r="G1838" t="s">
        <v>40</v>
      </c>
      <c r="H1838" s="3">
        <v>24762.910397138879</v>
      </c>
      <c r="I1838">
        <v>5</v>
      </c>
      <c r="J1838" s="3">
        <v>17141.65196443786</v>
      </c>
      <c r="K1838" s="3">
        <v>7621.2584327010227</v>
      </c>
    </row>
    <row r="1839" spans="1:11" x14ac:dyDescent="0.3">
      <c r="A1839" t="s">
        <v>1915</v>
      </c>
      <c r="B1839" s="2">
        <v>45536</v>
      </c>
      <c r="C1839">
        <v>2024</v>
      </c>
      <c r="D1839">
        <v>9</v>
      </c>
      <c r="E1839" t="s">
        <v>58</v>
      </c>
      <c r="F1839" t="s">
        <v>48</v>
      </c>
      <c r="G1839" t="s">
        <v>40</v>
      </c>
      <c r="H1839" s="3">
        <v>44865.03550384086</v>
      </c>
      <c r="I1839">
        <v>8</v>
      </c>
      <c r="J1839" s="3">
        <v>31706.42268685903</v>
      </c>
      <c r="K1839" s="3">
        <v>13158.612816981829</v>
      </c>
    </row>
    <row r="1840" spans="1:11" x14ac:dyDescent="0.3">
      <c r="A1840" t="s">
        <v>1916</v>
      </c>
      <c r="B1840" s="2">
        <v>45536</v>
      </c>
      <c r="C1840">
        <v>2024</v>
      </c>
      <c r="D1840">
        <v>9</v>
      </c>
      <c r="E1840" t="s">
        <v>62</v>
      </c>
      <c r="F1840" t="s">
        <v>67</v>
      </c>
      <c r="G1840" t="s">
        <v>40</v>
      </c>
      <c r="H1840" s="3">
        <v>16566.34458634094</v>
      </c>
      <c r="I1840">
        <v>3</v>
      </c>
      <c r="J1840" s="3">
        <v>11504.795497577999</v>
      </c>
      <c r="K1840" s="3">
        <v>5061.5490887629458</v>
      </c>
    </row>
    <row r="1841" spans="1:11" x14ac:dyDescent="0.3">
      <c r="A1841" t="s">
        <v>1917</v>
      </c>
      <c r="B1841" s="2">
        <v>45536</v>
      </c>
      <c r="C1841">
        <v>2024</v>
      </c>
      <c r="D1841">
        <v>9</v>
      </c>
      <c r="E1841" t="s">
        <v>62</v>
      </c>
      <c r="F1841" t="s">
        <v>48</v>
      </c>
      <c r="G1841" t="s">
        <v>40</v>
      </c>
      <c r="H1841" s="3">
        <v>32598.50514793241</v>
      </c>
      <c r="I1841">
        <v>6</v>
      </c>
      <c r="J1841" s="3">
        <v>22291.084934407951</v>
      </c>
      <c r="K1841" s="3">
        <v>10307.42021352446</v>
      </c>
    </row>
    <row r="1842" spans="1:11" x14ac:dyDescent="0.3">
      <c r="A1842" t="s">
        <v>1918</v>
      </c>
      <c r="B1842" s="2">
        <v>45536</v>
      </c>
      <c r="C1842">
        <v>2024</v>
      </c>
      <c r="D1842">
        <v>9</v>
      </c>
      <c r="E1842" t="s">
        <v>50</v>
      </c>
      <c r="F1842" t="s">
        <v>67</v>
      </c>
      <c r="G1842" t="s">
        <v>43</v>
      </c>
      <c r="H1842" s="3">
        <v>92548.610503933654</v>
      </c>
      <c r="I1842">
        <v>26</v>
      </c>
      <c r="J1842" s="3">
        <v>53668.793188272502</v>
      </c>
      <c r="K1842" s="3">
        <v>38879.817315661159</v>
      </c>
    </row>
    <row r="1843" spans="1:11" x14ac:dyDescent="0.3">
      <c r="A1843" t="s">
        <v>1919</v>
      </c>
      <c r="B1843" s="2">
        <v>45536</v>
      </c>
      <c r="C1843">
        <v>2024</v>
      </c>
      <c r="D1843">
        <v>9</v>
      </c>
      <c r="E1843" t="s">
        <v>50</v>
      </c>
      <c r="F1843" t="s">
        <v>48</v>
      </c>
      <c r="G1843" t="s">
        <v>43</v>
      </c>
      <c r="H1843" s="3">
        <v>154484.7741025477</v>
      </c>
      <c r="I1843">
        <v>44</v>
      </c>
      <c r="J1843" s="3">
        <v>90585.214168318591</v>
      </c>
      <c r="K1843" s="3">
        <v>63899.55993422911</v>
      </c>
    </row>
    <row r="1844" spans="1:11" x14ac:dyDescent="0.3">
      <c r="A1844" t="s">
        <v>1920</v>
      </c>
      <c r="B1844" s="2">
        <v>45536</v>
      </c>
      <c r="C1844">
        <v>2024</v>
      </c>
      <c r="D1844">
        <v>9</v>
      </c>
      <c r="E1844" t="s">
        <v>54</v>
      </c>
      <c r="F1844" t="s">
        <v>67</v>
      </c>
      <c r="G1844" t="s">
        <v>43</v>
      </c>
      <c r="H1844" s="3">
        <v>72309.95714767708</v>
      </c>
      <c r="I1844">
        <v>21</v>
      </c>
      <c r="J1844" s="3">
        <v>41889.623231842939</v>
      </c>
      <c r="K1844" s="3">
        <v>30420.33391583414</v>
      </c>
    </row>
    <row r="1845" spans="1:11" x14ac:dyDescent="0.3">
      <c r="A1845" t="s">
        <v>1921</v>
      </c>
      <c r="B1845" s="2">
        <v>45536</v>
      </c>
      <c r="C1845">
        <v>2024</v>
      </c>
      <c r="D1845">
        <v>9</v>
      </c>
      <c r="E1845" t="s">
        <v>54</v>
      </c>
      <c r="F1845" t="s">
        <v>48</v>
      </c>
      <c r="G1845" t="s">
        <v>43</v>
      </c>
      <c r="H1845" s="3">
        <v>128787.9512328212</v>
      </c>
      <c r="I1845">
        <v>37</v>
      </c>
      <c r="J1845" s="3">
        <v>76050.303258356085</v>
      </c>
      <c r="K1845" s="3">
        <v>52737.64797446513</v>
      </c>
    </row>
    <row r="1846" spans="1:11" x14ac:dyDescent="0.3">
      <c r="A1846" t="s">
        <v>1922</v>
      </c>
      <c r="B1846" s="2">
        <v>45536</v>
      </c>
      <c r="C1846">
        <v>2024</v>
      </c>
      <c r="D1846">
        <v>9</v>
      </c>
      <c r="E1846" t="s">
        <v>58</v>
      </c>
      <c r="F1846" t="s">
        <v>67</v>
      </c>
      <c r="G1846" t="s">
        <v>43</v>
      </c>
      <c r="H1846" s="3">
        <v>50825.060310616369</v>
      </c>
      <c r="I1846">
        <v>15</v>
      </c>
      <c r="J1846" s="3">
        <v>29682.25384556095</v>
      </c>
      <c r="K1846" s="3">
        <v>21142.806465055419</v>
      </c>
    </row>
    <row r="1847" spans="1:11" x14ac:dyDescent="0.3">
      <c r="A1847" t="s">
        <v>1923</v>
      </c>
      <c r="B1847" s="2">
        <v>45536</v>
      </c>
      <c r="C1847">
        <v>2024</v>
      </c>
      <c r="D1847">
        <v>9</v>
      </c>
      <c r="E1847" t="s">
        <v>58</v>
      </c>
      <c r="F1847" t="s">
        <v>48</v>
      </c>
      <c r="G1847" t="s">
        <v>43</v>
      </c>
      <c r="H1847" s="3">
        <v>90730.071589681975</v>
      </c>
      <c r="I1847">
        <v>26</v>
      </c>
      <c r="J1847" s="3">
        <v>52091.157101799101</v>
      </c>
      <c r="K1847" s="3">
        <v>38638.914487882867</v>
      </c>
    </row>
    <row r="1848" spans="1:11" x14ac:dyDescent="0.3">
      <c r="A1848" t="s">
        <v>1924</v>
      </c>
      <c r="B1848" s="2">
        <v>45536</v>
      </c>
      <c r="C1848">
        <v>2024</v>
      </c>
      <c r="D1848">
        <v>9</v>
      </c>
      <c r="E1848" t="s">
        <v>62</v>
      </c>
      <c r="F1848" t="s">
        <v>67</v>
      </c>
      <c r="G1848" t="s">
        <v>43</v>
      </c>
      <c r="H1848" s="3">
        <v>36617.43224638317</v>
      </c>
      <c r="I1848">
        <v>10</v>
      </c>
      <c r="J1848" s="3">
        <v>22092.382517853981</v>
      </c>
      <c r="K1848" s="3">
        <v>14525.049728529189</v>
      </c>
    </row>
    <row r="1849" spans="1:11" x14ac:dyDescent="0.3">
      <c r="A1849" t="s">
        <v>1925</v>
      </c>
      <c r="B1849" s="2">
        <v>45536</v>
      </c>
      <c r="C1849">
        <v>2024</v>
      </c>
      <c r="D1849">
        <v>9</v>
      </c>
      <c r="E1849" t="s">
        <v>62</v>
      </c>
      <c r="F1849" t="s">
        <v>48</v>
      </c>
      <c r="G1849" t="s">
        <v>43</v>
      </c>
      <c r="H1849" s="3">
        <v>68738.856590400115</v>
      </c>
      <c r="I1849">
        <v>20</v>
      </c>
      <c r="J1849" s="3">
        <v>40192.621133231827</v>
      </c>
      <c r="K1849" s="3">
        <v>28546.235457168281</v>
      </c>
    </row>
    <row r="1850" spans="1:11" x14ac:dyDescent="0.3">
      <c r="A1850" t="s">
        <v>1926</v>
      </c>
      <c r="B1850" s="2">
        <v>45566</v>
      </c>
      <c r="C1850">
        <v>2024</v>
      </c>
      <c r="D1850">
        <v>10</v>
      </c>
      <c r="E1850" t="s">
        <v>50</v>
      </c>
      <c r="F1850" t="s">
        <v>67</v>
      </c>
      <c r="G1850" t="s">
        <v>19</v>
      </c>
      <c r="H1850" s="3">
        <v>87227.874127693533</v>
      </c>
      <c r="I1850">
        <v>17</v>
      </c>
      <c r="J1850" s="3">
        <v>52846.79760514191</v>
      </c>
      <c r="K1850" s="3">
        <v>34381.076522551622</v>
      </c>
    </row>
    <row r="1851" spans="1:11" x14ac:dyDescent="0.3">
      <c r="A1851" t="s">
        <v>1927</v>
      </c>
      <c r="B1851" s="2">
        <v>45566</v>
      </c>
      <c r="C1851">
        <v>2024</v>
      </c>
      <c r="D1851">
        <v>10</v>
      </c>
      <c r="E1851" t="s">
        <v>50</v>
      </c>
      <c r="F1851" t="s">
        <v>48</v>
      </c>
      <c r="G1851" t="s">
        <v>19</v>
      </c>
      <c r="H1851" s="3">
        <v>167599.51801235281</v>
      </c>
      <c r="I1851">
        <v>32</v>
      </c>
      <c r="J1851" s="3">
        <v>103596.98749543</v>
      </c>
      <c r="K1851" s="3">
        <v>64002.530516922838</v>
      </c>
    </row>
    <row r="1852" spans="1:11" x14ac:dyDescent="0.3">
      <c r="A1852" t="s">
        <v>1928</v>
      </c>
      <c r="B1852" s="2">
        <v>45566</v>
      </c>
      <c r="C1852">
        <v>2024</v>
      </c>
      <c r="D1852">
        <v>10</v>
      </c>
      <c r="E1852" t="s">
        <v>54</v>
      </c>
      <c r="F1852" t="s">
        <v>67</v>
      </c>
      <c r="G1852" t="s">
        <v>19</v>
      </c>
      <c r="H1852" s="3">
        <v>66510.509426536024</v>
      </c>
      <c r="I1852">
        <v>13</v>
      </c>
      <c r="J1852" s="3">
        <v>41287.265137392373</v>
      </c>
      <c r="K1852" s="3">
        <v>25223.244289143659</v>
      </c>
    </row>
    <row r="1853" spans="1:11" x14ac:dyDescent="0.3">
      <c r="A1853" t="s">
        <v>1929</v>
      </c>
      <c r="B1853" s="2">
        <v>45566</v>
      </c>
      <c r="C1853">
        <v>2024</v>
      </c>
      <c r="D1853">
        <v>10</v>
      </c>
      <c r="E1853" t="s">
        <v>54</v>
      </c>
      <c r="F1853" t="s">
        <v>48</v>
      </c>
      <c r="G1853" t="s">
        <v>19</v>
      </c>
      <c r="H1853" s="3">
        <v>131978.10446753009</v>
      </c>
      <c r="I1853">
        <v>25</v>
      </c>
      <c r="J1853" s="3">
        <v>79254.096463462571</v>
      </c>
      <c r="K1853" s="3">
        <v>52724.008004067517</v>
      </c>
    </row>
    <row r="1854" spans="1:11" x14ac:dyDescent="0.3">
      <c r="A1854" t="s">
        <v>1930</v>
      </c>
      <c r="B1854" s="2">
        <v>45566</v>
      </c>
      <c r="C1854">
        <v>2024</v>
      </c>
      <c r="D1854">
        <v>10</v>
      </c>
      <c r="E1854" t="s">
        <v>58</v>
      </c>
      <c r="F1854" t="s">
        <v>67</v>
      </c>
      <c r="G1854" t="s">
        <v>19</v>
      </c>
      <c r="H1854" s="3">
        <v>43606.128239639402</v>
      </c>
      <c r="I1854">
        <v>8</v>
      </c>
      <c r="J1854" s="3">
        <v>27197.19398562262</v>
      </c>
      <c r="K1854" s="3">
        <v>16408.934254016789</v>
      </c>
    </row>
    <row r="1855" spans="1:11" x14ac:dyDescent="0.3">
      <c r="A1855" t="s">
        <v>1931</v>
      </c>
      <c r="B1855" s="2">
        <v>45566</v>
      </c>
      <c r="C1855">
        <v>2024</v>
      </c>
      <c r="D1855">
        <v>10</v>
      </c>
      <c r="E1855" t="s">
        <v>58</v>
      </c>
      <c r="F1855" t="s">
        <v>48</v>
      </c>
      <c r="G1855" t="s">
        <v>19</v>
      </c>
      <c r="H1855" s="3">
        <v>82011.226828577404</v>
      </c>
      <c r="I1855">
        <v>16</v>
      </c>
      <c r="J1855" s="3">
        <v>49888.554599613097</v>
      </c>
      <c r="K1855" s="3">
        <v>32122.6722289643</v>
      </c>
    </row>
    <row r="1856" spans="1:11" x14ac:dyDescent="0.3">
      <c r="A1856" t="s">
        <v>1932</v>
      </c>
      <c r="B1856" s="2">
        <v>45566</v>
      </c>
      <c r="C1856">
        <v>2024</v>
      </c>
      <c r="D1856">
        <v>10</v>
      </c>
      <c r="E1856" t="s">
        <v>62</v>
      </c>
      <c r="F1856" t="s">
        <v>67</v>
      </c>
      <c r="G1856" t="s">
        <v>19</v>
      </c>
      <c r="H1856" s="3">
        <v>40602.72634139593</v>
      </c>
      <c r="I1856">
        <v>8</v>
      </c>
      <c r="J1856" s="3">
        <v>25949.002700705769</v>
      </c>
      <c r="K1856" s="3">
        <v>14653.723640690159</v>
      </c>
    </row>
    <row r="1857" spans="1:11" x14ac:dyDescent="0.3">
      <c r="A1857" t="s">
        <v>1933</v>
      </c>
      <c r="B1857" s="2">
        <v>45566</v>
      </c>
      <c r="C1857">
        <v>2024</v>
      </c>
      <c r="D1857">
        <v>10</v>
      </c>
      <c r="E1857" t="s">
        <v>62</v>
      </c>
      <c r="F1857" t="s">
        <v>48</v>
      </c>
      <c r="G1857" t="s">
        <v>19</v>
      </c>
      <c r="H1857" s="3">
        <v>71631.10000272945</v>
      </c>
      <c r="I1857">
        <v>14</v>
      </c>
      <c r="J1857" s="3">
        <v>44830.137646764888</v>
      </c>
      <c r="K1857" s="3">
        <v>26800.962355964559</v>
      </c>
    </row>
    <row r="1858" spans="1:11" x14ac:dyDescent="0.3">
      <c r="A1858" t="s">
        <v>1934</v>
      </c>
      <c r="B1858" s="2">
        <v>45566</v>
      </c>
      <c r="C1858">
        <v>2024</v>
      </c>
      <c r="D1858">
        <v>10</v>
      </c>
      <c r="E1858" t="s">
        <v>50</v>
      </c>
      <c r="F1858" t="s">
        <v>67</v>
      </c>
      <c r="G1858" t="s">
        <v>24</v>
      </c>
      <c r="H1858" s="3">
        <v>93302.227474821615</v>
      </c>
      <c r="I1858">
        <v>15</v>
      </c>
      <c r="J1858" s="3">
        <v>61136.208802431283</v>
      </c>
      <c r="K1858" s="3">
        <v>32166.018672390332</v>
      </c>
    </row>
    <row r="1859" spans="1:11" x14ac:dyDescent="0.3">
      <c r="A1859" t="s">
        <v>1935</v>
      </c>
      <c r="B1859" s="2">
        <v>45566</v>
      </c>
      <c r="C1859">
        <v>2024</v>
      </c>
      <c r="D1859">
        <v>10</v>
      </c>
      <c r="E1859" t="s">
        <v>50</v>
      </c>
      <c r="F1859" t="s">
        <v>48</v>
      </c>
      <c r="G1859" t="s">
        <v>24</v>
      </c>
      <c r="H1859" s="3">
        <v>173019.1447074828</v>
      </c>
      <c r="I1859">
        <v>28</v>
      </c>
      <c r="J1859" s="3">
        <v>112660.967418366</v>
      </c>
      <c r="K1859" s="3">
        <v>60358.177289116757</v>
      </c>
    </row>
    <row r="1860" spans="1:11" x14ac:dyDescent="0.3">
      <c r="A1860" t="s">
        <v>1936</v>
      </c>
      <c r="B1860" s="2">
        <v>45566</v>
      </c>
      <c r="C1860">
        <v>2024</v>
      </c>
      <c r="D1860">
        <v>10</v>
      </c>
      <c r="E1860" t="s">
        <v>54</v>
      </c>
      <c r="F1860" t="s">
        <v>67</v>
      </c>
      <c r="G1860" t="s">
        <v>24</v>
      </c>
      <c r="H1860" s="3">
        <v>73327.722615733132</v>
      </c>
      <c r="I1860">
        <v>12</v>
      </c>
      <c r="J1860" s="3">
        <v>48304.856056211102</v>
      </c>
      <c r="K1860" s="3">
        <v>25022.86655952203</v>
      </c>
    </row>
    <row r="1861" spans="1:11" x14ac:dyDescent="0.3">
      <c r="A1861" t="s">
        <v>1937</v>
      </c>
      <c r="B1861" s="2">
        <v>45566</v>
      </c>
      <c r="C1861">
        <v>2024</v>
      </c>
      <c r="D1861">
        <v>10</v>
      </c>
      <c r="E1861" t="s">
        <v>54</v>
      </c>
      <c r="F1861" t="s">
        <v>48</v>
      </c>
      <c r="G1861" t="s">
        <v>24</v>
      </c>
      <c r="H1861" s="3">
        <v>147347.6103366194</v>
      </c>
      <c r="I1861">
        <v>24</v>
      </c>
      <c r="J1861" s="3">
        <v>98322.106648904184</v>
      </c>
      <c r="K1861" s="3">
        <v>49025.503687715223</v>
      </c>
    </row>
    <row r="1862" spans="1:11" x14ac:dyDescent="0.3">
      <c r="A1862" t="s">
        <v>1938</v>
      </c>
      <c r="B1862" s="2">
        <v>45566</v>
      </c>
      <c r="C1862">
        <v>2024</v>
      </c>
      <c r="D1862">
        <v>10</v>
      </c>
      <c r="E1862" t="s">
        <v>58</v>
      </c>
      <c r="F1862" t="s">
        <v>67</v>
      </c>
      <c r="G1862" t="s">
        <v>24</v>
      </c>
      <c r="H1862" s="3">
        <v>55968.959841568372</v>
      </c>
      <c r="I1862">
        <v>9</v>
      </c>
      <c r="J1862" s="3">
        <v>36922.562162710426</v>
      </c>
      <c r="K1862" s="3">
        <v>19046.397678857938</v>
      </c>
    </row>
    <row r="1863" spans="1:11" x14ac:dyDescent="0.3">
      <c r="A1863" t="s">
        <v>1939</v>
      </c>
      <c r="B1863" s="2">
        <v>45566</v>
      </c>
      <c r="C1863">
        <v>2024</v>
      </c>
      <c r="D1863">
        <v>10</v>
      </c>
      <c r="E1863" t="s">
        <v>58</v>
      </c>
      <c r="F1863" t="s">
        <v>48</v>
      </c>
      <c r="G1863" t="s">
        <v>24</v>
      </c>
      <c r="H1863" s="3">
        <v>99185.444205885389</v>
      </c>
      <c r="I1863">
        <v>16</v>
      </c>
      <c r="J1863" s="3">
        <v>65206.509942025157</v>
      </c>
      <c r="K1863" s="3">
        <v>33978.934263860217</v>
      </c>
    </row>
    <row r="1864" spans="1:11" x14ac:dyDescent="0.3">
      <c r="A1864" t="s">
        <v>1940</v>
      </c>
      <c r="B1864" s="2">
        <v>45566</v>
      </c>
      <c r="C1864">
        <v>2024</v>
      </c>
      <c r="D1864">
        <v>10</v>
      </c>
      <c r="E1864" t="s">
        <v>62</v>
      </c>
      <c r="F1864" t="s">
        <v>67</v>
      </c>
      <c r="G1864" t="s">
        <v>24</v>
      </c>
      <c r="H1864" s="3">
        <v>40939.684034317797</v>
      </c>
      <c r="I1864">
        <v>7</v>
      </c>
      <c r="J1864" s="3">
        <v>27048.580638455089</v>
      </c>
      <c r="K1864" s="3">
        <v>13891.10339586271</v>
      </c>
    </row>
    <row r="1865" spans="1:11" x14ac:dyDescent="0.3">
      <c r="A1865" t="s">
        <v>1941</v>
      </c>
      <c r="B1865" s="2">
        <v>45566</v>
      </c>
      <c r="C1865">
        <v>2024</v>
      </c>
      <c r="D1865">
        <v>10</v>
      </c>
      <c r="E1865" t="s">
        <v>62</v>
      </c>
      <c r="F1865" t="s">
        <v>48</v>
      </c>
      <c r="G1865" t="s">
        <v>24</v>
      </c>
      <c r="H1865" s="3">
        <v>73873.297202051719</v>
      </c>
      <c r="I1865">
        <v>12</v>
      </c>
      <c r="J1865" s="3">
        <v>48226.420635845003</v>
      </c>
      <c r="K1865" s="3">
        <v>25646.87656620672</v>
      </c>
    </row>
    <row r="1866" spans="1:11" x14ac:dyDescent="0.3">
      <c r="A1866" t="s">
        <v>1942</v>
      </c>
      <c r="B1866" s="2">
        <v>45566</v>
      </c>
      <c r="C1866">
        <v>2024</v>
      </c>
      <c r="D1866">
        <v>10</v>
      </c>
      <c r="E1866" t="s">
        <v>50</v>
      </c>
      <c r="F1866" t="s">
        <v>67</v>
      </c>
      <c r="G1866" t="s">
        <v>29</v>
      </c>
      <c r="H1866" s="3">
        <v>67621.904185887586</v>
      </c>
      <c r="I1866">
        <v>16</v>
      </c>
      <c r="J1866" s="3">
        <v>43010.659773740437</v>
      </c>
      <c r="K1866" s="3">
        <v>24611.244412147142</v>
      </c>
    </row>
    <row r="1867" spans="1:11" x14ac:dyDescent="0.3">
      <c r="A1867" t="s">
        <v>1943</v>
      </c>
      <c r="B1867" s="2">
        <v>45566</v>
      </c>
      <c r="C1867">
        <v>2024</v>
      </c>
      <c r="D1867">
        <v>10</v>
      </c>
      <c r="E1867" t="s">
        <v>50</v>
      </c>
      <c r="F1867" t="s">
        <v>48</v>
      </c>
      <c r="G1867" t="s">
        <v>29</v>
      </c>
      <c r="H1867" s="3">
        <v>120804.3929531302</v>
      </c>
      <c r="I1867">
        <v>28</v>
      </c>
      <c r="J1867" s="3">
        <v>74412.083804021458</v>
      </c>
      <c r="K1867" s="3">
        <v>46392.30914910874</v>
      </c>
    </row>
    <row r="1868" spans="1:11" x14ac:dyDescent="0.3">
      <c r="A1868" t="s">
        <v>1944</v>
      </c>
      <c r="B1868" s="2">
        <v>45566</v>
      </c>
      <c r="C1868">
        <v>2024</v>
      </c>
      <c r="D1868">
        <v>10</v>
      </c>
      <c r="E1868" t="s">
        <v>54</v>
      </c>
      <c r="F1868" t="s">
        <v>67</v>
      </c>
      <c r="G1868" t="s">
        <v>29</v>
      </c>
      <c r="H1868" s="3">
        <v>50000.130062193763</v>
      </c>
      <c r="I1868">
        <v>12</v>
      </c>
      <c r="J1868" s="3">
        <v>32560.95100772502</v>
      </c>
      <c r="K1868" s="3">
        <v>17439.179054468739</v>
      </c>
    </row>
    <row r="1869" spans="1:11" x14ac:dyDescent="0.3">
      <c r="A1869" t="s">
        <v>1945</v>
      </c>
      <c r="B1869" s="2">
        <v>45566</v>
      </c>
      <c r="C1869">
        <v>2024</v>
      </c>
      <c r="D1869">
        <v>10</v>
      </c>
      <c r="E1869" t="s">
        <v>54</v>
      </c>
      <c r="F1869" t="s">
        <v>48</v>
      </c>
      <c r="G1869" t="s">
        <v>29</v>
      </c>
      <c r="H1869" s="3">
        <v>96457.748638829493</v>
      </c>
      <c r="I1869">
        <v>22</v>
      </c>
      <c r="J1869" s="3">
        <v>62064.981209737984</v>
      </c>
      <c r="K1869" s="3">
        <v>34392.767429091517</v>
      </c>
    </row>
    <row r="1870" spans="1:11" x14ac:dyDescent="0.3">
      <c r="A1870" t="s">
        <v>1946</v>
      </c>
      <c r="B1870" s="2">
        <v>45566</v>
      </c>
      <c r="C1870">
        <v>2024</v>
      </c>
      <c r="D1870">
        <v>10</v>
      </c>
      <c r="E1870" t="s">
        <v>58</v>
      </c>
      <c r="F1870" t="s">
        <v>67</v>
      </c>
      <c r="G1870" t="s">
        <v>29</v>
      </c>
      <c r="H1870" s="3">
        <v>38307.877806826647</v>
      </c>
      <c r="I1870">
        <v>9</v>
      </c>
      <c r="J1870" s="3">
        <v>24175.710509764409</v>
      </c>
      <c r="K1870" s="3">
        <v>14132.167297062229</v>
      </c>
    </row>
    <row r="1871" spans="1:11" x14ac:dyDescent="0.3">
      <c r="A1871" t="s">
        <v>1947</v>
      </c>
      <c r="B1871" s="2">
        <v>45566</v>
      </c>
      <c r="C1871">
        <v>2024</v>
      </c>
      <c r="D1871">
        <v>10</v>
      </c>
      <c r="E1871" t="s">
        <v>58</v>
      </c>
      <c r="F1871" t="s">
        <v>48</v>
      </c>
      <c r="G1871" t="s">
        <v>29</v>
      </c>
      <c r="H1871" s="3">
        <v>64329.460016232173</v>
      </c>
      <c r="I1871">
        <v>15</v>
      </c>
      <c r="J1871" s="3">
        <v>42577.960157051777</v>
      </c>
      <c r="K1871" s="3">
        <v>21751.499859180389</v>
      </c>
    </row>
    <row r="1872" spans="1:11" x14ac:dyDescent="0.3">
      <c r="A1872" t="s">
        <v>1948</v>
      </c>
      <c r="B1872" s="2">
        <v>45566</v>
      </c>
      <c r="C1872">
        <v>2024</v>
      </c>
      <c r="D1872">
        <v>10</v>
      </c>
      <c r="E1872" t="s">
        <v>62</v>
      </c>
      <c r="F1872" t="s">
        <v>67</v>
      </c>
      <c r="G1872" t="s">
        <v>29</v>
      </c>
      <c r="H1872" s="3">
        <v>24067.030263009809</v>
      </c>
      <c r="I1872">
        <v>6</v>
      </c>
      <c r="J1872" s="3">
        <v>15427.02487796194</v>
      </c>
      <c r="K1872" s="3">
        <v>8640.0053850478762</v>
      </c>
    </row>
    <row r="1873" spans="1:11" x14ac:dyDescent="0.3">
      <c r="A1873" t="s">
        <v>1949</v>
      </c>
      <c r="B1873" s="2">
        <v>45566</v>
      </c>
      <c r="C1873">
        <v>2024</v>
      </c>
      <c r="D1873">
        <v>10</v>
      </c>
      <c r="E1873" t="s">
        <v>62</v>
      </c>
      <c r="F1873" t="s">
        <v>48</v>
      </c>
      <c r="G1873" t="s">
        <v>29</v>
      </c>
      <c r="H1873" s="3">
        <v>49310.943203221352</v>
      </c>
      <c r="I1873">
        <v>11</v>
      </c>
      <c r="J1873" s="3">
        <v>30970.40979220251</v>
      </c>
      <c r="K1873" s="3">
        <v>18340.533411018841</v>
      </c>
    </row>
    <row r="1874" spans="1:11" x14ac:dyDescent="0.3">
      <c r="A1874" t="s">
        <v>1950</v>
      </c>
      <c r="B1874" s="2">
        <v>45566</v>
      </c>
      <c r="C1874">
        <v>2024</v>
      </c>
      <c r="D1874">
        <v>10</v>
      </c>
      <c r="E1874" t="s">
        <v>50</v>
      </c>
      <c r="F1874" t="s">
        <v>67</v>
      </c>
      <c r="G1874" t="s">
        <v>34</v>
      </c>
      <c r="H1874" s="3">
        <v>60241.784418398631</v>
      </c>
      <c r="I1874">
        <v>71</v>
      </c>
      <c r="J1874" s="3">
        <v>29361.978939480861</v>
      </c>
      <c r="K1874" s="3">
        <v>30879.80547891777</v>
      </c>
    </row>
    <row r="1875" spans="1:11" x14ac:dyDescent="0.3">
      <c r="A1875" t="s">
        <v>1951</v>
      </c>
      <c r="B1875" s="2">
        <v>45566</v>
      </c>
      <c r="C1875">
        <v>2024</v>
      </c>
      <c r="D1875">
        <v>10</v>
      </c>
      <c r="E1875" t="s">
        <v>50</v>
      </c>
      <c r="F1875" t="s">
        <v>48</v>
      </c>
      <c r="G1875" t="s">
        <v>34</v>
      </c>
      <c r="H1875" s="3">
        <v>110608.366086464</v>
      </c>
      <c r="I1875">
        <v>130</v>
      </c>
      <c r="J1875" s="3">
        <v>53472.413000541557</v>
      </c>
      <c r="K1875" s="3">
        <v>57135.953085922403</v>
      </c>
    </row>
    <row r="1876" spans="1:11" x14ac:dyDescent="0.3">
      <c r="A1876" t="s">
        <v>1952</v>
      </c>
      <c r="B1876" s="2">
        <v>45566</v>
      </c>
      <c r="C1876">
        <v>2024</v>
      </c>
      <c r="D1876">
        <v>10</v>
      </c>
      <c r="E1876" t="s">
        <v>54</v>
      </c>
      <c r="F1876" t="s">
        <v>67</v>
      </c>
      <c r="G1876" t="s">
        <v>34</v>
      </c>
      <c r="H1876" s="3">
        <v>48031.276876085118</v>
      </c>
      <c r="I1876">
        <v>57</v>
      </c>
      <c r="J1876" s="3">
        <v>23218.75974032213</v>
      </c>
      <c r="K1876" s="3">
        <v>24812.517135762992</v>
      </c>
    </row>
    <row r="1877" spans="1:11" x14ac:dyDescent="0.3">
      <c r="A1877" t="s">
        <v>1953</v>
      </c>
      <c r="B1877" s="2">
        <v>45566</v>
      </c>
      <c r="C1877">
        <v>2024</v>
      </c>
      <c r="D1877">
        <v>10</v>
      </c>
      <c r="E1877" t="s">
        <v>54</v>
      </c>
      <c r="F1877" t="s">
        <v>48</v>
      </c>
      <c r="G1877" t="s">
        <v>34</v>
      </c>
      <c r="H1877" s="3">
        <v>90526.358914385273</v>
      </c>
      <c r="I1877">
        <v>107</v>
      </c>
      <c r="J1877" s="3">
        <v>43119.648494499961</v>
      </c>
      <c r="K1877" s="3">
        <v>47406.710419885312</v>
      </c>
    </row>
    <row r="1878" spans="1:11" x14ac:dyDescent="0.3">
      <c r="A1878" t="s">
        <v>1954</v>
      </c>
      <c r="B1878" s="2">
        <v>45566</v>
      </c>
      <c r="C1878">
        <v>2024</v>
      </c>
      <c r="D1878">
        <v>10</v>
      </c>
      <c r="E1878" t="s">
        <v>58</v>
      </c>
      <c r="F1878" t="s">
        <v>67</v>
      </c>
      <c r="G1878" t="s">
        <v>34</v>
      </c>
      <c r="H1878" s="3">
        <v>32497.149038668791</v>
      </c>
      <c r="I1878">
        <v>38</v>
      </c>
      <c r="J1878" s="3">
        <v>15725.119641049419</v>
      </c>
      <c r="K1878" s="3">
        <v>16772.029397619372</v>
      </c>
    </row>
    <row r="1879" spans="1:11" x14ac:dyDescent="0.3">
      <c r="A1879" t="s">
        <v>1955</v>
      </c>
      <c r="B1879" s="2">
        <v>45566</v>
      </c>
      <c r="C1879">
        <v>2024</v>
      </c>
      <c r="D1879">
        <v>10</v>
      </c>
      <c r="E1879" t="s">
        <v>58</v>
      </c>
      <c r="F1879" t="s">
        <v>48</v>
      </c>
      <c r="G1879" t="s">
        <v>34</v>
      </c>
      <c r="H1879" s="3">
        <v>67191.503674873762</v>
      </c>
      <c r="I1879">
        <v>79</v>
      </c>
      <c r="J1879" s="3">
        <v>32099.96202178848</v>
      </c>
      <c r="K1879" s="3">
        <v>35091.541653085282</v>
      </c>
    </row>
    <row r="1880" spans="1:11" x14ac:dyDescent="0.3">
      <c r="A1880" t="s">
        <v>1956</v>
      </c>
      <c r="B1880" s="2">
        <v>45566</v>
      </c>
      <c r="C1880">
        <v>2024</v>
      </c>
      <c r="D1880">
        <v>10</v>
      </c>
      <c r="E1880" t="s">
        <v>62</v>
      </c>
      <c r="F1880" t="s">
        <v>67</v>
      </c>
      <c r="G1880" t="s">
        <v>34</v>
      </c>
      <c r="H1880" s="3">
        <v>24043.27566421697</v>
      </c>
      <c r="I1880">
        <v>28</v>
      </c>
      <c r="J1880" s="3">
        <v>11656.26020571289</v>
      </c>
      <c r="K1880" s="3">
        <v>12387.01545850408</v>
      </c>
    </row>
    <row r="1881" spans="1:11" x14ac:dyDescent="0.3">
      <c r="A1881" t="s">
        <v>1957</v>
      </c>
      <c r="B1881" s="2">
        <v>45566</v>
      </c>
      <c r="C1881">
        <v>2024</v>
      </c>
      <c r="D1881">
        <v>10</v>
      </c>
      <c r="E1881" t="s">
        <v>62</v>
      </c>
      <c r="F1881" t="s">
        <v>48</v>
      </c>
      <c r="G1881" t="s">
        <v>34</v>
      </c>
      <c r="H1881" s="3">
        <v>44957.13857163614</v>
      </c>
      <c r="I1881">
        <v>53</v>
      </c>
      <c r="J1881" s="3">
        <v>20839.4895549178</v>
      </c>
      <c r="K1881" s="3">
        <v>24117.64901671834</v>
      </c>
    </row>
    <row r="1882" spans="1:11" x14ac:dyDescent="0.3">
      <c r="A1882" t="s">
        <v>1958</v>
      </c>
      <c r="B1882" s="2">
        <v>45566</v>
      </c>
      <c r="C1882">
        <v>2024</v>
      </c>
      <c r="D1882">
        <v>10</v>
      </c>
      <c r="E1882" t="s">
        <v>50</v>
      </c>
      <c r="F1882" t="s">
        <v>67</v>
      </c>
      <c r="G1882" t="s">
        <v>37</v>
      </c>
      <c r="H1882" s="3">
        <v>50572.950681038732</v>
      </c>
      <c r="I1882">
        <v>70</v>
      </c>
      <c r="J1882" s="3">
        <v>27597.894488245231</v>
      </c>
      <c r="K1882" s="3">
        <v>22975.056192793501</v>
      </c>
    </row>
    <row r="1883" spans="1:11" x14ac:dyDescent="0.3">
      <c r="A1883" t="s">
        <v>1959</v>
      </c>
      <c r="B1883" s="2">
        <v>45566</v>
      </c>
      <c r="C1883">
        <v>2024</v>
      </c>
      <c r="D1883">
        <v>10</v>
      </c>
      <c r="E1883" t="s">
        <v>50</v>
      </c>
      <c r="F1883" t="s">
        <v>48</v>
      </c>
      <c r="G1883" t="s">
        <v>37</v>
      </c>
      <c r="H1883" s="3">
        <v>84316.289217534417</v>
      </c>
      <c r="I1883">
        <v>117</v>
      </c>
      <c r="J1883" s="3">
        <v>47811.495769955967</v>
      </c>
      <c r="K1883" s="3">
        <v>36504.793447578442</v>
      </c>
    </row>
    <row r="1884" spans="1:11" x14ac:dyDescent="0.3">
      <c r="A1884" t="s">
        <v>1960</v>
      </c>
      <c r="B1884" s="2">
        <v>45566</v>
      </c>
      <c r="C1884">
        <v>2024</v>
      </c>
      <c r="D1884">
        <v>10</v>
      </c>
      <c r="E1884" t="s">
        <v>54</v>
      </c>
      <c r="F1884" t="s">
        <v>67</v>
      </c>
      <c r="G1884" t="s">
        <v>37</v>
      </c>
      <c r="H1884" s="3">
        <v>38673.401751792167</v>
      </c>
      <c r="I1884">
        <v>54</v>
      </c>
      <c r="J1884" s="3">
        <v>20976.686395538829</v>
      </c>
      <c r="K1884" s="3">
        <v>17696.715356253339</v>
      </c>
    </row>
    <row r="1885" spans="1:11" x14ac:dyDescent="0.3">
      <c r="A1885" t="s">
        <v>1961</v>
      </c>
      <c r="B1885" s="2">
        <v>45566</v>
      </c>
      <c r="C1885">
        <v>2024</v>
      </c>
      <c r="D1885">
        <v>10</v>
      </c>
      <c r="E1885" t="s">
        <v>54</v>
      </c>
      <c r="F1885" t="s">
        <v>48</v>
      </c>
      <c r="G1885" t="s">
        <v>37</v>
      </c>
      <c r="H1885" s="3">
        <v>70740.239278315828</v>
      </c>
      <c r="I1885">
        <v>98</v>
      </c>
      <c r="J1885" s="3">
        <v>38484.246513137921</v>
      </c>
      <c r="K1885" s="3">
        <v>32255.992765177911</v>
      </c>
    </row>
    <row r="1886" spans="1:11" x14ac:dyDescent="0.3">
      <c r="A1886" t="s">
        <v>1962</v>
      </c>
      <c r="B1886" s="2">
        <v>45566</v>
      </c>
      <c r="C1886">
        <v>2024</v>
      </c>
      <c r="D1886">
        <v>10</v>
      </c>
      <c r="E1886" t="s">
        <v>58</v>
      </c>
      <c r="F1886" t="s">
        <v>67</v>
      </c>
      <c r="G1886" t="s">
        <v>37</v>
      </c>
      <c r="H1886" s="3">
        <v>24560.52496007811</v>
      </c>
      <c r="I1886">
        <v>34</v>
      </c>
      <c r="J1886" s="3">
        <v>13399.36728826487</v>
      </c>
      <c r="K1886" s="3">
        <v>11161.15767181324</v>
      </c>
    </row>
    <row r="1887" spans="1:11" x14ac:dyDescent="0.3">
      <c r="A1887" t="s">
        <v>1963</v>
      </c>
      <c r="B1887" s="2">
        <v>45566</v>
      </c>
      <c r="C1887">
        <v>2024</v>
      </c>
      <c r="D1887">
        <v>10</v>
      </c>
      <c r="E1887" t="s">
        <v>58</v>
      </c>
      <c r="F1887" t="s">
        <v>48</v>
      </c>
      <c r="G1887" t="s">
        <v>37</v>
      </c>
      <c r="H1887" s="3">
        <v>47516.349372313518</v>
      </c>
      <c r="I1887">
        <v>66</v>
      </c>
      <c r="J1887" s="3">
        <v>25562.532942324538</v>
      </c>
      <c r="K1887" s="3">
        <v>21953.81642998898</v>
      </c>
    </row>
    <row r="1888" spans="1:11" x14ac:dyDescent="0.3">
      <c r="A1888" t="s">
        <v>1964</v>
      </c>
      <c r="B1888" s="2">
        <v>45566</v>
      </c>
      <c r="C1888">
        <v>2024</v>
      </c>
      <c r="D1888">
        <v>10</v>
      </c>
      <c r="E1888" t="s">
        <v>62</v>
      </c>
      <c r="F1888" t="s">
        <v>67</v>
      </c>
      <c r="G1888" t="s">
        <v>37</v>
      </c>
      <c r="H1888" s="3">
        <v>19267.27932616161</v>
      </c>
      <c r="I1888">
        <v>27</v>
      </c>
      <c r="J1888" s="3">
        <v>10175.782760181681</v>
      </c>
      <c r="K1888" s="3">
        <v>9091.4965659799345</v>
      </c>
    </row>
    <row r="1889" spans="1:11" x14ac:dyDescent="0.3">
      <c r="A1889" t="s">
        <v>1965</v>
      </c>
      <c r="B1889" s="2">
        <v>45566</v>
      </c>
      <c r="C1889">
        <v>2024</v>
      </c>
      <c r="D1889">
        <v>10</v>
      </c>
      <c r="E1889" t="s">
        <v>62</v>
      </c>
      <c r="F1889" t="s">
        <v>48</v>
      </c>
      <c r="G1889" t="s">
        <v>37</v>
      </c>
      <c r="H1889" s="3">
        <v>36542.00961874416</v>
      </c>
      <c r="I1889">
        <v>51</v>
      </c>
      <c r="J1889" s="3">
        <v>20014.686995420561</v>
      </c>
      <c r="K1889" s="3">
        <v>16527.322623323598</v>
      </c>
    </row>
    <row r="1890" spans="1:11" x14ac:dyDescent="0.3">
      <c r="A1890" t="s">
        <v>1966</v>
      </c>
      <c r="B1890" s="2">
        <v>45566</v>
      </c>
      <c r="C1890">
        <v>2024</v>
      </c>
      <c r="D1890">
        <v>10</v>
      </c>
      <c r="E1890" t="s">
        <v>50</v>
      </c>
      <c r="F1890" t="s">
        <v>67</v>
      </c>
      <c r="G1890" t="s">
        <v>40</v>
      </c>
      <c r="H1890" s="3">
        <v>44676.894285686089</v>
      </c>
      <c r="I1890">
        <v>8</v>
      </c>
      <c r="J1890" s="3">
        <v>30902.443689045838</v>
      </c>
      <c r="K1890" s="3">
        <v>13774.45059664025</v>
      </c>
    </row>
    <row r="1891" spans="1:11" x14ac:dyDescent="0.3">
      <c r="A1891" t="s">
        <v>1967</v>
      </c>
      <c r="B1891" s="2">
        <v>45566</v>
      </c>
      <c r="C1891">
        <v>2024</v>
      </c>
      <c r="D1891">
        <v>10</v>
      </c>
      <c r="E1891" t="s">
        <v>50</v>
      </c>
      <c r="F1891" t="s">
        <v>48</v>
      </c>
      <c r="G1891" t="s">
        <v>40</v>
      </c>
      <c r="H1891" s="3">
        <v>89355.880563254337</v>
      </c>
      <c r="I1891">
        <v>17</v>
      </c>
      <c r="J1891" s="3">
        <v>61597.287461659827</v>
      </c>
      <c r="K1891" s="3">
        <v>27758.593101594499</v>
      </c>
    </row>
    <row r="1892" spans="1:11" x14ac:dyDescent="0.3">
      <c r="A1892" t="s">
        <v>1968</v>
      </c>
      <c r="B1892" s="2">
        <v>45566</v>
      </c>
      <c r="C1892">
        <v>2024</v>
      </c>
      <c r="D1892">
        <v>10</v>
      </c>
      <c r="E1892" t="s">
        <v>54</v>
      </c>
      <c r="F1892" t="s">
        <v>67</v>
      </c>
      <c r="G1892" t="s">
        <v>40</v>
      </c>
      <c r="H1892" s="3">
        <v>38184.369216042724</v>
      </c>
      <c r="I1892">
        <v>7</v>
      </c>
      <c r="J1892" s="3">
        <v>26278.5061205282</v>
      </c>
      <c r="K1892" s="3">
        <v>11905.863095514511</v>
      </c>
    </row>
    <row r="1893" spans="1:11" x14ac:dyDescent="0.3">
      <c r="A1893" t="s">
        <v>1969</v>
      </c>
      <c r="B1893" s="2">
        <v>45566</v>
      </c>
      <c r="C1893">
        <v>2024</v>
      </c>
      <c r="D1893">
        <v>10</v>
      </c>
      <c r="E1893" t="s">
        <v>54</v>
      </c>
      <c r="F1893" t="s">
        <v>48</v>
      </c>
      <c r="G1893" t="s">
        <v>40</v>
      </c>
      <c r="H1893" s="3">
        <v>68633.025018700559</v>
      </c>
      <c r="I1893">
        <v>13</v>
      </c>
      <c r="J1893" s="3">
        <v>47393.476255463873</v>
      </c>
      <c r="K1893" s="3">
        <v>21239.548763236689</v>
      </c>
    </row>
    <row r="1894" spans="1:11" x14ac:dyDescent="0.3">
      <c r="A1894" t="s">
        <v>1970</v>
      </c>
      <c r="B1894" s="2">
        <v>45566</v>
      </c>
      <c r="C1894">
        <v>2024</v>
      </c>
      <c r="D1894">
        <v>10</v>
      </c>
      <c r="E1894" t="s">
        <v>58</v>
      </c>
      <c r="F1894" t="s">
        <v>67</v>
      </c>
      <c r="G1894" t="s">
        <v>40</v>
      </c>
      <c r="H1894" s="3">
        <v>28383.72431598918</v>
      </c>
      <c r="I1894">
        <v>5</v>
      </c>
      <c r="J1894" s="3">
        <v>19945.34784334795</v>
      </c>
      <c r="K1894" s="3">
        <v>8438.3764726412264</v>
      </c>
    </row>
    <row r="1895" spans="1:11" x14ac:dyDescent="0.3">
      <c r="A1895" t="s">
        <v>1971</v>
      </c>
      <c r="B1895" s="2">
        <v>45566</v>
      </c>
      <c r="C1895">
        <v>2024</v>
      </c>
      <c r="D1895">
        <v>10</v>
      </c>
      <c r="E1895" t="s">
        <v>58</v>
      </c>
      <c r="F1895" t="s">
        <v>48</v>
      </c>
      <c r="G1895" t="s">
        <v>40</v>
      </c>
      <c r="H1895" s="3">
        <v>47567.863390565231</v>
      </c>
      <c r="I1895">
        <v>9</v>
      </c>
      <c r="J1895" s="3">
        <v>32709.311491998262</v>
      </c>
      <c r="K1895" s="3">
        <v>14858.55189856697</v>
      </c>
    </row>
    <row r="1896" spans="1:11" x14ac:dyDescent="0.3">
      <c r="A1896" t="s">
        <v>1972</v>
      </c>
      <c r="B1896" s="2">
        <v>45566</v>
      </c>
      <c r="C1896">
        <v>2024</v>
      </c>
      <c r="D1896">
        <v>10</v>
      </c>
      <c r="E1896" t="s">
        <v>62</v>
      </c>
      <c r="F1896" t="s">
        <v>67</v>
      </c>
      <c r="G1896" t="s">
        <v>40</v>
      </c>
      <c r="H1896" s="3">
        <v>17848.480222488299</v>
      </c>
      <c r="I1896">
        <v>3</v>
      </c>
      <c r="J1896" s="3">
        <v>12188.189804598571</v>
      </c>
      <c r="K1896" s="3">
        <v>5660.2904178897325</v>
      </c>
    </row>
    <row r="1897" spans="1:11" x14ac:dyDescent="0.3">
      <c r="A1897" t="s">
        <v>1973</v>
      </c>
      <c r="B1897" s="2">
        <v>45566</v>
      </c>
      <c r="C1897">
        <v>2024</v>
      </c>
      <c r="D1897">
        <v>10</v>
      </c>
      <c r="E1897" t="s">
        <v>62</v>
      </c>
      <c r="F1897" t="s">
        <v>48</v>
      </c>
      <c r="G1897" t="s">
        <v>40</v>
      </c>
      <c r="H1897" s="3">
        <v>34983.130782303029</v>
      </c>
      <c r="I1897">
        <v>6</v>
      </c>
      <c r="J1897" s="3">
        <v>24016.21389170644</v>
      </c>
      <c r="K1897" s="3">
        <v>10966.916890596591</v>
      </c>
    </row>
    <row r="1898" spans="1:11" x14ac:dyDescent="0.3">
      <c r="A1898" t="s">
        <v>1974</v>
      </c>
      <c r="B1898" s="2">
        <v>45566</v>
      </c>
      <c r="C1898">
        <v>2024</v>
      </c>
      <c r="D1898">
        <v>10</v>
      </c>
      <c r="E1898" t="s">
        <v>50</v>
      </c>
      <c r="F1898" t="s">
        <v>67</v>
      </c>
      <c r="G1898" t="s">
        <v>43</v>
      </c>
      <c r="H1898" s="3">
        <v>92224.700270061134</v>
      </c>
      <c r="I1898">
        <v>26</v>
      </c>
      <c r="J1898" s="3">
        <v>54980.000622434098</v>
      </c>
      <c r="K1898" s="3">
        <v>37244.699647627043</v>
      </c>
    </row>
    <row r="1899" spans="1:11" x14ac:dyDescent="0.3">
      <c r="A1899" t="s">
        <v>1975</v>
      </c>
      <c r="B1899" s="2">
        <v>45566</v>
      </c>
      <c r="C1899">
        <v>2024</v>
      </c>
      <c r="D1899">
        <v>10</v>
      </c>
      <c r="E1899" t="s">
        <v>50</v>
      </c>
      <c r="F1899" t="s">
        <v>48</v>
      </c>
      <c r="G1899" t="s">
        <v>43</v>
      </c>
      <c r="H1899" s="3">
        <v>166111.13982519699</v>
      </c>
      <c r="I1899">
        <v>47</v>
      </c>
      <c r="J1899" s="3">
        <v>100496.5295438929</v>
      </c>
      <c r="K1899" s="3">
        <v>65614.610281304049</v>
      </c>
    </row>
    <row r="1900" spans="1:11" x14ac:dyDescent="0.3">
      <c r="A1900" t="s">
        <v>1976</v>
      </c>
      <c r="B1900" s="2">
        <v>45566</v>
      </c>
      <c r="C1900">
        <v>2024</v>
      </c>
      <c r="D1900">
        <v>10</v>
      </c>
      <c r="E1900" t="s">
        <v>54</v>
      </c>
      <c r="F1900" t="s">
        <v>67</v>
      </c>
      <c r="G1900" t="s">
        <v>43</v>
      </c>
      <c r="H1900" s="3">
        <v>75728.328793356399</v>
      </c>
      <c r="I1900">
        <v>22</v>
      </c>
      <c r="J1900" s="3">
        <v>44174.538901109598</v>
      </c>
      <c r="K1900" s="3">
        <v>31553.789892246801</v>
      </c>
    </row>
    <row r="1901" spans="1:11" x14ac:dyDescent="0.3">
      <c r="A1901" t="s">
        <v>1977</v>
      </c>
      <c r="B1901" s="2">
        <v>45566</v>
      </c>
      <c r="C1901">
        <v>2024</v>
      </c>
      <c r="D1901">
        <v>10</v>
      </c>
      <c r="E1901" t="s">
        <v>54</v>
      </c>
      <c r="F1901" t="s">
        <v>48</v>
      </c>
      <c r="G1901" t="s">
        <v>43</v>
      </c>
      <c r="H1901" s="3">
        <v>141344.90781018039</v>
      </c>
      <c r="I1901">
        <v>40</v>
      </c>
      <c r="J1901" s="3">
        <v>83542.003426019844</v>
      </c>
      <c r="K1901" s="3">
        <v>57802.904384160604</v>
      </c>
    </row>
    <row r="1902" spans="1:11" x14ac:dyDescent="0.3">
      <c r="A1902" t="s">
        <v>1978</v>
      </c>
      <c r="B1902" s="2">
        <v>45566</v>
      </c>
      <c r="C1902">
        <v>2024</v>
      </c>
      <c r="D1902">
        <v>10</v>
      </c>
      <c r="E1902" t="s">
        <v>58</v>
      </c>
      <c r="F1902" t="s">
        <v>67</v>
      </c>
      <c r="G1902" t="s">
        <v>43</v>
      </c>
      <c r="H1902" s="3">
        <v>50405.542413268631</v>
      </c>
      <c r="I1902">
        <v>14</v>
      </c>
      <c r="J1902" s="3">
        <v>29920.39508377399</v>
      </c>
      <c r="K1902" s="3">
        <v>20485.147329494641</v>
      </c>
    </row>
    <row r="1903" spans="1:11" x14ac:dyDescent="0.3">
      <c r="A1903" t="s">
        <v>1979</v>
      </c>
      <c r="B1903" s="2">
        <v>45566</v>
      </c>
      <c r="C1903">
        <v>2024</v>
      </c>
      <c r="D1903">
        <v>10</v>
      </c>
      <c r="E1903" t="s">
        <v>58</v>
      </c>
      <c r="F1903" t="s">
        <v>48</v>
      </c>
      <c r="G1903" t="s">
        <v>43</v>
      </c>
      <c r="H1903" s="3">
        <v>92679.679084571238</v>
      </c>
      <c r="I1903">
        <v>26</v>
      </c>
      <c r="J1903" s="3">
        <v>53704.057625696107</v>
      </c>
      <c r="K1903" s="3">
        <v>38975.621458875132</v>
      </c>
    </row>
    <row r="1904" spans="1:11" x14ac:dyDescent="0.3">
      <c r="A1904" t="s">
        <v>1980</v>
      </c>
      <c r="B1904" s="2">
        <v>45566</v>
      </c>
      <c r="C1904">
        <v>2024</v>
      </c>
      <c r="D1904">
        <v>10</v>
      </c>
      <c r="E1904" t="s">
        <v>62</v>
      </c>
      <c r="F1904" t="s">
        <v>67</v>
      </c>
      <c r="G1904" t="s">
        <v>43</v>
      </c>
      <c r="H1904" s="3">
        <v>40176.995717464873</v>
      </c>
      <c r="I1904">
        <v>11</v>
      </c>
      <c r="J1904" s="3">
        <v>23713.139063973631</v>
      </c>
      <c r="K1904" s="3">
        <v>16463.856653491232</v>
      </c>
    </row>
    <row r="1905" spans="1:11" x14ac:dyDescent="0.3">
      <c r="A1905" t="s">
        <v>1981</v>
      </c>
      <c r="B1905" s="2">
        <v>45566</v>
      </c>
      <c r="C1905">
        <v>2024</v>
      </c>
      <c r="D1905">
        <v>10</v>
      </c>
      <c r="E1905" t="s">
        <v>62</v>
      </c>
      <c r="F1905" t="s">
        <v>48</v>
      </c>
      <c r="G1905" t="s">
        <v>43</v>
      </c>
      <c r="H1905" s="3">
        <v>65179.565703556007</v>
      </c>
      <c r="I1905">
        <v>19</v>
      </c>
      <c r="J1905" s="3">
        <v>37441.394079251462</v>
      </c>
      <c r="K1905" s="3">
        <v>27738.171624304548</v>
      </c>
    </row>
    <row r="1906" spans="1:11" x14ac:dyDescent="0.3">
      <c r="A1906" t="s">
        <v>1982</v>
      </c>
      <c r="B1906" s="2">
        <v>45597</v>
      </c>
      <c r="C1906">
        <v>2024</v>
      </c>
      <c r="D1906">
        <v>11</v>
      </c>
      <c r="E1906" t="s">
        <v>50</v>
      </c>
      <c r="F1906" t="s">
        <v>67</v>
      </c>
      <c r="G1906" t="s">
        <v>19</v>
      </c>
      <c r="H1906" s="3">
        <v>107170.84777575859</v>
      </c>
      <c r="I1906">
        <v>21</v>
      </c>
      <c r="J1906" s="3">
        <v>64330.094292733913</v>
      </c>
      <c r="K1906" s="3">
        <v>42840.75348302468</v>
      </c>
    </row>
    <row r="1907" spans="1:11" x14ac:dyDescent="0.3">
      <c r="A1907" t="s">
        <v>1983</v>
      </c>
      <c r="B1907" s="2">
        <v>45597</v>
      </c>
      <c r="C1907">
        <v>2024</v>
      </c>
      <c r="D1907">
        <v>11</v>
      </c>
      <c r="E1907" t="s">
        <v>50</v>
      </c>
      <c r="F1907" t="s">
        <v>48</v>
      </c>
      <c r="G1907" t="s">
        <v>19</v>
      </c>
      <c r="H1907" s="3">
        <v>198942.36634324721</v>
      </c>
      <c r="I1907">
        <v>38</v>
      </c>
      <c r="J1907" s="3">
        <v>124158.5163371044</v>
      </c>
      <c r="K1907" s="3">
        <v>74783.850006142791</v>
      </c>
    </row>
    <row r="1908" spans="1:11" x14ac:dyDescent="0.3">
      <c r="A1908" t="s">
        <v>1984</v>
      </c>
      <c r="B1908" s="2">
        <v>45597</v>
      </c>
      <c r="C1908">
        <v>2024</v>
      </c>
      <c r="D1908">
        <v>11</v>
      </c>
      <c r="E1908" t="s">
        <v>54</v>
      </c>
      <c r="F1908" t="s">
        <v>67</v>
      </c>
      <c r="G1908" t="s">
        <v>19</v>
      </c>
      <c r="H1908" s="3">
        <v>78835.86560353823</v>
      </c>
      <c r="I1908">
        <v>15</v>
      </c>
      <c r="J1908" s="3">
        <v>48540.500505913507</v>
      </c>
      <c r="K1908" s="3">
        <v>30295.365097624719</v>
      </c>
    </row>
    <row r="1909" spans="1:11" x14ac:dyDescent="0.3">
      <c r="A1909" t="s">
        <v>1985</v>
      </c>
      <c r="B1909" s="2">
        <v>45597</v>
      </c>
      <c r="C1909">
        <v>2024</v>
      </c>
      <c r="D1909">
        <v>11</v>
      </c>
      <c r="E1909" t="s">
        <v>54</v>
      </c>
      <c r="F1909" t="s">
        <v>48</v>
      </c>
      <c r="G1909" t="s">
        <v>19</v>
      </c>
      <c r="H1909" s="3">
        <v>149913.6997685188</v>
      </c>
      <c r="I1909">
        <v>29</v>
      </c>
      <c r="J1909" s="3">
        <v>93284.916440438217</v>
      </c>
      <c r="K1909" s="3">
        <v>56628.783328080608</v>
      </c>
    </row>
    <row r="1910" spans="1:11" x14ac:dyDescent="0.3">
      <c r="A1910" t="s">
        <v>1986</v>
      </c>
      <c r="B1910" s="2">
        <v>45597</v>
      </c>
      <c r="C1910">
        <v>2024</v>
      </c>
      <c r="D1910">
        <v>11</v>
      </c>
      <c r="E1910" t="s">
        <v>58</v>
      </c>
      <c r="F1910" t="s">
        <v>67</v>
      </c>
      <c r="G1910" t="s">
        <v>19</v>
      </c>
      <c r="H1910" s="3">
        <v>58483.959397305996</v>
      </c>
      <c r="I1910">
        <v>11</v>
      </c>
      <c r="J1910" s="3">
        <v>36248.375115075818</v>
      </c>
      <c r="K1910" s="3">
        <v>22235.584282230178</v>
      </c>
    </row>
    <row r="1911" spans="1:11" x14ac:dyDescent="0.3">
      <c r="A1911" t="s">
        <v>1987</v>
      </c>
      <c r="B1911" s="2">
        <v>45597</v>
      </c>
      <c r="C1911">
        <v>2024</v>
      </c>
      <c r="D1911">
        <v>11</v>
      </c>
      <c r="E1911" t="s">
        <v>58</v>
      </c>
      <c r="F1911" t="s">
        <v>48</v>
      </c>
      <c r="G1911" t="s">
        <v>19</v>
      </c>
      <c r="H1911" s="3">
        <v>99327.986486740469</v>
      </c>
      <c r="I1911">
        <v>19</v>
      </c>
      <c r="J1911" s="3">
        <v>60501.011846412162</v>
      </c>
      <c r="K1911" s="3">
        <v>38826.974640328313</v>
      </c>
    </row>
    <row r="1912" spans="1:11" x14ac:dyDescent="0.3">
      <c r="A1912" t="s">
        <v>1988</v>
      </c>
      <c r="B1912" s="2">
        <v>45597</v>
      </c>
      <c r="C1912">
        <v>2024</v>
      </c>
      <c r="D1912">
        <v>11</v>
      </c>
      <c r="E1912" t="s">
        <v>62</v>
      </c>
      <c r="F1912" t="s">
        <v>67</v>
      </c>
      <c r="G1912" t="s">
        <v>19</v>
      </c>
      <c r="H1912" s="3">
        <v>40989.133295602529</v>
      </c>
      <c r="I1912">
        <v>8</v>
      </c>
      <c r="J1912" s="3">
        <v>25392.561572965529</v>
      </c>
      <c r="K1912" s="3">
        <v>15596.571722637</v>
      </c>
    </row>
    <row r="1913" spans="1:11" x14ac:dyDescent="0.3">
      <c r="A1913" t="s">
        <v>1989</v>
      </c>
      <c r="B1913" s="2">
        <v>45597</v>
      </c>
      <c r="C1913">
        <v>2024</v>
      </c>
      <c r="D1913">
        <v>11</v>
      </c>
      <c r="E1913" t="s">
        <v>62</v>
      </c>
      <c r="F1913" t="s">
        <v>48</v>
      </c>
      <c r="G1913" t="s">
        <v>19</v>
      </c>
      <c r="H1913" s="3">
        <v>68900.860951259107</v>
      </c>
      <c r="I1913">
        <v>13</v>
      </c>
      <c r="J1913" s="3">
        <v>41770.360754019654</v>
      </c>
      <c r="K1913" s="3">
        <v>27130.500197239449</v>
      </c>
    </row>
    <row r="1914" spans="1:11" x14ac:dyDescent="0.3">
      <c r="A1914" t="s">
        <v>1990</v>
      </c>
      <c r="B1914" s="2">
        <v>45597</v>
      </c>
      <c r="C1914">
        <v>2024</v>
      </c>
      <c r="D1914">
        <v>11</v>
      </c>
      <c r="E1914" t="s">
        <v>50</v>
      </c>
      <c r="F1914" t="s">
        <v>67</v>
      </c>
      <c r="G1914" t="s">
        <v>24</v>
      </c>
      <c r="H1914" s="3">
        <v>98589.969954710716</v>
      </c>
      <c r="I1914">
        <v>16</v>
      </c>
      <c r="J1914" s="3">
        <v>66698.554935149383</v>
      </c>
      <c r="K1914" s="3">
        <v>31891.415019561329</v>
      </c>
    </row>
    <row r="1915" spans="1:11" x14ac:dyDescent="0.3">
      <c r="A1915" t="s">
        <v>1991</v>
      </c>
      <c r="B1915" s="2">
        <v>45597</v>
      </c>
      <c r="C1915">
        <v>2024</v>
      </c>
      <c r="D1915">
        <v>11</v>
      </c>
      <c r="E1915" t="s">
        <v>50</v>
      </c>
      <c r="F1915" t="s">
        <v>48</v>
      </c>
      <c r="G1915" t="s">
        <v>24</v>
      </c>
      <c r="H1915" s="3">
        <v>188374.71519837959</v>
      </c>
      <c r="I1915">
        <v>31</v>
      </c>
      <c r="J1915" s="3">
        <v>121292.7973638688</v>
      </c>
      <c r="K1915" s="3">
        <v>67081.91783451075</v>
      </c>
    </row>
    <row r="1916" spans="1:11" x14ac:dyDescent="0.3">
      <c r="A1916" t="s">
        <v>1992</v>
      </c>
      <c r="B1916" s="2">
        <v>45597</v>
      </c>
      <c r="C1916">
        <v>2024</v>
      </c>
      <c r="D1916">
        <v>11</v>
      </c>
      <c r="E1916" t="s">
        <v>54</v>
      </c>
      <c r="F1916" t="s">
        <v>67</v>
      </c>
      <c r="G1916" t="s">
        <v>24</v>
      </c>
      <c r="H1916" s="3">
        <v>77643.759175379586</v>
      </c>
      <c r="I1916">
        <v>13</v>
      </c>
      <c r="J1916" s="3">
        <v>51064.287183131972</v>
      </c>
      <c r="K1916" s="3">
        <v>26579.471992247611</v>
      </c>
    </row>
    <row r="1917" spans="1:11" x14ac:dyDescent="0.3">
      <c r="A1917" t="s">
        <v>1993</v>
      </c>
      <c r="B1917" s="2">
        <v>45597</v>
      </c>
      <c r="C1917">
        <v>2024</v>
      </c>
      <c r="D1917">
        <v>11</v>
      </c>
      <c r="E1917" t="s">
        <v>54</v>
      </c>
      <c r="F1917" t="s">
        <v>48</v>
      </c>
      <c r="G1917" t="s">
        <v>24</v>
      </c>
      <c r="H1917" s="3">
        <v>160506.72817948149</v>
      </c>
      <c r="I1917">
        <v>26</v>
      </c>
      <c r="J1917" s="3">
        <v>103947.01636109161</v>
      </c>
      <c r="K1917" s="3">
        <v>56559.711818389842</v>
      </c>
    </row>
    <row r="1918" spans="1:11" x14ac:dyDescent="0.3">
      <c r="A1918" t="s">
        <v>1994</v>
      </c>
      <c r="B1918" s="2">
        <v>45597</v>
      </c>
      <c r="C1918">
        <v>2024</v>
      </c>
      <c r="D1918">
        <v>11</v>
      </c>
      <c r="E1918" t="s">
        <v>58</v>
      </c>
      <c r="F1918" t="s">
        <v>67</v>
      </c>
      <c r="G1918" t="s">
        <v>24</v>
      </c>
      <c r="H1918" s="3">
        <v>62200.986481887172</v>
      </c>
      <c r="I1918">
        <v>10</v>
      </c>
      <c r="J1918" s="3">
        <v>41474.162503200707</v>
      </c>
      <c r="K1918" s="3">
        <v>20726.823978686461</v>
      </c>
    </row>
    <row r="1919" spans="1:11" x14ac:dyDescent="0.3">
      <c r="A1919" t="s">
        <v>1995</v>
      </c>
      <c r="B1919" s="2">
        <v>45597</v>
      </c>
      <c r="C1919">
        <v>2024</v>
      </c>
      <c r="D1919">
        <v>11</v>
      </c>
      <c r="E1919" t="s">
        <v>58</v>
      </c>
      <c r="F1919" t="s">
        <v>48</v>
      </c>
      <c r="G1919" t="s">
        <v>24</v>
      </c>
      <c r="H1919" s="3">
        <v>101328.8983429645</v>
      </c>
      <c r="I1919">
        <v>17</v>
      </c>
      <c r="J1919" s="3">
        <v>66478.100026704939</v>
      </c>
      <c r="K1919" s="3">
        <v>34850.798316259592</v>
      </c>
    </row>
    <row r="1920" spans="1:11" x14ac:dyDescent="0.3">
      <c r="A1920" t="s">
        <v>1996</v>
      </c>
      <c r="B1920" s="2">
        <v>45597</v>
      </c>
      <c r="C1920">
        <v>2024</v>
      </c>
      <c r="D1920">
        <v>11</v>
      </c>
      <c r="E1920" t="s">
        <v>62</v>
      </c>
      <c r="F1920" t="s">
        <v>67</v>
      </c>
      <c r="G1920" t="s">
        <v>24</v>
      </c>
      <c r="H1920" s="3">
        <v>40554.856196882327</v>
      </c>
      <c r="I1920">
        <v>7</v>
      </c>
      <c r="J1920" s="3">
        <v>26516.315773709579</v>
      </c>
      <c r="K1920" s="3">
        <v>14038.540423172761</v>
      </c>
    </row>
    <row r="1921" spans="1:11" x14ac:dyDescent="0.3">
      <c r="A1921" t="s">
        <v>1997</v>
      </c>
      <c r="B1921" s="2">
        <v>45597</v>
      </c>
      <c r="C1921">
        <v>2024</v>
      </c>
      <c r="D1921">
        <v>11</v>
      </c>
      <c r="E1921" t="s">
        <v>62</v>
      </c>
      <c r="F1921" t="s">
        <v>48</v>
      </c>
      <c r="G1921" t="s">
        <v>24</v>
      </c>
      <c r="H1921" s="3">
        <v>74381.69695066844</v>
      </c>
      <c r="I1921">
        <v>12</v>
      </c>
      <c r="J1921" s="3">
        <v>49845.85542313214</v>
      </c>
      <c r="K1921" s="3">
        <v>24535.8415275363</v>
      </c>
    </row>
    <row r="1922" spans="1:11" x14ac:dyDescent="0.3">
      <c r="A1922" t="s">
        <v>1998</v>
      </c>
      <c r="B1922" s="2">
        <v>45597</v>
      </c>
      <c r="C1922">
        <v>2024</v>
      </c>
      <c r="D1922">
        <v>11</v>
      </c>
      <c r="E1922" t="s">
        <v>50</v>
      </c>
      <c r="F1922" t="s">
        <v>67</v>
      </c>
      <c r="G1922" t="s">
        <v>29</v>
      </c>
      <c r="H1922" s="3">
        <v>71851.421316661086</v>
      </c>
      <c r="I1922">
        <v>17</v>
      </c>
      <c r="J1922" s="3">
        <v>46009.270178445498</v>
      </c>
      <c r="K1922" s="3">
        <v>25842.151138215591</v>
      </c>
    </row>
    <row r="1923" spans="1:11" x14ac:dyDescent="0.3">
      <c r="A1923" t="s">
        <v>1999</v>
      </c>
      <c r="B1923" s="2">
        <v>45597</v>
      </c>
      <c r="C1923">
        <v>2024</v>
      </c>
      <c r="D1923">
        <v>11</v>
      </c>
      <c r="E1923" t="s">
        <v>50</v>
      </c>
      <c r="F1923" t="s">
        <v>48</v>
      </c>
      <c r="G1923" t="s">
        <v>29</v>
      </c>
      <c r="H1923" s="3">
        <v>133270.02730916411</v>
      </c>
      <c r="I1923">
        <v>31</v>
      </c>
      <c r="J1923" s="3">
        <v>86086.006565572112</v>
      </c>
      <c r="K1923" s="3">
        <v>47184.020743592031</v>
      </c>
    </row>
    <row r="1924" spans="1:11" x14ac:dyDescent="0.3">
      <c r="A1924" t="s">
        <v>2000</v>
      </c>
      <c r="B1924" s="2">
        <v>45597</v>
      </c>
      <c r="C1924">
        <v>2024</v>
      </c>
      <c r="D1924">
        <v>11</v>
      </c>
      <c r="E1924" t="s">
        <v>54</v>
      </c>
      <c r="F1924" t="s">
        <v>67</v>
      </c>
      <c r="G1924" t="s">
        <v>29</v>
      </c>
      <c r="H1924" s="3">
        <v>56868.765345797801</v>
      </c>
      <c r="I1924">
        <v>13</v>
      </c>
      <c r="J1924" s="3">
        <v>35753.115549689457</v>
      </c>
      <c r="K1924" s="3">
        <v>21115.649796108341</v>
      </c>
    </row>
    <row r="1925" spans="1:11" x14ac:dyDescent="0.3">
      <c r="A1925" t="s">
        <v>2001</v>
      </c>
      <c r="B1925" s="2">
        <v>45597</v>
      </c>
      <c r="C1925">
        <v>2024</v>
      </c>
      <c r="D1925">
        <v>11</v>
      </c>
      <c r="E1925" t="s">
        <v>54</v>
      </c>
      <c r="F1925" t="s">
        <v>48</v>
      </c>
      <c r="G1925" t="s">
        <v>29</v>
      </c>
      <c r="H1925" s="3">
        <v>102285.69072236501</v>
      </c>
      <c r="I1925">
        <v>24</v>
      </c>
      <c r="J1925" s="3">
        <v>63807.502487231417</v>
      </c>
      <c r="K1925" s="3">
        <v>38478.188235133588</v>
      </c>
    </row>
    <row r="1926" spans="1:11" x14ac:dyDescent="0.3">
      <c r="A1926" t="s">
        <v>2002</v>
      </c>
      <c r="B1926" s="2">
        <v>45597</v>
      </c>
      <c r="C1926">
        <v>2024</v>
      </c>
      <c r="D1926">
        <v>11</v>
      </c>
      <c r="E1926" t="s">
        <v>58</v>
      </c>
      <c r="F1926" t="s">
        <v>67</v>
      </c>
      <c r="G1926" t="s">
        <v>29</v>
      </c>
      <c r="H1926" s="3">
        <v>41438.914679565933</v>
      </c>
      <c r="I1926">
        <v>10</v>
      </c>
      <c r="J1926" s="3">
        <v>26572.083934861472</v>
      </c>
      <c r="K1926" s="3">
        <v>14866.83074470445</v>
      </c>
    </row>
    <row r="1927" spans="1:11" x14ac:dyDescent="0.3">
      <c r="A1927" t="s">
        <v>2003</v>
      </c>
      <c r="B1927" s="2">
        <v>45597</v>
      </c>
      <c r="C1927">
        <v>2024</v>
      </c>
      <c r="D1927">
        <v>11</v>
      </c>
      <c r="E1927" t="s">
        <v>58</v>
      </c>
      <c r="F1927" t="s">
        <v>48</v>
      </c>
      <c r="G1927" t="s">
        <v>29</v>
      </c>
      <c r="H1927" s="3">
        <v>77934.650096958547</v>
      </c>
      <c r="I1927">
        <v>18</v>
      </c>
      <c r="J1927" s="3">
        <v>49591.913518243477</v>
      </c>
      <c r="K1927" s="3">
        <v>28342.736578715059</v>
      </c>
    </row>
    <row r="1928" spans="1:11" x14ac:dyDescent="0.3">
      <c r="A1928" t="s">
        <v>2004</v>
      </c>
      <c r="B1928" s="2">
        <v>45597</v>
      </c>
      <c r="C1928">
        <v>2024</v>
      </c>
      <c r="D1928">
        <v>11</v>
      </c>
      <c r="E1928" t="s">
        <v>62</v>
      </c>
      <c r="F1928" t="s">
        <v>67</v>
      </c>
      <c r="G1928" t="s">
        <v>29</v>
      </c>
      <c r="H1928" s="3">
        <v>28541.910396719901</v>
      </c>
      <c r="I1928">
        <v>7</v>
      </c>
      <c r="J1928" s="3">
        <v>18472.79613308821</v>
      </c>
      <c r="K1928" s="3">
        <v>10069.114263631691</v>
      </c>
    </row>
    <row r="1929" spans="1:11" x14ac:dyDescent="0.3">
      <c r="A1929" t="s">
        <v>2005</v>
      </c>
      <c r="B1929" s="2">
        <v>45597</v>
      </c>
      <c r="C1929">
        <v>2024</v>
      </c>
      <c r="D1929">
        <v>11</v>
      </c>
      <c r="E1929" t="s">
        <v>62</v>
      </c>
      <c r="F1929" t="s">
        <v>48</v>
      </c>
      <c r="G1929" t="s">
        <v>29</v>
      </c>
      <c r="H1929" s="3">
        <v>57791.520366765137</v>
      </c>
      <c r="I1929">
        <v>13</v>
      </c>
      <c r="J1929" s="3">
        <v>36933.373317960773</v>
      </c>
      <c r="K1929" s="3">
        <v>20858.147048804371</v>
      </c>
    </row>
    <row r="1930" spans="1:11" x14ac:dyDescent="0.3">
      <c r="A1930" t="s">
        <v>2006</v>
      </c>
      <c r="B1930" s="2">
        <v>45597</v>
      </c>
      <c r="C1930">
        <v>2024</v>
      </c>
      <c r="D1930">
        <v>11</v>
      </c>
      <c r="E1930" t="s">
        <v>50</v>
      </c>
      <c r="F1930" t="s">
        <v>67</v>
      </c>
      <c r="G1930" t="s">
        <v>34</v>
      </c>
      <c r="H1930" s="3">
        <v>70069.740668717423</v>
      </c>
      <c r="I1930">
        <v>82</v>
      </c>
      <c r="J1930" s="3">
        <v>33757.628656222259</v>
      </c>
      <c r="K1930" s="3">
        <v>36312.112012495163</v>
      </c>
    </row>
    <row r="1931" spans="1:11" x14ac:dyDescent="0.3">
      <c r="A1931" t="s">
        <v>2007</v>
      </c>
      <c r="B1931" s="2">
        <v>45597</v>
      </c>
      <c r="C1931">
        <v>2024</v>
      </c>
      <c r="D1931">
        <v>11</v>
      </c>
      <c r="E1931" t="s">
        <v>50</v>
      </c>
      <c r="F1931" t="s">
        <v>48</v>
      </c>
      <c r="G1931" t="s">
        <v>34</v>
      </c>
      <c r="H1931" s="3">
        <v>118157.34006256799</v>
      </c>
      <c r="I1931">
        <v>139</v>
      </c>
      <c r="J1931" s="3">
        <v>55058.245417446633</v>
      </c>
      <c r="K1931" s="3">
        <v>63099.094645121389</v>
      </c>
    </row>
    <row r="1932" spans="1:11" x14ac:dyDescent="0.3">
      <c r="A1932" t="s">
        <v>2008</v>
      </c>
      <c r="B1932" s="2">
        <v>45597</v>
      </c>
      <c r="C1932">
        <v>2024</v>
      </c>
      <c r="D1932">
        <v>11</v>
      </c>
      <c r="E1932" t="s">
        <v>54</v>
      </c>
      <c r="F1932" t="s">
        <v>67</v>
      </c>
      <c r="G1932" t="s">
        <v>34</v>
      </c>
      <c r="H1932" s="3">
        <v>52147.013653198563</v>
      </c>
      <c r="I1932">
        <v>61</v>
      </c>
      <c r="J1932" s="3">
        <v>25881.402190520359</v>
      </c>
      <c r="K1932" s="3">
        <v>26265.611462678211</v>
      </c>
    </row>
    <row r="1933" spans="1:11" x14ac:dyDescent="0.3">
      <c r="A1933" t="s">
        <v>2009</v>
      </c>
      <c r="B1933" s="2">
        <v>45597</v>
      </c>
      <c r="C1933">
        <v>2024</v>
      </c>
      <c r="D1933">
        <v>11</v>
      </c>
      <c r="E1933" t="s">
        <v>54</v>
      </c>
      <c r="F1933" t="s">
        <v>48</v>
      </c>
      <c r="G1933" t="s">
        <v>34</v>
      </c>
      <c r="H1933" s="3">
        <v>98870.623240810135</v>
      </c>
      <c r="I1933">
        <v>116</v>
      </c>
      <c r="J1933" s="3">
        <v>47317.596723459123</v>
      </c>
      <c r="K1933" s="3">
        <v>51553.02651735102</v>
      </c>
    </row>
    <row r="1934" spans="1:11" x14ac:dyDescent="0.3">
      <c r="A1934" t="s">
        <v>2010</v>
      </c>
      <c r="B1934" s="2">
        <v>45597</v>
      </c>
      <c r="C1934">
        <v>2024</v>
      </c>
      <c r="D1934">
        <v>11</v>
      </c>
      <c r="E1934" t="s">
        <v>58</v>
      </c>
      <c r="F1934" t="s">
        <v>67</v>
      </c>
      <c r="G1934" t="s">
        <v>34</v>
      </c>
      <c r="H1934" s="3">
        <v>34074.123721525517</v>
      </c>
      <c r="I1934">
        <v>40</v>
      </c>
      <c r="J1934" s="3">
        <v>16560.949289632819</v>
      </c>
      <c r="K1934" s="3">
        <v>17513.174431892709</v>
      </c>
    </row>
    <row r="1935" spans="1:11" x14ac:dyDescent="0.3">
      <c r="A1935" t="s">
        <v>2011</v>
      </c>
      <c r="B1935" s="2">
        <v>45597</v>
      </c>
      <c r="C1935">
        <v>2024</v>
      </c>
      <c r="D1935">
        <v>11</v>
      </c>
      <c r="E1935" t="s">
        <v>58</v>
      </c>
      <c r="F1935" t="s">
        <v>48</v>
      </c>
      <c r="G1935" t="s">
        <v>34</v>
      </c>
      <c r="H1935" s="3">
        <v>68793.054718235377</v>
      </c>
      <c r="I1935">
        <v>81</v>
      </c>
      <c r="J1935" s="3">
        <v>32523.716792589861</v>
      </c>
      <c r="K1935" s="3">
        <v>36269.337925645523</v>
      </c>
    </row>
    <row r="1936" spans="1:11" x14ac:dyDescent="0.3">
      <c r="A1936" t="s">
        <v>2012</v>
      </c>
      <c r="B1936" s="2">
        <v>45597</v>
      </c>
      <c r="C1936">
        <v>2024</v>
      </c>
      <c r="D1936">
        <v>11</v>
      </c>
      <c r="E1936" t="s">
        <v>62</v>
      </c>
      <c r="F1936" t="s">
        <v>67</v>
      </c>
      <c r="G1936" t="s">
        <v>34</v>
      </c>
      <c r="H1936" s="3">
        <v>28617.355965253621</v>
      </c>
      <c r="I1936">
        <v>34</v>
      </c>
      <c r="J1936" s="3">
        <v>13812.4875299904</v>
      </c>
      <c r="K1936" s="3">
        <v>14804.868435263221</v>
      </c>
    </row>
    <row r="1937" spans="1:11" x14ac:dyDescent="0.3">
      <c r="A1937" t="s">
        <v>2013</v>
      </c>
      <c r="B1937" s="2">
        <v>45597</v>
      </c>
      <c r="C1937">
        <v>2024</v>
      </c>
      <c r="D1937">
        <v>11</v>
      </c>
      <c r="E1937" t="s">
        <v>62</v>
      </c>
      <c r="F1937" t="s">
        <v>48</v>
      </c>
      <c r="G1937" t="s">
        <v>34</v>
      </c>
      <c r="H1937" s="3">
        <v>50167.332419745377</v>
      </c>
      <c r="I1937">
        <v>59</v>
      </c>
      <c r="J1937" s="3">
        <v>23515.607033073651</v>
      </c>
      <c r="K1937" s="3">
        <v>26651.725386671729</v>
      </c>
    </row>
    <row r="1938" spans="1:11" x14ac:dyDescent="0.3">
      <c r="A1938" t="s">
        <v>2014</v>
      </c>
      <c r="B1938" s="2">
        <v>45597</v>
      </c>
      <c r="C1938">
        <v>2024</v>
      </c>
      <c r="D1938">
        <v>11</v>
      </c>
      <c r="E1938" t="s">
        <v>50</v>
      </c>
      <c r="F1938" t="s">
        <v>67</v>
      </c>
      <c r="G1938" t="s">
        <v>37</v>
      </c>
      <c r="H1938" s="3">
        <v>54417.362066227863</v>
      </c>
      <c r="I1938">
        <v>76</v>
      </c>
      <c r="J1938" s="3">
        <v>30173.092494832759</v>
      </c>
      <c r="K1938" s="3">
        <v>24244.269571395111</v>
      </c>
    </row>
    <row r="1939" spans="1:11" x14ac:dyDescent="0.3">
      <c r="A1939" t="s">
        <v>2015</v>
      </c>
      <c r="B1939" s="2">
        <v>45597</v>
      </c>
      <c r="C1939">
        <v>2024</v>
      </c>
      <c r="D1939">
        <v>11</v>
      </c>
      <c r="E1939" t="s">
        <v>50</v>
      </c>
      <c r="F1939" t="s">
        <v>48</v>
      </c>
      <c r="G1939" t="s">
        <v>37</v>
      </c>
      <c r="H1939" s="3">
        <v>99309.135451115115</v>
      </c>
      <c r="I1939">
        <v>138</v>
      </c>
      <c r="J1939" s="3">
        <v>54270.044860336056</v>
      </c>
      <c r="K1939" s="3">
        <v>45039.090590779058</v>
      </c>
    </row>
    <row r="1940" spans="1:11" x14ac:dyDescent="0.3">
      <c r="A1940" t="s">
        <v>2016</v>
      </c>
      <c r="B1940" s="2">
        <v>45597</v>
      </c>
      <c r="C1940">
        <v>2024</v>
      </c>
      <c r="D1940">
        <v>11</v>
      </c>
      <c r="E1940" t="s">
        <v>54</v>
      </c>
      <c r="F1940" t="s">
        <v>67</v>
      </c>
      <c r="G1940" t="s">
        <v>37</v>
      </c>
      <c r="H1940" s="3">
        <v>43270.738064907557</v>
      </c>
      <c r="I1940">
        <v>60</v>
      </c>
      <c r="J1940" s="3">
        <v>23811.410572731969</v>
      </c>
      <c r="K1940" s="3">
        <v>19459.327492175591</v>
      </c>
    </row>
    <row r="1941" spans="1:11" x14ac:dyDescent="0.3">
      <c r="A1941" t="s">
        <v>2017</v>
      </c>
      <c r="B1941" s="2">
        <v>45597</v>
      </c>
      <c r="C1941">
        <v>2024</v>
      </c>
      <c r="D1941">
        <v>11</v>
      </c>
      <c r="E1941" t="s">
        <v>54</v>
      </c>
      <c r="F1941" t="s">
        <v>48</v>
      </c>
      <c r="G1941" t="s">
        <v>37</v>
      </c>
      <c r="H1941" s="3">
        <v>80711.338931335515</v>
      </c>
      <c r="I1941">
        <v>112</v>
      </c>
      <c r="J1941" s="3">
        <v>44948.947155494432</v>
      </c>
      <c r="K1941" s="3">
        <v>35762.391775841083</v>
      </c>
    </row>
    <row r="1942" spans="1:11" x14ac:dyDescent="0.3">
      <c r="A1942" t="s">
        <v>2018</v>
      </c>
      <c r="B1942" s="2">
        <v>45597</v>
      </c>
      <c r="C1942">
        <v>2024</v>
      </c>
      <c r="D1942">
        <v>11</v>
      </c>
      <c r="E1942" t="s">
        <v>58</v>
      </c>
      <c r="F1942" t="s">
        <v>67</v>
      </c>
      <c r="G1942" t="s">
        <v>37</v>
      </c>
      <c r="H1942" s="3">
        <v>32279.312985992521</v>
      </c>
      <c r="I1942">
        <v>45</v>
      </c>
      <c r="J1942" s="3">
        <v>17359.745153005941</v>
      </c>
      <c r="K1942" s="3">
        <v>14919.56783298658</v>
      </c>
    </row>
    <row r="1943" spans="1:11" x14ac:dyDescent="0.3">
      <c r="A1943" t="s">
        <v>2019</v>
      </c>
      <c r="B1943" s="2">
        <v>45597</v>
      </c>
      <c r="C1943">
        <v>2024</v>
      </c>
      <c r="D1943">
        <v>11</v>
      </c>
      <c r="E1943" t="s">
        <v>58</v>
      </c>
      <c r="F1943" t="s">
        <v>48</v>
      </c>
      <c r="G1943" t="s">
        <v>37</v>
      </c>
      <c r="H1943" s="3">
        <v>60934.129081659303</v>
      </c>
      <c r="I1943">
        <v>85</v>
      </c>
      <c r="J1943" s="3">
        <v>33100.852810974582</v>
      </c>
      <c r="K1943" s="3">
        <v>27833.27627068471</v>
      </c>
    </row>
    <row r="1944" spans="1:11" x14ac:dyDescent="0.3">
      <c r="A1944" t="s">
        <v>2020</v>
      </c>
      <c r="B1944" s="2">
        <v>45597</v>
      </c>
      <c r="C1944">
        <v>2024</v>
      </c>
      <c r="D1944">
        <v>11</v>
      </c>
      <c r="E1944" t="s">
        <v>62</v>
      </c>
      <c r="F1944" t="s">
        <v>67</v>
      </c>
      <c r="G1944" t="s">
        <v>37</v>
      </c>
      <c r="H1944" s="3">
        <v>21882.934955503159</v>
      </c>
      <c r="I1944">
        <v>30</v>
      </c>
      <c r="J1944" s="3">
        <v>12134.689440743021</v>
      </c>
      <c r="K1944" s="3">
        <v>9748.2455147601413</v>
      </c>
    </row>
    <row r="1945" spans="1:11" x14ac:dyDescent="0.3">
      <c r="A1945" t="s">
        <v>2021</v>
      </c>
      <c r="B1945" s="2">
        <v>45597</v>
      </c>
      <c r="C1945">
        <v>2024</v>
      </c>
      <c r="D1945">
        <v>11</v>
      </c>
      <c r="E1945" t="s">
        <v>62</v>
      </c>
      <c r="F1945" t="s">
        <v>48</v>
      </c>
      <c r="G1945" t="s">
        <v>37</v>
      </c>
      <c r="H1945" s="3">
        <v>42424.379540695132</v>
      </c>
      <c r="I1945">
        <v>59</v>
      </c>
      <c r="J1945" s="3">
        <v>24214.664614928741</v>
      </c>
      <c r="K1945" s="3">
        <v>18209.714925766391</v>
      </c>
    </row>
    <row r="1946" spans="1:11" x14ac:dyDescent="0.3">
      <c r="A1946" t="s">
        <v>2022</v>
      </c>
      <c r="B1946" s="2">
        <v>45597</v>
      </c>
      <c r="C1946">
        <v>2024</v>
      </c>
      <c r="D1946">
        <v>11</v>
      </c>
      <c r="E1946" t="s">
        <v>50</v>
      </c>
      <c r="F1946" t="s">
        <v>67</v>
      </c>
      <c r="G1946" t="s">
        <v>40</v>
      </c>
      <c r="H1946" s="3">
        <v>48998.674022482352</v>
      </c>
      <c r="I1946">
        <v>9</v>
      </c>
      <c r="J1946" s="3">
        <v>33725.053202312913</v>
      </c>
      <c r="K1946" s="3">
        <v>15273.62082016945</v>
      </c>
    </row>
    <row r="1947" spans="1:11" x14ac:dyDescent="0.3">
      <c r="A1947" t="s">
        <v>2023</v>
      </c>
      <c r="B1947" s="2">
        <v>45597</v>
      </c>
      <c r="C1947">
        <v>2024</v>
      </c>
      <c r="D1947">
        <v>11</v>
      </c>
      <c r="E1947" t="s">
        <v>50</v>
      </c>
      <c r="F1947" t="s">
        <v>48</v>
      </c>
      <c r="G1947" t="s">
        <v>40</v>
      </c>
      <c r="H1947" s="3">
        <v>95005.204739542911</v>
      </c>
      <c r="I1947">
        <v>18</v>
      </c>
      <c r="J1947" s="3">
        <v>66251.110988555374</v>
      </c>
      <c r="K1947" s="3">
        <v>28754.09375098754</v>
      </c>
    </row>
    <row r="1948" spans="1:11" x14ac:dyDescent="0.3">
      <c r="A1948" t="s">
        <v>2024</v>
      </c>
      <c r="B1948" s="2">
        <v>45597</v>
      </c>
      <c r="C1948">
        <v>2024</v>
      </c>
      <c r="D1948">
        <v>11</v>
      </c>
      <c r="E1948" t="s">
        <v>54</v>
      </c>
      <c r="F1948" t="s">
        <v>67</v>
      </c>
      <c r="G1948" t="s">
        <v>40</v>
      </c>
      <c r="H1948" s="3">
        <v>45350.780845177098</v>
      </c>
      <c r="I1948">
        <v>8</v>
      </c>
      <c r="J1948" s="3">
        <v>31231.786386269119</v>
      </c>
      <c r="K1948" s="3">
        <v>14118.994458907981</v>
      </c>
    </row>
    <row r="1949" spans="1:11" x14ac:dyDescent="0.3">
      <c r="A1949" t="s">
        <v>2025</v>
      </c>
      <c r="B1949" s="2">
        <v>45597</v>
      </c>
      <c r="C1949">
        <v>2024</v>
      </c>
      <c r="D1949">
        <v>11</v>
      </c>
      <c r="E1949" t="s">
        <v>54</v>
      </c>
      <c r="F1949" t="s">
        <v>48</v>
      </c>
      <c r="G1949" t="s">
        <v>40</v>
      </c>
      <c r="H1949" s="3">
        <v>76791.713621459159</v>
      </c>
      <c r="I1949">
        <v>14</v>
      </c>
      <c r="J1949" s="3">
        <v>54838.705123095533</v>
      </c>
      <c r="K1949" s="3">
        <v>21953.00849836363</v>
      </c>
    </row>
    <row r="1950" spans="1:11" x14ac:dyDescent="0.3">
      <c r="A1950" t="s">
        <v>2026</v>
      </c>
      <c r="B1950" s="2">
        <v>45597</v>
      </c>
      <c r="C1950">
        <v>2024</v>
      </c>
      <c r="D1950">
        <v>11</v>
      </c>
      <c r="E1950" t="s">
        <v>58</v>
      </c>
      <c r="F1950" t="s">
        <v>67</v>
      </c>
      <c r="G1950" t="s">
        <v>40</v>
      </c>
      <c r="H1950" s="3">
        <v>25380.470684502539</v>
      </c>
      <c r="I1950">
        <v>5</v>
      </c>
      <c r="J1950" s="3">
        <v>16961.756043248832</v>
      </c>
      <c r="K1950" s="3">
        <v>8418.7146412537113</v>
      </c>
    </row>
    <row r="1951" spans="1:11" x14ac:dyDescent="0.3">
      <c r="A1951" t="s">
        <v>2027</v>
      </c>
      <c r="B1951" s="2">
        <v>45597</v>
      </c>
      <c r="C1951">
        <v>2024</v>
      </c>
      <c r="D1951">
        <v>11</v>
      </c>
      <c r="E1951" t="s">
        <v>58</v>
      </c>
      <c r="F1951" t="s">
        <v>48</v>
      </c>
      <c r="G1951" t="s">
        <v>40</v>
      </c>
      <c r="H1951" s="3">
        <v>53440.401574311953</v>
      </c>
      <c r="I1951">
        <v>10</v>
      </c>
      <c r="J1951" s="3">
        <v>36936.679892151667</v>
      </c>
      <c r="K1951" s="3">
        <v>16503.721682160281</v>
      </c>
    </row>
    <row r="1952" spans="1:11" x14ac:dyDescent="0.3">
      <c r="A1952" t="s">
        <v>2028</v>
      </c>
      <c r="B1952" s="2">
        <v>45597</v>
      </c>
      <c r="C1952">
        <v>2024</v>
      </c>
      <c r="D1952">
        <v>11</v>
      </c>
      <c r="E1952" t="s">
        <v>62</v>
      </c>
      <c r="F1952" t="s">
        <v>67</v>
      </c>
      <c r="G1952" t="s">
        <v>40</v>
      </c>
      <c r="H1952" s="3">
        <v>21237.905019701531</v>
      </c>
      <c r="I1952">
        <v>4</v>
      </c>
      <c r="J1952" s="3">
        <v>14225.37694320059</v>
      </c>
      <c r="K1952" s="3">
        <v>7012.5280765009338</v>
      </c>
    </row>
    <row r="1953" spans="1:11" x14ac:dyDescent="0.3">
      <c r="A1953" t="s">
        <v>2029</v>
      </c>
      <c r="B1953" s="2">
        <v>45597</v>
      </c>
      <c r="C1953">
        <v>2024</v>
      </c>
      <c r="D1953">
        <v>11</v>
      </c>
      <c r="E1953" t="s">
        <v>62</v>
      </c>
      <c r="F1953" t="s">
        <v>48</v>
      </c>
      <c r="G1953" t="s">
        <v>40</v>
      </c>
      <c r="H1953" s="3">
        <v>41276.063348215408</v>
      </c>
      <c r="I1953">
        <v>8</v>
      </c>
      <c r="J1953" s="3">
        <v>27195.493036169351</v>
      </c>
      <c r="K1953" s="3">
        <v>14080.57031204606</v>
      </c>
    </row>
    <row r="1954" spans="1:11" x14ac:dyDescent="0.3">
      <c r="A1954" t="s">
        <v>2030</v>
      </c>
      <c r="B1954" s="2">
        <v>45597</v>
      </c>
      <c r="C1954">
        <v>2024</v>
      </c>
      <c r="D1954">
        <v>11</v>
      </c>
      <c r="E1954" t="s">
        <v>50</v>
      </c>
      <c r="F1954" t="s">
        <v>67</v>
      </c>
      <c r="G1954" t="s">
        <v>43</v>
      </c>
      <c r="H1954" s="3">
        <v>103630.2183421943</v>
      </c>
      <c r="I1954">
        <v>30</v>
      </c>
      <c r="J1954" s="3">
        <v>61469.201552683953</v>
      </c>
      <c r="K1954" s="3">
        <v>42161.016789510351</v>
      </c>
    </row>
    <row r="1955" spans="1:11" x14ac:dyDescent="0.3">
      <c r="A1955" t="s">
        <v>2031</v>
      </c>
      <c r="B1955" s="2">
        <v>45597</v>
      </c>
      <c r="C1955">
        <v>2024</v>
      </c>
      <c r="D1955">
        <v>11</v>
      </c>
      <c r="E1955" t="s">
        <v>50</v>
      </c>
      <c r="F1955" t="s">
        <v>48</v>
      </c>
      <c r="G1955" t="s">
        <v>43</v>
      </c>
      <c r="H1955" s="3">
        <v>181546.90514816041</v>
      </c>
      <c r="I1955">
        <v>52</v>
      </c>
      <c r="J1955" s="3">
        <v>107381.6297128329</v>
      </c>
      <c r="K1955" s="3">
        <v>74165.275435327479</v>
      </c>
    </row>
    <row r="1956" spans="1:11" x14ac:dyDescent="0.3">
      <c r="A1956" t="s">
        <v>2032</v>
      </c>
      <c r="B1956" s="2">
        <v>45597</v>
      </c>
      <c r="C1956">
        <v>2024</v>
      </c>
      <c r="D1956">
        <v>11</v>
      </c>
      <c r="E1956" t="s">
        <v>54</v>
      </c>
      <c r="F1956" t="s">
        <v>67</v>
      </c>
      <c r="G1956" t="s">
        <v>43</v>
      </c>
      <c r="H1956" s="3">
        <v>85287.997886836019</v>
      </c>
      <c r="I1956">
        <v>24</v>
      </c>
      <c r="J1956" s="3">
        <v>50061.925265061327</v>
      </c>
      <c r="K1956" s="3">
        <v>35226.072621774692</v>
      </c>
    </row>
    <row r="1957" spans="1:11" x14ac:dyDescent="0.3">
      <c r="A1957" t="s">
        <v>2033</v>
      </c>
      <c r="B1957" s="2">
        <v>45597</v>
      </c>
      <c r="C1957">
        <v>2024</v>
      </c>
      <c r="D1957">
        <v>11</v>
      </c>
      <c r="E1957" t="s">
        <v>54</v>
      </c>
      <c r="F1957" t="s">
        <v>48</v>
      </c>
      <c r="G1957" t="s">
        <v>43</v>
      </c>
      <c r="H1957" s="3">
        <v>150992.06776017329</v>
      </c>
      <c r="I1957">
        <v>43</v>
      </c>
      <c r="J1957" s="3">
        <v>88915.033957663924</v>
      </c>
      <c r="K1957" s="3">
        <v>62077.033802509337</v>
      </c>
    </row>
    <row r="1958" spans="1:11" x14ac:dyDescent="0.3">
      <c r="A1958" t="s">
        <v>2034</v>
      </c>
      <c r="B1958" s="2">
        <v>45597</v>
      </c>
      <c r="C1958">
        <v>2024</v>
      </c>
      <c r="D1958">
        <v>11</v>
      </c>
      <c r="E1958" t="s">
        <v>58</v>
      </c>
      <c r="F1958" t="s">
        <v>67</v>
      </c>
      <c r="G1958" t="s">
        <v>43</v>
      </c>
      <c r="H1958" s="3">
        <v>57151.462708325387</v>
      </c>
      <c r="I1958">
        <v>16</v>
      </c>
      <c r="J1958" s="3">
        <v>35599.871297198108</v>
      </c>
      <c r="K1958" s="3">
        <v>21551.591411127269</v>
      </c>
    </row>
    <row r="1959" spans="1:11" x14ac:dyDescent="0.3">
      <c r="A1959" t="s">
        <v>2035</v>
      </c>
      <c r="B1959" s="2">
        <v>45597</v>
      </c>
      <c r="C1959">
        <v>2024</v>
      </c>
      <c r="D1959">
        <v>11</v>
      </c>
      <c r="E1959" t="s">
        <v>58</v>
      </c>
      <c r="F1959" t="s">
        <v>48</v>
      </c>
      <c r="G1959" t="s">
        <v>43</v>
      </c>
      <c r="H1959" s="3">
        <v>113098.79199207709</v>
      </c>
      <c r="I1959">
        <v>32</v>
      </c>
      <c r="J1959" s="3">
        <v>66418.190749323156</v>
      </c>
      <c r="K1959" s="3">
        <v>46680.601242753954</v>
      </c>
    </row>
    <row r="1960" spans="1:11" x14ac:dyDescent="0.3">
      <c r="A1960" t="s">
        <v>2036</v>
      </c>
      <c r="B1960" s="2">
        <v>45597</v>
      </c>
      <c r="C1960">
        <v>2024</v>
      </c>
      <c r="D1960">
        <v>11</v>
      </c>
      <c r="E1960" t="s">
        <v>62</v>
      </c>
      <c r="F1960" t="s">
        <v>67</v>
      </c>
      <c r="G1960" t="s">
        <v>43</v>
      </c>
      <c r="H1960" s="3">
        <v>45327.161966535961</v>
      </c>
      <c r="I1960">
        <v>13</v>
      </c>
      <c r="J1960" s="3">
        <v>26988.586399228981</v>
      </c>
      <c r="K1960" s="3">
        <v>18338.57556730698</v>
      </c>
    </row>
    <row r="1961" spans="1:11" x14ac:dyDescent="0.3">
      <c r="A1961" t="s">
        <v>2037</v>
      </c>
      <c r="B1961" s="2">
        <v>45597</v>
      </c>
      <c r="C1961">
        <v>2024</v>
      </c>
      <c r="D1961">
        <v>11</v>
      </c>
      <c r="E1961" t="s">
        <v>62</v>
      </c>
      <c r="F1961" t="s">
        <v>48</v>
      </c>
      <c r="G1961" t="s">
        <v>43</v>
      </c>
      <c r="H1961" s="3">
        <v>80478.608414807939</v>
      </c>
      <c r="I1961">
        <v>23</v>
      </c>
      <c r="J1961" s="3">
        <v>46927.378008613763</v>
      </c>
      <c r="K1961" s="3">
        <v>33551.230406194183</v>
      </c>
    </row>
    <row r="1962" spans="1:11" x14ac:dyDescent="0.3">
      <c r="A1962" t="s">
        <v>2038</v>
      </c>
      <c r="B1962" s="2">
        <v>45627</v>
      </c>
      <c r="C1962">
        <v>2024</v>
      </c>
      <c r="D1962">
        <v>12</v>
      </c>
      <c r="E1962" t="s">
        <v>50</v>
      </c>
      <c r="F1962" t="s">
        <v>67</v>
      </c>
      <c r="G1962" t="s">
        <v>19</v>
      </c>
      <c r="H1962" s="3">
        <v>113063.7923640045</v>
      </c>
      <c r="I1962">
        <v>22</v>
      </c>
      <c r="J1962" s="3">
        <v>70472.073344211225</v>
      </c>
      <c r="K1962" s="3">
        <v>42591.719019793272</v>
      </c>
    </row>
    <row r="1963" spans="1:11" x14ac:dyDescent="0.3">
      <c r="A1963" t="s">
        <v>2039</v>
      </c>
      <c r="B1963" s="2">
        <v>45627</v>
      </c>
      <c r="C1963">
        <v>2024</v>
      </c>
      <c r="D1963">
        <v>12</v>
      </c>
      <c r="E1963" t="s">
        <v>50</v>
      </c>
      <c r="F1963" t="s">
        <v>48</v>
      </c>
      <c r="G1963" t="s">
        <v>19</v>
      </c>
      <c r="H1963" s="3">
        <v>233187.96007422631</v>
      </c>
      <c r="I1963">
        <v>45</v>
      </c>
      <c r="J1963" s="3">
        <v>143956.5612582879</v>
      </c>
      <c r="K1963" s="3">
        <v>89231.398815938417</v>
      </c>
    </row>
    <row r="1964" spans="1:11" x14ac:dyDescent="0.3">
      <c r="A1964" t="s">
        <v>2040</v>
      </c>
      <c r="B1964" s="2">
        <v>45627</v>
      </c>
      <c r="C1964">
        <v>2024</v>
      </c>
      <c r="D1964">
        <v>12</v>
      </c>
      <c r="E1964" t="s">
        <v>54</v>
      </c>
      <c r="F1964" t="s">
        <v>67</v>
      </c>
      <c r="G1964" t="s">
        <v>19</v>
      </c>
      <c r="H1964" s="3">
        <v>96907.228190879017</v>
      </c>
      <c r="I1964">
        <v>19</v>
      </c>
      <c r="J1964" s="3">
        <v>59638.512033912702</v>
      </c>
      <c r="K1964" s="3">
        <v>37268.716156966308</v>
      </c>
    </row>
    <row r="1965" spans="1:11" x14ac:dyDescent="0.3">
      <c r="A1965" t="s">
        <v>2041</v>
      </c>
      <c r="B1965" s="2">
        <v>45627</v>
      </c>
      <c r="C1965">
        <v>2024</v>
      </c>
      <c r="D1965">
        <v>12</v>
      </c>
      <c r="E1965" t="s">
        <v>54</v>
      </c>
      <c r="F1965" t="s">
        <v>48</v>
      </c>
      <c r="G1965" t="s">
        <v>19</v>
      </c>
      <c r="H1965" s="3">
        <v>178737.77267638571</v>
      </c>
      <c r="I1965">
        <v>34</v>
      </c>
      <c r="J1965" s="3">
        <v>114445.6005950065</v>
      </c>
      <c r="K1965" s="3">
        <v>64292.172081379249</v>
      </c>
    </row>
    <row r="1966" spans="1:11" x14ac:dyDescent="0.3">
      <c r="A1966" t="s">
        <v>2042</v>
      </c>
      <c r="B1966" s="2">
        <v>45627</v>
      </c>
      <c r="C1966">
        <v>2024</v>
      </c>
      <c r="D1966">
        <v>12</v>
      </c>
      <c r="E1966" t="s">
        <v>58</v>
      </c>
      <c r="F1966" t="s">
        <v>67</v>
      </c>
      <c r="G1966" t="s">
        <v>19</v>
      </c>
      <c r="H1966" s="3">
        <v>57512.568606390327</v>
      </c>
      <c r="I1966">
        <v>11</v>
      </c>
      <c r="J1966" s="3">
        <v>36413.357245448271</v>
      </c>
      <c r="K1966" s="3">
        <v>21099.211360942059</v>
      </c>
    </row>
    <row r="1967" spans="1:11" x14ac:dyDescent="0.3">
      <c r="A1967" t="s">
        <v>2043</v>
      </c>
      <c r="B1967" s="2">
        <v>45627</v>
      </c>
      <c r="C1967">
        <v>2024</v>
      </c>
      <c r="D1967">
        <v>12</v>
      </c>
      <c r="E1967" t="s">
        <v>58</v>
      </c>
      <c r="F1967" t="s">
        <v>48</v>
      </c>
      <c r="G1967" t="s">
        <v>19</v>
      </c>
      <c r="H1967" s="3">
        <v>116744.0239604316</v>
      </c>
      <c r="I1967">
        <v>22</v>
      </c>
      <c r="J1967" s="3">
        <v>72559.457044773808</v>
      </c>
      <c r="K1967" s="3">
        <v>44184.566915657793</v>
      </c>
    </row>
    <row r="1968" spans="1:11" x14ac:dyDescent="0.3">
      <c r="A1968" t="s">
        <v>2044</v>
      </c>
      <c r="B1968" s="2">
        <v>45627</v>
      </c>
      <c r="C1968">
        <v>2024</v>
      </c>
      <c r="D1968">
        <v>12</v>
      </c>
      <c r="E1968" t="s">
        <v>62</v>
      </c>
      <c r="F1968" t="s">
        <v>67</v>
      </c>
      <c r="G1968" t="s">
        <v>19</v>
      </c>
      <c r="H1968" s="3">
        <v>48768.541738930617</v>
      </c>
      <c r="I1968">
        <v>9</v>
      </c>
      <c r="J1968" s="3">
        <v>28982.412573473561</v>
      </c>
      <c r="K1968" s="3">
        <v>19786.12916545707</v>
      </c>
    </row>
    <row r="1969" spans="1:11" x14ac:dyDescent="0.3">
      <c r="A1969" t="s">
        <v>2045</v>
      </c>
      <c r="B1969" s="2">
        <v>45627</v>
      </c>
      <c r="C1969">
        <v>2024</v>
      </c>
      <c r="D1969">
        <v>12</v>
      </c>
      <c r="E1969" t="s">
        <v>62</v>
      </c>
      <c r="F1969" t="s">
        <v>48</v>
      </c>
      <c r="G1969" t="s">
        <v>19</v>
      </c>
      <c r="H1969" s="3">
        <v>85275.504230697654</v>
      </c>
      <c r="I1969">
        <v>16</v>
      </c>
      <c r="J1969" s="3">
        <v>52527.249305072633</v>
      </c>
      <c r="K1969" s="3">
        <v>32748.254925625031</v>
      </c>
    </row>
    <row r="1970" spans="1:11" x14ac:dyDescent="0.3">
      <c r="A1970" t="s">
        <v>2046</v>
      </c>
      <c r="B1970" s="2">
        <v>45627</v>
      </c>
      <c r="C1970">
        <v>2024</v>
      </c>
      <c r="D1970">
        <v>12</v>
      </c>
      <c r="E1970" t="s">
        <v>50</v>
      </c>
      <c r="F1970" t="s">
        <v>67</v>
      </c>
      <c r="G1970" t="s">
        <v>24</v>
      </c>
      <c r="H1970" s="3">
        <v>116065.28700147881</v>
      </c>
      <c r="I1970">
        <v>19</v>
      </c>
      <c r="J1970" s="3">
        <v>80330.174140998715</v>
      </c>
      <c r="K1970" s="3">
        <v>35735.112860480083</v>
      </c>
    </row>
    <row r="1971" spans="1:11" x14ac:dyDescent="0.3">
      <c r="A1971" t="s">
        <v>2047</v>
      </c>
      <c r="B1971" s="2">
        <v>45627</v>
      </c>
      <c r="C1971">
        <v>2024</v>
      </c>
      <c r="D1971">
        <v>12</v>
      </c>
      <c r="E1971" t="s">
        <v>50</v>
      </c>
      <c r="F1971" t="s">
        <v>48</v>
      </c>
      <c r="G1971" t="s">
        <v>24</v>
      </c>
      <c r="H1971" s="3">
        <v>237541.78987990899</v>
      </c>
      <c r="I1971">
        <v>39</v>
      </c>
      <c r="J1971" s="3">
        <v>156126.65491315461</v>
      </c>
      <c r="K1971" s="3">
        <v>81415.134966754384</v>
      </c>
    </row>
    <row r="1972" spans="1:11" x14ac:dyDescent="0.3">
      <c r="A1972" t="s">
        <v>2048</v>
      </c>
      <c r="B1972" s="2">
        <v>45627</v>
      </c>
      <c r="C1972">
        <v>2024</v>
      </c>
      <c r="D1972">
        <v>12</v>
      </c>
      <c r="E1972" t="s">
        <v>54</v>
      </c>
      <c r="F1972" t="s">
        <v>67</v>
      </c>
      <c r="G1972" t="s">
        <v>24</v>
      </c>
      <c r="H1972" s="3">
        <v>89569.116411137773</v>
      </c>
      <c r="I1972">
        <v>15</v>
      </c>
      <c r="J1972" s="3">
        <v>60289.529802231402</v>
      </c>
      <c r="K1972" s="3">
        <v>29279.586608906371</v>
      </c>
    </row>
    <row r="1973" spans="1:11" x14ac:dyDescent="0.3">
      <c r="A1973" t="s">
        <v>2049</v>
      </c>
      <c r="B1973" s="2">
        <v>45627</v>
      </c>
      <c r="C1973">
        <v>2024</v>
      </c>
      <c r="D1973">
        <v>12</v>
      </c>
      <c r="E1973" t="s">
        <v>54</v>
      </c>
      <c r="F1973" t="s">
        <v>48</v>
      </c>
      <c r="G1973" t="s">
        <v>24</v>
      </c>
      <c r="H1973" s="3">
        <v>180857.52563617169</v>
      </c>
      <c r="I1973">
        <v>30</v>
      </c>
      <c r="J1973" s="3">
        <v>122464.1062028064</v>
      </c>
      <c r="K1973" s="3">
        <v>58393.419433365343</v>
      </c>
    </row>
    <row r="1974" spans="1:11" x14ac:dyDescent="0.3">
      <c r="A1974" t="s">
        <v>2050</v>
      </c>
      <c r="B1974" s="2">
        <v>45627</v>
      </c>
      <c r="C1974">
        <v>2024</v>
      </c>
      <c r="D1974">
        <v>12</v>
      </c>
      <c r="E1974" t="s">
        <v>58</v>
      </c>
      <c r="F1974" t="s">
        <v>67</v>
      </c>
      <c r="G1974" t="s">
        <v>24</v>
      </c>
      <c r="H1974" s="3">
        <v>68647.869272555516</v>
      </c>
      <c r="I1974">
        <v>11</v>
      </c>
      <c r="J1974" s="3">
        <v>45486.166826387162</v>
      </c>
      <c r="K1974" s="3">
        <v>23161.70244616835</v>
      </c>
    </row>
    <row r="1975" spans="1:11" x14ac:dyDescent="0.3">
      <c r="A1975" t="s">
        <v>2051</v>
      </c>
      <c r="B1975" s="2">
        <v>45627</v>
      </c>
      <c r="C1975">
        <v>2024</v>
      </c>
      <c r="D1975">
        <v>12</v>
      </c>
      <c r="E1975" t="s">
        <v>58</v>
      </c>
      <c r="F1975" t="s">
        <v>48</v>
      </c>
      <c r="G1975" t="s">
        <v>24</v>
      </c>
      <c r="H1975" s="3">
        <v>120306.8339248038</v>
      </c>
      <c r="I1975">
        <v>20</v>
      </c>
      <c r="J1975" s="3">
        <v>78199.340874688016</v>
      </c>
      <c r="K1975" s="3">
        <v>42107.49305011578</v>
      </c>
    </row>
    <row r="1976" spans="1:11" x14ac:dyDescent="0.3">
      <c r="A1976" t="s">
        <v>2052</v>
      </c>
      <c r="B1976" s="2">
        <v>45627</v>
      </c>
      <c r="C1976">
        <v>2024</v>
      </c>
      <c r="D1976">
        <v>12</v>
      </c>
      <c r="E1976" t="s">
        <v>62</v>
      </c>
      <c r="F1976" t="s">
        <v>67</v>
      </c>
      <c r="G1976" t="s">
        <v>24</v>
      </c>
      <c r="H1976" s="3">
        <v>42870.186746126827</v>
      </c>
      <c r="I1976">
        <v>7</v>
      </c>
      <c r="J1976" s="3">
        <v>27054.02399439341</v>
      </c>
      <c r="K1976" s="3">
        <v>15816.16275173342</v>
      </c>
    </row>
    <row r="1977" spans="1:11" x14ac:dyDescent="0.3">
      <c r="A1977" t="s">
        <v>2053</v>
      </c>
      <c r="B1977" s="2">
        <v>45627</v>
      </c>
      <c r="C1977">
        <v>2024</v>
      </c>
      <c r="D1977">
        <v>12</v>
      </c>
      <c r="E1977" t="s">
        <v>62</v>
      </c>
      <c r="F1977" t="s">
        <v>48</v>
      </c>
      <c r="G1977" t="s">
        <v>24</v>
      </c>
      <c r="H1977" s="3">
        <v>95004.09454948752</v>
      </c>
      <c r="I1977">
        <v>16</v>
      </c>
      <c r="J1977" s="3">
        <v>63474.88227981839</v>
      </c>
      <c r="K1977" s="3">
        <v>31529.212269669129</v>
      </c>
    </row>
    <row r="1978" spans="1:11" x14ac:dyDescent="0.3">
      <c r="A1978" t="s">
        <v>2054</v>
      </c>
      <c r="B1978" s="2">
        <v>45627</v>
      </c>
      <c r="C1978">
        <v>2024</v>
      </c>
      <c r="D1978">
        <v>12</v>
      </c>
      <c r="E1978" t="s">
        <v>50</v>
      </c>
      <c r="F1978" t="s">
        <v>67</v>
      </c>
      <c r="G1978" t="s">
        <v>29</v>
      </c>
      <c r="H1978" s="3">
        <v>83750.266068110141</v>
      </c>
      <c r="I1978">
        <v>19</v>
      </c>
      <c r="J1978" s="3">
        <v>52814.091194753943</v>
      </c>
      <c r="K1978" s="3">
        <v>30936.174873356202</v>
      </c>
    </row>
    <row r="1979" spans="1:11" x14ac:dyDescent="0.3">
      <c r="A1979" t="s">
        <v>2055</v>
      </c>
      <c r="B1979" s="2">
        <v>45627</v>
      </c>
      <c r="C1979">
        <v>2024</v>
      </c>
      <c r="D1979">
        <v>12</v>
      </c>
      <c r="E1979" t="s">
        <v>50</v>
      </c>
      <c r="F1979" t="s">
        <v>48</v>
      </c>
      <c r="G1979" t="s">
        <v>29</v>
      </c>
      <c r="H1979" s="3">
        <v>151460.72680950089</v>
      </c>
      <c r="I1979">
        <v>35</v>
      </c>
      <c r="J1979" s="3">
        <v>97242.217323503399</v>
      </c>
      <c r="K1979" s="3">
        <v>54218.509485997492</v>
      </c>
    </row>
    <row r="1980" spans="1:11" x14ac:dyDescent="0.3">
      <c r="A1980" t="s">
        <v>2056</v>
      </c>
      <c r="B1980" s="2">
        <v>45627</v>
      </c>
      <c r="C1980">
        <v>2024</v>
      </c>
      <c r="D1980">
        <v>12</v>
      </c>
      <c r="E1980" t="s">
        <v>54</v>
      </c>
      <c r="F1980" t="s">
        <v>67</v>
      </c>
      <c r="G1980" t="s">
        <v>29</v>
      </c>
      <c r="H1980" s="3">
        <v>65015.222762219477</v>
      </c>
      <c r="I1980">
        <v>15</v>
      </c>
      <c r="J1980" s="3">
        <v>40673.657921266356</v>
      </c>
      <c r="K1980" s="3">
        <v>24341.564840953131</v>
      </c>
    </row>
    <row r="1981" spans="1:11" x14ac:dyDescent="0.3">
      <c r="A1981" t="s">
        <v>2057</v>
      </c>
      <c r="B1981" s="2">
        <v>45627</v>
      </c>
      <c r="C1981">
        <v>2024</v>
      </c>
      <c r="D1981">
        <v>12</v>
      </c>
      <c r="E1981" t="s">
        <v>54</v>
      </c>
      <c r="F1981" t="s">
        <v>48</v>
      </c>
      <c r="G1981" t="s">
        <v>29</v>
      </c>
      <c r="H1981" s="3">
        <v>129679.4918660129</v>
      </c>
      <c r="I1981">
        <v>30</v>
      </c>
      <c r="J1981" s="3">
        <v>82598.634377931172</v>
      </c>
      <c r="K1981" s="3">
        <v>47080.857488081689</v>
      </c>
    </row>
    <row r="1982" spans="1:11" x14ac:dyDescent="0.3">
      <c r="A1982" t="s">
        <v>2058</v>
      </c>
      <c r="B1982" s="2">
        <v>45627</v>
      </c>
      <c r="C1982">
        <v>2024</v>
      </c>
      <c r="D1982">
        <v>12</v>
      </c>
      <c r="E1982" t="s">
        <v>58</v>
      </c>
      <c r="F1982" t="s">
        <v>67</v>
      </c>
      <c r="G1982" t="s">
        <v>29</v>
      </c>
      <c r="H1982" s="3">
        <v>48476.390508589902</v>
      </c>
      <c r="I1982">
        <v>11</v>
      </c>
      <c r="J1982" s="3">
        <v>31043.720264898078</v>
      </c>
      <c r="K1982" s="3">
        <v>17432.67024369182</v>
      </c>
    </row>
    <row r="1983" spans="1:11" x14ac:dyDescent="0.3">
      <c r="A1983" t="s">
        <v>2059</v>
      </c>
      <c r="B1983" s="2">
        <v>45627</v>
      </c>
      <c r="C1983">
        <v>2024</v>
      </c>
      <c r="D1983">
        <v>12</v>
      </c>
      <c r="E1983" t="s">
        <v>58</v>
      </c>
      <c r="F1983" t="s">
        <v>48</v>
      </c>
      <c r="G1983" t="s">
        <v>29</v>
      </c>
      <c r="H1983" s="3">
        <v>83293.173991021074</v>
      </c>
      <c r="I1983">
        <v>19</v>
      </c>
      <c r="J1983" s="3">
        <v>53565.356931097202</v>
      </c>
      <c r="K1983" s="3">
        <v>29727.817059923869</v>
      </c>
    </row>
    <row r="1984" spans="1:11" x14ac:dyDescent="0.3">
      <c r="A1984" t="s">
        <v>2060</v>
      </c>
      <c r="B1984" s="2">
        <v>45627</v>
      </c>
      <c r="C1984">
        <v>2024</v>
      </c>
      <c r="D1984">
        <v>12</v>
      </c>
      <c r="E1984" t="s">
        <v>62</v>
      </c>
      <c r="F1984" t="s">
        <v>67</v>
      </c>
      <c r="G1984" t="s">
        <v>29</v>
      </c>
      <c r="H1984" s="3">
        <v>32116.045873725281</v>
      </c>
      <c r="I1984">
        <v>7</v>
      </c>
      <c r="J1984" s="3">
        <v>20141.810959708331</v>
      </c>
      <c r="K1984" s="3">
        <v>11974.23491401695</v>
      </c>
    </row>
    <row r="1985" spans="1:11" x14ac:dyDescent="0.3">
      <c r="A1985" t="s">
        <v>2061</v>
      </c>
      <c r="B1985" s="2">
        <v>45627</v>
      </c>
      <c r="C1985">
        <v>2024</v>
      </c>
      <c r="D1985">
        <v>12</v>
      </c>
      <c r="E1985" t="s">
        <v>62</v>
      </c>
      <c r="F1985" t="s">
        <v>48</v>
      </c>
      <c r="G1985" t="s">
        <v>29</v>
      </c>
      <c r="H1985" s="3">
        <v>58404.017894103141</v>
      </c>
      <c r="I1985">
        <v>14</v>
      </c>
      <c r="J1985" s="3">
        <v>38183.870237790114</v>
      </c>
      <c r="K1985" s="3">
        <v>20220.147656313031</v>
      </c>
    </row>
    <row r="1986" spans="1:11" x14ac:dyDescent="0.3">
      <c r="A1986" t="s">
        <v>2062</v>
      </c>
      <c r="B1986" s="2">
        <v>45627</v>
      </c>
      <c r="C1986">
        <v>2024</v>
      </c>
      <c r="D1986">
        <v>12</v>
      </c>
      <c r="E1986" t="s">
        <v>50</v>
      </c>
      <c r="F1986" t="s">
        <v>67</v>
      </c>
      <c r="G1986" t="s">
        <v>34</v>
      </c>
      <c r="H1986" s="3">
        <v>74420.769995355906</v>
      </c>
      <c r="I1986">
        <v>88</v>
      </c>
      <c r="J1986" s="3">
        <v>35338.168965412093</v>
      </c>
      <c r="K1986" s="3">
        <v>39082.601029943813</v>
      </c>
    </row>
    <row r="1987" spans="1:11" x14ac:dyDescent="0.3">
      <c r="A1987" t="s">
        <v>2063</v>
      </c>
      <c r="B1987" s="2">
        <v>45627</v>
      </c>
      <c r="C1987">
        <v>2024</v>
      </c>
      <c r="D1987">
        <v>12</v>
      </c>
      <c r="E1987" t="s">
        <v>50</v>
      </c>
      <c r="F1987" t="s">
        <v>48</v>
      </c>
      <c r="G1987" t="s">
        <v>34</v>
      </c>
      <c r="H1987" s="3">
        <v>135088.22918686201</v>
      </c>
      <c r="I1987">
        <v>159</v>
      </c>
      <c r="J1987" s="3">
        <v>62887.972382659187</v>
      </c>
      <c r="K1987" s="3">
        <v>72200.256804202756</v>
      </c>
    </row>
    <row r="1988" spans="1:11" x14ac:dyDescent="0.3">
      <c r="A1988" t="s">
        <v>2064</v>
      </c>
      <c r="B1988" s="2">
        <v>45627</v>
      </c>
      <c r="C1988">
        <v>2024</v>
      </c>
      <c r="D1988">
        <v>12</v>
      </c>
      <c r="E1988" t="s">
        <v>54</v>
      </c>
      <c r="F1988" t="s">
        <v>67</v>
      </c>
      <c r="G1988" t="s">
        <v>34</v>
      </c>
      <c r="H1988" s="3">
        <v>56542.482261427758</v>
      </c>
      <c r="I1988">
        <v>67</v>
      </c>
      <c r="J1988" s="3">
        <v>27087.13059610522</v>
      </c>
      <c r="K1988" s="3">
        <v>29455.351665322542</v>
      </c>
    </row>
    <row r="1989" spans="1:11" x14ac:dyDescent="0.3">
      <c r="A1989" t="s">
        <v>2065</v>
      </c>
      <c r="B1989" s="2">
        <v>45627</v>
      </c>
      <c r="C1989">
        <v>2024</v>
      </c>
      <c r="D1989">
        <v>12</v>
      </c>
      <c r="E1989" t="s">
        <v>54</v>
      </c>
      <c r="F1989" t="s">
        <v>48</v>
      </c>
      <c r="G1989" t="s">
        <v>34</v>
      </c>
      <c r="H1989" s="3">
        <v>109825.2979071703</v>
      </c>
      <c r="I1989">
        <v>129</v>
      </c>
      <c r="J1989" s="3">
        <v>52748.761402152457</v>
      </c>
      <c r="K1989" s="3">
        <v>57076.536505017822</v>
      </c>
    </row>
    <row r="1990" spans="1:11" x14ac:dyDescent="0.3">
      <c r="A1990" t="s">
        <v>2066</v>
      </c>
      <c r="B1990" s="2">
        <v>45627</v>
      </c>
      <c r="C1990">
        <v>2024</v>
      </c>
      <c r="D1990">
        <v>12</v>
      </c>
      <c r="E1990" t="s">
        <v>58</v>
      </c>
      <c r="F1990" t="s">
        <v>67</v>
      </c>
      <c r="G1990" t="s">
        <v>34</v>
      </c>
      <c r="H1990" s="3">
        <v>38997.326387767571</v>
      </c>
      <c r="I1990">
        <v>46</v>
      </c>
      <c r="J1990" s="3">
        <v>18772.825171912529</v>
      </c>
      <c r="K1990" s="3">
        <v>20224.501215855042</v>
      </c>
    </row>
    <row r="1991" spans="1:11" x14ac:dyDescent="0.3">
      <c r="A1991" t="s">
        <v>2067</v>
      </c>
      <c r="B1991" s="2">
        <v>45627</v>
      </c>
      <c r="C1991">
        <v>2024</v>
      </c>
      <c r="D1991">
        <v>12</v>
      </c>
      <c r="E1991" t="s">
        <v>58</v>
      </c>
      <c r="F1991" t="s">
        <v>48</v>
      </c>
      <c r="G1991" t="s">
        <v>34</v>
      </c>
      <c r="H1991" s="3">
        <v>77869.146043277258</v>
      </c>
      <c r="I1991">
        <v>92</v>
      </c>
      <c r="J1991" s="3">
        <v>38293.618373082369</v>
      </c>
      <c r="K1991" s="3">
        <v>39575.52767019489</v>
      </c>
    </row>
    <row r="1992" spans="1:11" x14ac:dyDescent="0.3">
      <c r="A1992" t="s">
        <v>2068</v>
      </c>
      <c r="B1992" s="2">
        <v>45627</v>
      </c>
      <c r="C1992">
        <v>2024</v>
      </c>
      <c r="D1992">
        <v>12</v>
      </c>
      <c r="E1992" t="s">
        <v>62</v>
      </c>
      <c r="F1992" t="s">
        <v>67</v>
      </c>
      <c r="G1992" t="s">
        <v>34</v>
      </c>
      <c r="H1992" s="3">
        <v>30334.586257798492</v>
      </c>
      <c r="I1992">
        <v>36</v>
      </c>
      <c r="J1992" s="3">
        <v>14498.63033298966</v>
      </c>
      <c r="K1992" s="3">
        <v>15835.95592480883</v>
      </c>
    </row>
    <row r="1993" spans="1:11" x14ac:dyDescent="0.3">
      <c r="A1993" t="s">
        <v>2069</v>
      </c>
      <c r="B1993" s="2">
        <v>45627</v>
      </c>
      <c r="C1993">
        <v>2024</v>
      </c>
      <c r="D1993">
        <v>12</v>
      </c>
      <c r="E1993" t="s">
        <v>62</v>
      </c>
      <c r="F1993" t="s">
        <v>48</v>
      </c>
      <c r="G1993" t="s">
        <v>34</v>
      </c>
      <c r="H1993" s="3">
        <v>53883.564691832442</v>
      </c>
      <c r="I1993">
        <v>63</v>
      </c>
      <c r="J1993" s="3">
        <v>25808.4216576033</v>
      </c>
      <c r="K1993" s="3">
        <v>28075.14303422915</v>
      </c>
    </row>
    <row r="1994" spans="1:11" x14ac:dyDescent="0.3">
      <c r="A1994" t="s">
        <v>2070</v>
      </c>
      <c r="B1994" s="2">
        <v>45627</v>
      </c>
      <c r="C1994">
        <v>2024</v>
      </c>
      <c r="D1994">
        <v>12</v>
      </c>
      <c r="E1994" t="s">
        <v>50</v>
      </c>
      <c r="F1994" t="s">
        <v>67</v>
      </c>
      <c r="G1994" t="s">
        <v>37</v>
      </c>
      <c r="H1994" s="3">
        <v>62910.255369972983</v>
      </c>
      <c r="I1994">
        <v>87</v>
      </c>
      <c r="J1994" s="3">
        <v>33913.564503164103</v>
      </c>
      <c r="K1994" s="3">
        <v>28996.69086680888</v>
      </c>
    </row>
    <row r="1995" spans="1:11" x14ac:dyDescent="0.3">
      <c r="A1995" t="s">
        <v>2071</v>
      </c>
      <c r="B1995" s="2">
        <v>45627</v>
      </c>
      <c r="C1995">
        <v>2024</v>
      </c>
      <c r="D1995">
        <v>12</v>
      </c>
      <c r="E1995" t="s">
        <v>50</v>
      </c>
      <c r="F1995" t="s">
        <v>48</v>
      </c>
      <c r="G1995" t="s">
        <v>37</v>
      </c>
      <c r="H1995" s="3">
        <v>113339.127267984</v>
      </c>
      <c r="I1995">
        <v>157</v>
      </c>
      <c r="J1995" s="3">
        <v>63257.228094541802</v>
      </c>
      <c r="K1995" s="3">
        <v>50081.899173442172</v>
      </c>
    </row>
    <row r="1996" spans="1:11" x14ac:dyDescent="0.3">
      <c r="A1996" t="s">
        <v>2072</v>
      </c>
      <c r="B1996" s="2">
        <v>45627</v>
      </c>
      <c r="C1996">
        <v>2024</v>
      </c>
      <c r="D1996">
        <v>12</v>
      </c>
      <c r="E1996" t="s">
        <v>54</v>
      </c>
      <c r="F1996" t="s">
        <v>67</v>
      </c>
      <c r="G1996" t="s">
        <v>37</v>
      </c>
      <c r="H1996" s="3">
        <v>44301.947184258759</v>
      </c>
      <c r="I1996">
        <v>62</v>
      </c>
      <c r="J1996" s="3">
        <v>24446.906930523772</v>
      </c>
      <c r="K1996" s="3">
        <v>19855.040253734991</v>
      </c>
    </row>
    <row r="1997" spans="1:11" x14ac:dyDescent="0.3">
      <c r="A1997" t="s">
        <v>2073</v>
      </c>
      <c r="B1997" s="2">
        <v>45627</v>
      </c>
      <c r="C1997">
        <v>2024</v>
      </c>
      <c r="D1997">
        <v>12</v>
      </c>
      <c r="E1997" t="s">
        <v>54</v>
      </c>
      <c r="F1997" t="s">
        <v>48</v>
      </c>
      <c r="G1997" t="s">
        <v>37</v>
      </c>
      <c r="H1997" s="3">
        <v>86060.57492669663</v>
      </c>
      <c r="I1997">
        <v>120</v>
      </c>
      <c r="J1997" s="3">
        <v>46975.452715491861</v>
      </c>
      <c r="K1997" s="3">
        <v>39085.122211204769</v>
      </c>
    </row>
    <row r="1998" spans="1:11" x14ac:dyDescent="0.3">
      <c r="A1998" t="s">
        <v>2074</v>
      </c>
      <c r="B1998" s="2">
        <v>45627</v>
      </c>
      <c r="C1998">
        <v>2024</v>
      </c>
      <c r="D1998">
        <v>12</v>
      </c>
      <c r="E1998" t="s">
        <v>58</v>
      </c>
      <c r="F1998" t="s">
        <v>67</v>
      </c>
      <c r="G1998" t="s">
        <v>37</v>
      </c>
      <c r="H1998" s="3">
        <v>33422.268828192377</v>
      </c>
      <c r="I1998">
        <v>46</v>
      </c>
      <c r="J1998" s="3">
        <v>17752.028214116759</v>
      </c>
      <c r="K1998" s="3">
        <v>15670.240614075619</v>
      </c>
    </row>
    <row r="1999" spans="1:11" x14ac:dyDescent="0.3">
      <c r="A1999" t="s">
        <v>2075</v>
      </c>
      <c r="B1999" s="2">
        <v>45627</v>
      </c>
      <c r="C1999">
        <v>2024</v>
      </c>
      <c r="D1999">
        <v>12</v>
      </c>
      <c r="E1999" t="s">
        <v>58</v>
      </c>
      <c r="F1999" t="s">
        <v>48</v>
      </c>
      <c r="G1999" t="s">
        <v>37</v>
      </c>
      <c r="H1999" s="3">
        <v>66261.63095866199</v>
      </c>
      <c r="I1999">
        <v>92</v>
      </c>
      <c r="J1999" s="3">
        <v>37391.417194691312</v>
      </c>
      <c r="K1999" s="3">
        <v>28870.213763970682</v>
      </c>
    </row>
    <row r="2000" spans="1:11" x14ac:dyDescent="0.3">
      <c r="A2000" t="s">
        <v>2076</v>
      </c>
      <c r="B2000" s="2">
        <v>45627</v>
      </c>
      <c r="C2000">
        <v>2024</v>
      </c>
      <c r="D2000">
        <v>12</v>
      </c>
      <c r="E2000" t="s">
        <v>62</v>
      </c>
      <c r="F2000" t="s">
        <v>67</v>
      </c>
      <c r="G2000" t="s">
        <v>37</v>
      </c>
      <c r="H2000" s="3">
        <v>25198.319582831758</v>
      </c>
      <c r="I2000">
        <v>35</v>
      </c>
      <c r="J2000" s="3">
        <v>13552.81459686842</v>
      </c>
      <c r="K2000" s="3">
        <v>11645.50498596334</v>
      </c>
    </row>
    <row r="2001" spans="1:11" x14ac:dyDescent="0.3">
      <c r="A2001" t="s">
        <v>2077</v>
      </c>
      <c r="B2001" s="2">
        <v>45627</v>
      </c>
      <c r="C2001">
        <v>2024</v>
      </c>
      <c r="D2001">
        <v>12</v>
      </c>
      <c r="E2001" t="s">
        <v>62</v>
      </c>
      <c r="F2001" t="s">
        <v>48</v>
      </c>
      <c r="G2001" t="s">
        <v>37</v>
      </c>
      <c r="H2001" s="3">
        <v>45398.870620974209</v>
      </c>
      <c r="I2001">
        <v>63</v>
      </c>
      <c r="J2001" s="3">
        <v>24703.629638436629</v>
      </c>
      <c r="K2001" s="3">
        <v>20695.24098253758</v>
      </c>
    </row>
    <row r="2002" spans="1:11" x14ac:dyDescent="0.3">
      <c r="A2002" t="s">
        <v>2078</v>
      </c>
      <c r="B2002" s="2">
        <v>45627</v>
      </c>
      <c r="C2002">
        <v>2024</v>
      </c>
      <c r="D2002">
        <v>12</v>
      </c>
      <c r="E2002" t="s">
        <v>50</v>
      </c>
      <c r="F2002" t="s">
        <v>67</v>
      </c>
      <c r="G2002" t="s">
        <v>40</v>
      </c>
      <c r="H2002" s="3">
        <v>55004.550567518607</v>
      </c>
      <c r="I2002">
        <v>10</v>
      </c>
      <c r="J2002" s="3">
        <v>38197.945280036343</v>
      </c>
      <c r="K2002" s="3">
        <v>16806.60528748226</v>
      </c>
    </row>
    <row r="2003" spans="1:11" x14ac:dyDescent="0.3">
      <c r="A2003" t="s">
        <v>2079</v>
      </c>
      <c r="B2003" s="2">
        <v>45627</v>
      </c>
      <c r="C2003">
        <v>2024</v>
      </c>
      <c r="D2003">
        <v>12</v>
      </c>
      <c r="E2003" t="s">
        <v>50</v>
      </c>
      <c r="F2003" t="s">
        <v>48</v>
      </c>
      <c r="G2003" t="s">
        <v>40</v>
      </c>
      <c r="H2003" s="3">
        <v>106281.452383578</v>
      </c>
      <c r="I2003">
        <v>20</v>
      </c>
      <c r="J2003" s="3">
        <v>71754.726966399103</v>
      </c>
      <c r="K2003" s="3">
        <v>34526.725417178852</v>
      </c>
    </row>
    <row r="2004" spans="1:11" x14ac:dyDescent="0.3">
      <c r="A2004" t="s">
        <v>2080</v>
      </c>
      <c r="B2004" s="2">
        <v>45627</v>
      </c>
      <c r="C2004">
        <v>2024</v>
      </c>
      <c r="D2004">
        <v>12</v>
      </c>
      <c r="E2004" t="s">
        <v>54</v>
      </c>
      <c r="F2004" t="s">
        <v>67</v>
      </c>
      <c r="G2004" t="s">
        <v>40</v>
      </c>
      <c r="H2004" s="3">
        <v>51750.715859338379</v>
      </c>
      <c r="I2004">
        <v>10</v>
      </c>
      <c r="J2004" s="3">
        <v>34748.049656862859</v>
      </c>
      <c r="K2004" s="3">
        <v>17002.666202475521</v>
      </c>
    </row>
    <row r="2005" spans="1:11" x14ac:dyDescent="0.3">
      <c r="A2005" t="s">
        <v>2081</v>
      </c>
      <c r="B2005" s="2">
        <v>45627</v>
      </c>
      <c r="C2005">
        <v>2024</v>
      </c>
      <c r="D2005">
        <v>12</v>
      </c>
      <c r="E2005" t="s">
        <v>54</v>
      </c>
      <c r="F2005" t="s">
        <v>48</v>
      </c>
      <c r="G2005" t="s">
        <v>40</v>
      </c>
      <c r="H2005" s="3">
        <v>85853.610183367535</v>
      </c>
      <c r="I2005">
        <v>16</v>
      </c>
      <c r="J2005" s="3">
        <v>56974.2218142602</v>
      </c>
      <c r="K2005" s="3">
        <v>28879.388369107339</v>
      </c>
    </row>
    <row r="2006" spans="1:11" x14ac:dyDescent="0.3">
      <c r="A2006" t="s">
        <v>2082</v>
      </c>
      <c r="B2006" s="2">
        <v>45627</v>
      </c>
      <c r="C2006">
        <v>2024</v>
      </c>
      <c r="D2006">
        <v>12</v>
      </c>
      <c r="E2006" t="s">
        <v>58</v>
      </c>
      <c r="F2006" t="s">
        <v>67</v>
      </c>
      <c r="G2006" t="s">
        <v>40</v>
      </c>
      <c r="H2006" s="3">
        <v>32843.350633751739</v>
      </c>
      <c r="I2006">
        <v>6</v>
      </c>
      <c r="J2006" s="3">
        <v>22956.016987457118</v>
      </c>
      <c r="K2006" s="3">
        <v>9887.3336462946172</v>
      </c>
    </row>
    <row r="2007" spans="1:11" x14ac:dyDescent="0.3">
      <c r="A2007" t="s">
        <v>2083</v>
      </c>
      <c r="B2007" s="2">
        <v>45627</v>
      </c>
      <c r="C2007">
        <v>2024</v>
      </c>
      <c r="D2007">
        <v>12</v>
      </c>
      <c r="E2007" t="s">
        <v>58</v>
      </c>
      <c r="F2007" t="s">
        <v>48</v>
      </c>
      <c r="G2007" t="s">
        <v>40</v>
      </c>
      <c r="H2007" s="3">
        <v>60652.925664232207</v>
      </c>
      <c r="I2007">
        <v>11</v>
      </c>
      <c r="J2007" s="3">
        <v>41439.824819900343</v>
      </c>
      <c r="K2007" s="3">
        <v>19213.100844331861</v>
      </c>
    </row>
    <row r="2008" spans="1:11" x14ac:dyDescent="0.3">
      <c r="A2008" t="s">
        <v>2084</v>
      </c>
      <c r="B2008" s="2">
        <v>45627</v>
      </c>
      <c r="C2008">
        <v>2024</v>
      </c>
      <c r="D2008">
        <v>12</v>
      </c>
      <c r="E2008" t="s">
        <v>62</v>
      </c>
      <c r="F2008" t="s">
        <v>67</v>
      </c>
      <c r="G2008" t="s">
        <v>40</v>
      </c>
      <c r="H2008" s="3">
        <v>22237.827460473349</v>
      </c>
      <c r="I2008">
        <v>4</v>
      </c>
      <c r="J2008" s="3">
        <v>16152.5948481297</v>
      </c>
      <c r="K2008" s="3">
        <v>6085.2326123436469</v>
      </c>
    </row>
    <row r="2009" spans="1:11" x14ac:dyDescent="0.3">
      <c r="A2009" t="s">
        <v>2085</v>
      </c>
      <c r="B2009" s="2">
        <v>45627</v>
      </c>
      <c r="C2009">
        <v>2024</v>
      </c>
      <c r="D2009">
        <v>12</v>
      </c>
      <c r="E2009" t="s">
        <v>62</v>
      </c>
      <c r="F2009" t="s">
        <v>48</v>
      </c>
      <c r="G2009" t="s">
        <v>40</v>
      </c>
      <c r="H2009" s="3">
        <v>43643.572724288351</v>
      </c>
      <c r="I2009">
        <v>8</v>
      </c>
      <c r="J2009" s="3">
        <v>29575.071861110791</v>
      </c>
      <c r="K2009" s="3">
        <v>14068.50086317756</v>
      </c>
    </row>
    <row r="2010" spans="1:11" x14ac:dyDescent="0.3">
      <c r="A2010" t="s">
        <v>2086</v>
      </c>
      <c r="B2010" s="2">
        <v>45627</v>
      </c>
      <c r="C2010">
        <v>2024</v>
      </c>
      <c r="D2010">
        <v>12</v>
      </c>
      <c r="E2010" t="s">
        <v>50</v>
      </c>
      <c r="F2010" t="s">
        <v>67</v>
      </c>
      <c r="G2010" t="s">
        <v>43</v>
      </c>
      <c r="H2010" s="3">
        <v>128492.2300986037</v>
      </c>
      <c r="I2010">
        <v>37</v>
      </c>
      <c r="J2010" s="3">
        <v>74553.015224811199</v>
      </c>
      <c r="K2010" s="3">
        <v>53939.214873792487</v>
      </c>
    </row>
    <row r="2011" spans="1:11" x14ac:dyDescent="0.3">
      <c r="A2011" t="s">
        <v>2087</v>
      </c>
      <c r="B2011" s="2">
        <v>45627</v>
      </c>
      <c r="C2011">
        <v>2024</v>
      </c>
      <c r="D2011">
        <v>12</v>
      </c>
      <c r="E2011" t="s">
        <v>50</v>
      </c>
      <c r="F2011" t="s">
        <v>48</v>
      </c>
      <c r="G2011" t="s">
        <v>43</v>
      </c>
      <c r="H2011" s="3">
        <v>217825.6291447886</v>
      </c>
      <c r="I2011">
        <v>62</v>
      </c>
      <c r="J2011" s="3">
        <v>127209.1930114915</v>
      </c>
      <c r="K2011" s="3">
        <v>90616.436133297088</v>
      </c>
    </row>
    <row r="2012" spans="1:11" x14ac:dyDescent="0.3">
      <c r="A2012" t="s">
        <v>2088</v>
      </c>
      <c r="B2012" s="2">
        <v>45627</v>
      </c>
      <c r="C2012">
        <v>2024</v>
      </c>
      <c r="D2012">
        <v>12</v>
      </c>
      <c r="E2012" t="s">
        <v>54</v>
      </c>
      <c r="F2012" t="s">
        <v>67</v>
      </c>
      <c r="G2012" t="s">
        <v>43</v>
      </c>
      <c r="H2012" s="3">
        <v>92083.735048324263</v>
      </c>
      <c r="I2012">
        <v>26</v>
      </c>
      <c r="J2012" s="3">
        <v>54567.172173401901</v>
      </c>
      <c r="K2012" s="3">
        <v>37516.562874922362</v>
      </c>
    </row>
    <row r="2013" spans="1:11" x14ac:dyDescent="0.3">
      <c r="A2013" t="s">
        <v>2089</v>
      </c>
      <c r="B2013" s="2">
        <v>45627</v>
      </c>
      <c r="C2013">
        <v>2024</v>
      </c>
      <c r="D2013">
        <v>12</v>
      </c>
      <c r="E2013" t="s">
        <v>54</v>
      </c>
      <c r="F2013" t="s">
        <v>48</v>
      </c>
      <c r="G2013" t="s">
        <v>43</v>
      </c>
      <c r="H2013" s="3">
        <v>189127.64903455609</v>
      </c>
      <c r="I2013">
        <v>54</v>
      </c>
      <c r="J2013" s="3">
        <v>110640.8927698012</v>
      </c>
      <c r="K2013" s="3">
        <v>78486.756264754891</v>
      </c>
    </row>
    <row r="2014" spans="1:11" x14ac:dyDescent="0.3">
      <c r="A2014" t="s">
        <v>2090</v>
      </c>
      <c r="B2014" s="2">
        <v>45627</v>
      </c>
      <c r="C2014">
        <v>2024</v>
      </c>
      <c r="D2014">
        <v>12</v>
      </c>
      <c r="E2014" t="s">
        <v>58</v>
      </c>
      <c r="F2014" t="s">
        <v>67</v>
      </c>
      <c r="G2014" t="s">
        <v>43</v>
      </c>
      <c r="H2014" s="3">
        <v>65867.902625255767</v>
      </c>
      <c r="I2014">
        <v>19</v>
      </c>
      <c r="J2014" s="3">
        <v>39290.399419323818</v>
      </c>
      <c r="K2014" s="3">
        <v>26577.503205931949</v>
      </c>
    </row>
    <row r="2015" spans="1:11" x14ac:dyDescent="0.3">
      <c r="A2015" t="s">
        <v>2091</v>
      </c>
      <c r="B2015" s="2">
        <v>45627</v>
      </c>
      <c r="C2015">
        <v>2024</v>
      </c>
      <c r="D2015">
        <v>12</v>
      </c>
      <c r="E2015" t="s">
        <v>58</v>
      </c>
      <c r="F2015" t="s">
        <v>48</v>
      </c>
      <c r="G2015" t="s">
        <v>43</v>
      </c>
      <c r="H2015" s="3">
        <v>130735.6296507143</v>
      </c>
      <c r="I2015">
        <v>37</v>
      </c>
      <c r="J2015" s="3">
        <v>75775.337251593868</v>
      </c>
      <c r="K2015" s="3">
        <v>54960.292399120401</v>
      </c>
    </row>
    <row r="2016" spans="1:11" x14ac:dyDescent="0.3">
      <c r="A2016" t="s">
        <v>2092</v>
      </c>
      <c r="B2016" s="2">
        <v>45627</v>
      </c>
      <c r="C2016">
        <v>2024</v>
      </c>
      <c r="D2016">
        <v>12</v>
      </c>
      <c r="E2016" t="s">
        <v>62</v>
      </c>
      <c r="F2016" t="s">
        <v>67</v>
      </c>
      <c r="G2016" t="s">
        <v>43</v>
      </c>
      <c r="H2016" s="3">
        <v>49633.404148180423</v>
      </c>
      <c r="I2016">
        <v>14</v>
      </c>
      <c r="J2016" s="3">
        <v>28555.46212404285</v>
      </c>
      <c r="K2016" s="3">
        <v>21077.942024137559</v>
      </c>
    </row>
    <row r="2017" spans="1:11" x14ac:dyDescent="0.3">
      <c r="A2017" t="s">
        <v>2093</v>
      </c>
      <c r="B2017" s="2">
        <v>45627</v>
      </c>
      <c r="C2017">
        <v>2024</v>
      </c>
      <c r="D2017">
        <v>12</v>
      </c>
      <c r="E2017" t="s">
        <v>62</v>
      </c>
      <c r="F2017" t="s">
        <v>48</v>
      </c>
      <c r="G2017" t="s">
        <v>43</v>
      </c>
      <c r="H2017" s="3">
        <v>90671.847578610526</v>
      </c>
      <c r="I2017">
        <v>26</v>
      </c>
      <c r="J2017" s="3">
        <v>51764.826123012594</v>
      </c>
      <c r="K2017" s="3">
        <v>38907.021455597933</v>
      </c>
    </row>
    <row r="2018" spans="1:11" x14ac:dyDescent="0.3">
      <c r="A2018" t="s">
        <v>2094</v>
      </c>
      <c r="B2018" s="2">
        <v>45658</v>
      </c>
      <c r="C2018">
        <v>2025</v>
      </c>
      <c r="D2018">
        <v>1</v>
      </c>
      <c r="E2018" t="s">
        <v>50</v>
      </c>
      <c r="F2018" t="s">
        <v>67</v>
      </c>
      <c r="G2018" t="s">
        <v>19</v>
      </c>
      <c r="H2018" s="3">
        <v>102828.09563409491</v>
      </c>
      <c r="I2018">
        <v>20</v>
      </c>
      <c r="J2018" s="3">
        <v>61201.731080496793</v>
      </c>
      <c r="K2018" s="3">
        <v>41626.364553598127</v>
      </c>
    </row>
    <row r="2019" spans="1:11" x14ac:dyDescent="0.3">
      <c r="A2019" t="s">
        <v>2095</v>
      </c>
      <c r="B2019" s="2">
        <v>45658</v>
      </c>
      <c r="C2019">
        <v>2025</v>
      </c>
      <c r="D2019">
        <v>1</v>
      </c>
      <c r="E2019" t="s">
        <v>50</v>
      </c>
      <c r="F2019" t="s">
        <v>48</v>
      </c>
      <c r="G2019" t="s">
        <v>19</v>
      </c>
      <c r="H2019" s="3">
        <v>166177.9056172453</v>
      </c>
      <c r="I2019">
        <v>32</v>
      </c>
      <c r="J2019" s="3">
        <v>102069.5189519156</v>
      </c>
      <c r="K2019" s="3">
        <v>64108.386665329657</v>
      </c>
    </row>
    <row r="2020" spans="1:11" x14ac:dyDescent="0.3">
      <c r="A2020" t="s">
        <v>2096</v>
      </c>
      <c r="B2020" s="2">
        <v>45658</v>
      </c>
      <c r="C2020">
        <v>2025</v>
      </c>
      <c r="D2020">
        <v>1</v>
      </c>
      <c r="E2020" t="s">
        <v>54</v>
      </c>
      <c r="F2020" t="s">
        <v>67</v>
      </c>
      <c r="G2020" t="s">
        <v>19</v>
      </c>
      <c r="H2020" s="3">
        <v>86100.903819172046</v>
      </c>
      <c r="I2020">
        <v>17</v>
      </c>
      <c r="J2020" s="3">
        <v>53093.352573360891</v>
      </c>
      <c r="K2020" s="3">
        <v>33007.551245811163</v>
      </c>
    </row>
    <row r="2021" spans="1:11" x14ac:dyDescent="0.3">
      <c r="A2021" t="s">
        <v>2097</v>
      </c>
      <c r="B2021" s="2">
        <v>45658</v>
      </c>
      <c r="C2021">
        <v>2025</v>
      </c>
      <c r="D2021">
        <v>1</v>
      </c>
      <c r="E2021" t="s">
        <v>54</v>
      </c>
      <c r="F2021" t="s">
        <v>48</v>
      </c>
      <c r="G2021" t="s">
        <v>19</v>
      </c>
      <c r="H2021" s="3">
        <v>130062.0332201409</v>
      </c>
      <c r="I2021">
        <v>25</v>
      </c>
      <c r="J2021" s="3">
        <v>79721.934619009786</v>
      </c>
      <c r="K2021" s="3">
        <v>50340.098601131132</v>
      </c>
    </row>
    <row r="2022" spans="1:11" x14ac:dyDescent="0.3">
      <c r="A2022" t="s">
        <v>2098</v>
      </c>
      <c r="B2022" s="2">
        <v>45658</v>
      </c>
      <c r="C2022">
        <v>2025</v>
      </c>
      <c r="D2022">
        <v>1</v>
      </c>
      <c r="E2022" t="s">
        <v>58</v>
      </c>
      <c r="F2022" t="s">
        <v>67</v>
      </c>
      <c r="G2022" t="s">
        <v>19</v>
      </c>
      <c r="H2022" s="3">
        <v>59605.087505129653</v>
      </c>
      <c r="I2022">
        <v>11</v>
      </c>
      <c r="J2022" s="3">
        <v>37782.258807798687</v>
      </c>
      <c r="K2022" s="3">
        <v>21822.828697330959</v>
      </c>
    </row>
    <row r="2023" spans="1:11" x14ac:dyDescent="0.3">
      <c r="A2023" t="s">
        <v>2099</v>
      </c>
      <c r="B2023" s="2">
        <v>45658</v>
      </c>
      <c r="C2023">
        <v>2025</v>
      </c>
      <c r="D2023">
        <v>1</v>
      </c>
      <c r="E2023" t="s">
        <v>58</v>
      </c>
      <c r="F2023" t="s">
        <v>48</v>
      </c>
      <c r="G2023" t="s">
        <v>19</v>
      </c>
      <c r="H2023" s="3">
        <v>85092.682147581188</v>
      </c>
      <c r="I2023">
        <v>16</v>
      </c>
      <c r="J2023" s="3">
        <v>53923.642580219283</v>
      </c>
      <c r="K2023" s="3">
        <v>31169.03956736191</v>
      </c>
    </row>
    <row r="2024" spans="1:11" x14ac:dyDescent="0.3">
      <c r="A2024" t="s">
        <v>2100</v>
      </c>
      <c r="B2024" s="2">
        <v>45658</v>
      </c>
      <c r="C2024">
        <v>2025</v>
      </c>
      <c r="D2024">
        <v>1</v>
      </c>
      <c r="E2024" t="s">
        <v>62</v>
      </c>
      <c r="F2024" t="s">
        <v>67</v>
      </c>
      <c r="G2024" t="s">
        <v>19</v>
      </c>
      <c r="H2024" s="3">
        <v>43422.042467536303</v>
      </c>
      <c r="I2024">
        <v>8</v>
      </c>
      <c r="J2024" s="3">
        <v>26759.424152216448</v>
      </c>
      <c r="K2024" s="3">
        <v>16662.618315319851</v>
      </c>
    </row>
    <row r="2025" spans="1:11" x14ac:dyDescent="0.3">
      <c r="A2025" t="s">
        <v>2101</v>
      </c>
      <c r="B2025" s="2">
        <v>45658</v>
      </c>
      <c r="C2025">
        <v>2025</v>
      </c>
      <c r="D2025">
        <v>1</v>
      </c>
      <c r="E2025" t="s">
        <v>62</v>
      </c>
      <c r="F2025" t="s">
        <v>48</v>
      </c>
      <c r="G2025" t="s">
        <v>19</v>
      </c>
      <c r="H2025" s="3">
        <v>67216.907854361198</v>
      </c>
      <c r="I2025">
        <v>13</v>
      </c>
      <c r="J2025" s="3">
        <v>40328.789645080207</v>
      </c>
      <c r="K2025" s="3">
        <v>26888.11820928099</v>
      </c>
    </row>
    <row r="2026" spans="1:11" x14ac:dyDescent="0.3">
      <c r="A2026" t="s">
        <v>2102</v>
      </c>
      <c r="B2026" s="2">
        <v>45658</v>
      </c>
      <c r="C2026">
        <v>2025</v>
      </c>
      <c r="D2026">
        <v>1</v>
      </c>
      <c r="E2026" t="s">
        <v>50</v>
      </c>
      <c r="F2026" t="s">
        <v>67</v>
      </c>
      <c r="G2026" t="s">
        <v>24</v>
      </c>
      <c r="H2026" s="3">
        <v>105818.3856898591</v>
      </c>
      <c r="I2026">
        <v>17</v>
      </c>
      <c r="J2026" s="3">
        <v>69127.716857311563</v>
      </c>
      <c r="K2026" s="3">
        <v>36690.668832547497</v>
      </c>
    </row>
    <row r="2027" spans="1:11" x14ac:dyDescent="0.3">
      <c r="A2027" t="s">
        <v>2103</v>
      </c>
      <c r="B2027" s="2">
        <v>45658</v>
      </c>
      <c r="C2027">
        <v>2025</v>
      </c>
      <c r="D2027">
        <v>1</v>
      </c>
      <c r="E2027" t="s">
        <v>50</v>
      </c>
      <c r="F2027" t="s">
        <v>48</v>
      </c>
      <c r="G2027" t="s">
        <v>24</v>
      </c>
      <c r="H2027" s="3">
        <v>160335.07389726551</v>
      </c>
      <c r="I2027">
        <v>26</v>
      </c>
      <c r="J2027" s="3">
        <v>104678.62057087119</v>
      </c>
      <c r="K2027" s="3">
        <v>55656.453326394228</v>
      </c>
    </row>
    <row r="2028" spans="1:11" x14ac:dyDescent="0.3">
      <c r="A2028" t="s">
        <v>2104</v>
      </c>
      <c r="B2028" s="2">
        <v>45658</v>
      </c>
      <c r="C2028">
        <v>2025</v>
      </c>
      <c r="D2028">
        <v>1</v>
      </c>
      <c r="E2028" t="s">
        <v>54</v>
      </c>
      <c r="F2028" t="s">
        <v>67</v>
      </c>
      <c r="G2028" t="s">
        <v>24</v>
      </c>
      <c r="H2028" s="3">
        <v>77855.734527432665</v>
      </c>
      <c r="I2028">
        <v>13</v>
      </c>
      <c r="J2028" s="3">
        <v>50776.983493064392</v>
      </c>
      <c r="K2028" s="3">
        <v>27078.75103436827</v>
      </c>
    </row>
    <row r="2029" spans="1:11" x14ac:dyDescent="0.3">
      <c r="A2029" t="s">
        <v>2105</v>
      </c>
      <c r="B2029" s="2">
        <v>45658</v>
      </c>
      <c r="C2029">
        <v>2025</v>
      </c>
      <c r="D2029">
        <v>1</v>
      </c>
      <c r="E2029" t="s">
        <v>54</v>
      </c>
      <c r="F2029" t="s">
        <v>48</v>
      </c>
      <c r="G2029" t="s">
        <v>24</v>
      </c>
      <c r="H2029" s="3">
        <v>128863.51301700799</v>
      </c>
      <c r="I2029">
        <v>21</v>
      </c>
      <c r="J2029" s="3">
        <v>83981.78174365536</v>
      </c>
      <c r="K2029" s="3">
        <v>44881.731273352591</v>
      </c>
    </row>
    <row r="2030" spans="1:11" x14ac:dyDescent="0.3">
      <c r="A2030" t="s">
        <v>2106</v>
      </c>
      <c r="B2030" s="2">
        <v>45658</v>
      </c>
      <c r="C2030">
        <v>2025</v>
      </c>
      <c r="D2030">
        <v>1</v>
      </c>
      <c r="E2030" t="s">
        <v>58</v>
      </c>
      <c r="F2030" t="s">
        <v>67</v>
      </c>
      <c r="G2030" t="s">
        <v>24</v>
      </c>
      <c r="H2030" s="3">
        <v>54862.983270673431</v>
      </c>
      <c r="I2030">
        <v>9</v>
      </c>
      <c r="J2030" s="3">
        <v>35783.659982520527</v>
      </c>
      <c r="K2030" s="3">
        <v>19079.3232881529</v>
      </c>
    </row>
    <row r="2031" spans="1:11" x14ac:dyDescent="0.3">
      <c r="A2031" t="s">
        <v>2107</v>
      </c>
      <c r="B2031" s="2">
        <v>45658</v>
      </c>
      <c r="C2031">
        <v>2025</v>
      </c>
      <c r="D2031">
        <v>1</v>
      </c>
      <c r="E2031" t="s">
        <v>58</v>
      </c>
      <c r="F2031" t="s">
        <v>48</v>
      </c>
      <c r="G2031" t="s">
        <v>24</v>
      </c>
      <c r="H2031" s="3">
        <v>85239.242089832551</v>
      </c>
      <c r="I2031">
        <v>14</v>
      </c>
      <c r="J2031" s="3">
        <v>55866.471428510857</v>
      </c>
      <c r="K2031" s="3">
        <v>29372.770661321691</v>
      </c>
    </row>
    <row r="2032" spans="1:11" x14ac:dyDescent="0.3">
      <c r="A2032" t="s">
        <v>2108</v>
      </c>
      <c r="B2032" s="2">
        <v>45658</v>
      </c>
      <c r="C2032">
        <v>2025</v>
      </c>
      <c r="D2032">
        <v>1</v>
      </c>
      <c r="E2032" t="s">
        <v>62</v>
      </c>
      <c r="F2032" t="s">
        <v>67</v>
      </c>
      <c r="G2032" t="s">
        <v>24</v>
      </c>
      <c r="H2032" s="3">
        <v>43992.560469508178</v>
      </c>
      <c r="I2032">
        <v>7</v>
      </c>
      <c r="J2032" s="3">
        <v>28702.936036855841</v>
      </c>
      <c r="K2032" s="3">
        <v>15289.624432652339</v>
      </c>
    </row>
    <row r="2033" spans="1:11" x14ac:dyDescent="0.3">
      <c r="A2033" t="s">
        <v>2109</v>
      </c>
      <c r="B2033" s="2">
        <v>45658</v>
      </c>
      <c r="C2033">
        <v>2025</v>
      </c>
      <c r="D2033">
        <v>1</v>
      </c>
      <c r="E2033" t="s">
        <v>62</v>
      </c>
      <c r="F2033" t="s">
        <v>48</v>
      </c>
      <c r="G2033" t="s">
        <v>24</v>
      </c>
      <c r="H2033" s="3">
        <v>68271.565271812811</v>
      </c>
      <c r="I2033">
        <v>11</v>
      </c>
      <c r="J2033" s="3">
        <v>45228.196423889662</v>
      </c>
      <c r="K2033" s="3">
        <v>23043.36884792315</v>
      </c>
    </row>
    <row r="2034" spans="1:11" x14ac:dyDescent="0.3">
      <c r="A2034" t="s">
        <v>2110</v>
      </c>
      <c r="B2034" s="2">
        <v>45658</v>
      </c>
      <c r="C2034">
        <v>2025</v>
      </c>
      <c r="D2034">
        <v>1</v>
      </c>
      <c r="E2034" t="s">
        <v>50</v>
      </c>
      <c r="F2034" t="s">
        <v>67</v>
      </c>
      <c r="G2034" t="s">
        <v>29</v>
      </c>
      <c r="H2034" s="3">
        <v>72635.069661867441</v>
      </c>
      <c r="I2034">
        <v>17</v>
      </c>
      <c r="J2034" s="3">
        <v>46787.985269743469</v>
      </c>
      <c r="K2034" s="3">
        <v>25847.084392123968</v>
      </c>
    </row>
    <row r="2035" spans="1:11" x14ac:dyDescent="0.3">
      <c r="A2035" t="s">
        <v>2111</v>
      </c>
      <c r="B2035" s="2">
        <v>45658</v>
      </c>
      <c r="C2035">
        <v>2025</v>
      </c>
      <c r="D2035">
        <v>1</v>
      </c>
      <c r="E2035" t="s">
        <v>50</v>
      </c>
      <c r="F2035" t="s">
        <v>48</v>
      </c>
      <c r="G2035" t="s">
        <v>29</v>
      </c>
      <c r="H2035" s="3">
        <v>111236.69409449679</v>
      </c>
      <c r="I2035">
        <v>26</v>
      </c>
      <c r="J2035" s="3">
        <v>70024.541064095029</v>
      </c>
      <c r="K2035" s="3">
        <v>41212.153030401787</v>
      </c>
    </row>
    <row r="2036" spans="1:11" x14ac:dyDescent="0.3">
      <c r="A2036" t="s">
        <v>2112</v>
      </c>
      <c r="B2036" s="2">
        <v>45658</v>
      </c>
      <c r="C2036">
        <v>2025</v>
      </c>
      <c r="D2036">
        <v>1</v>
      </c>
      <c r="E2036" t="s">
        <v>54</v>
      </c>
      <c r="F2036" t="s">
        <v>67</v>
      </c>
      <c r="G2036" t="s">
        <v>29</v>
      </c>
      <c r="H2036" s="3">
        <v>54030.248772694817</v>
      </c>
      <c r="I2036">
        <v>13</v>
      </c>
      <c r="J2036" s="3">
        <v>35370.506455400922</v>
      </c>
      <c r="K2036" s="3">
        <v>18659.742317293902</v>
      </c>
    </row>
    <row r="2037" spans="1:11" x14ac:dyDescent="0.3">
      <c r="A2037" t="s">
        <v>2113</v>
      </c>
      <c r="B2037" s="2">
        <v>45658</v>
      </c>
      <c r="C2037">
        <v>2025</v>
      </c>
      <c r="D2037">
        <v>1</v>
      </c>
      <c r="E2037" t="s">
        <v>54</v>
      </c>
      <c r="F2037" t="s">
        <v>48</v>
      </c>
      <c r="G2037" t="s">
        <v>29</v>
      </c>
      <c r="H2037" s="3">
        <v>88457.025235933092</v>
      </c>
      <c r="I2037">
        <v>21</v>
      </c>
      <c r="J2037" s="3">
        <v>55613.788231764767</v>
      </c>
      <c r="K2037" s="3">
        <v>32843.237004168317</v>
      </c>
    </row>
    <row r="2038" spans="1:11" x14ac:dyDescent="0.3">
      <c r="A2038" t="s">
        <v>2114</v>
      </c>
      <c r="B2038" s="2">
        <v>45658</v>
      </c>
      <c r="C2038">
        <v>2025</v>
      </c>
      <c r="D2038">
        <v>1</v>
      </c>
      <c r="E2038" t="s">
        <v>58</v>
      </c>
      <c r="F2038" t="s">
        <v>67</v>
      </c>
      <c r="G2038" t="s">
        <v>29</v>
      </c>
      <c r="H2038" s="3">
        <v>41626.39883053919</v>
      </c>
      <c r="I2038">
        <v>10</v>
      </c>
      <c r="J2038" s="3">
        <v>25865.10143111537</v>
      </c>
      <c r="K2038" s="3">
        <v>15761.29739942382</v>
      </c>
    </row>
    <row r="2039" spans="1:11" x14ac:dyDescent="0.3">
      <c r="A2039" t="s">
        <v>2115</v>
      </c>
      <c r="B2039" s="2">
        <v>45658</v>
      </c>
      <c r="C2039">
        <v>2025</v>
      </c>
      <c r="D2039">
        <v>1</v>
      </c>
      <c r="E2039" t="s">
        <v>58</v>
      </c>
      <c r="F2039" t="s">
        <v>48</v>
      </c>
      <c r="G2039" t="s">
        <v>29</v>
      </c>
      <c r="H2039" s="3">
        <v>63031.824684123843</v>
      </c>
      <c r="I2039">
        <v>15</v>
      </c>
      <c r="J2039" s="3">
        <v>40616.860891907178</v>
      </c>
      <c r="K2039" s="3">
        <v>22414.963792216651</v>
      </c>
    </row>
    <row r="2040" spans="1:11" x14ac:dyDescent="0.3">
      <c r="A2040" t="s">
        <v>2116</v>
      </c>
      <c r="B2040" s="2">
        <v>45658</v>
      </c>
      <c r="C2040">
        <v>2025</v>
      </c>
      <c r="D2040">
        <v>1</v>
      </c>
      <c r="E2040" t="s">
        <v>62</v>
      </c>
      <c r="F2040" t="s">
        <v>67</v>
      </c>
      <c r="G2040" t="s">
        <v>29</v>
      </c>
      <c r="H2040" s="3">
        <v>29116.882417230208</v>
      </c>
      <c r="I2040">
        <v>7</v>
      </c>
      <c r="J2040" s="3">
        <v>18360.624409325359</v>
      </c>
      <c r="K2040" s="3">
        <v>10756.258007904849</v>
      </c>
    </row>
    <row r="2041" spans="1:11" x14ac:dyDescent="0.3">
      <c r="A2041" t="s">
        <v>2117</v>
      </c>
      <c r="B2041" s="2">
        <v>45658</v>
      </c>
      <c r="C2041">
        <v>2025</v>
      </c>
      <c r="D2041">
        <v>1</v>
      </c>
      <c r="E2041" t="s">
        <v>62</v>
      </c>
      <c r="F2041" t="s">
        <v>48</v>
      </c>
      <c r="G2041" t="s">
        <v>29</v>
      </c>
      <c r="H2041" s="3">
        <v>46722.944961342437</v>
      </c>
      <c r="I2041">
        <v>11</v>
      </c>
      <c r="J2041" s="3">
        <v>30075.619371537839</v>
      </c>
      <c r="K2041" s="3">
        <v>16647.325589804601</v>
      </c>
    </row>
    <row r="2042" spans="1:11" x14ac:dyDescent="0.3">
      <c r="A2042" t="s">
        <v>2118</v>
      </c>
      <c r="B2042" s="2">
        <v>45658</v>
      </c>
      <c r="C2042">
        <v>2025</v>
      </c>
      <c r="D2042">
        <v>1</v>
      </c>
      <c r="E2042" t="s">
        <v>50</v>
      </c>
      <c r="F2042" t="s">
        <v>67</v>
      </c>
      <c r="G2042" t="s">
        <v>34</v>
      </c>
      <c r="H2042" s="3">
        <v>61664.709164788153</v>
      </c>
      <c r="I2042">
        <v>73</v>
      </c>
      <c r="J2042" s="3">
        <v>28318.42642123728</v>
      </c>
      <c r="K2042" s="3">
        <v>33346.282743550873</v>
      </c>
    </row>
    <row r="2043" spans="1:11" x14ac:dyDescent="0.3">
      <c r="A2043" t="s">
        <v>2119</v>
      </c>
      <c r="B2043" s="2">
        <v>45658</v>
      </c>
      <c r="C2043">
        <v>2025</v>
      </c>
      <c r="D2043">
        <v>1</v>
      </c>
      <c r="E2043" t="s">
        <v>50</v>
      </c>
      <c r="F2043" t="s">
        <v>48</v>
      </c>
      <c r="G2043" t="s">
        <v>34</v>
      </c>
      <c r="H2043" s="3">
        <v>93133.381634931298</v>
      </c>
      <c r="I2043">
        <v>110</v>
      </c>
      <c r="J2043" s="3">
        <v>45824.494073219888</v>
      </c>
      <c r="K2043" s="3">
        <v>47308.88756171141</v>
      </c>
    </row>
    <row r="2044" spans="1:11" x14ac:dyDescent="0.3">
      <c r="A2044" t="s">
        <v>2120</v>
      </c>
      <c r="B2044" s="2">
        <v>45658</v>
      </c>
      <c r="C2044">
        <v>2025</v>
      </c>
      <c r="D2044">
        <v>1</v>
      </c>
      <c r="E2044" t="s">
        <v>54</v>
      </c>
      <c r="F2044" t="s">
        <v>67</v>
      </c>
      <c r="G2044" t="s">
        <v>34</v>
      </c>
      <c r="H2044" s="3">
        <v>50562.600145717472</v>
      </c>
      <c r="I2044">
        <v>59</v>
      </c>
      <c r="J2044" s="3">
        <v>24563.74674988884</v>
      </c>
      <c r="K2044" s="3">
        <v>25998.853395828639</v>
      </c>
    </row>
    <row r="2045" spans="1:11" x14ac:dyDescent="0.3">
      <c r="A2045" t="s">
        <v>2121</v>
      </c>
      <c r="B2045" s="2">
        <v>45658</v>
      </c>
      <c r="C2045">
        <v>2025</v>
      </c>
      <c r="D2045">
        <v>1</v>
      </c>
      <c r="E2045" t="s">
        <v>54</v>
      </c>
      <c r="F2045" t="s">
        <v>48</v>
      </c>
      <c r="G2045" t="s">
        <v>34</v>
      </c>
      <c r="H2045" s="3">
        <v>78256.033703797671</v>
      </c>
      <c r="I2045">
        <v>92</v>
      </c>
      <c r="J2045" s="3">
        <v>36548.375770820458</v>
      </c>
      <c r="K2045" s="3">
        <v>41707.657932977207</v>
      </c>
    </row>
    <row r="2046" spans="1:11" x14ac:dyDescent="0.3">
      <c r="A2046" t="s">
        <v>2122</v>
      </c>
      <c r="B2046" s="2">
        <v>45658</v>
      </c>
      <c r="C2046">
        <v>2025</v>
      </c>
      <c r="D2046">
        <v>1</v>
      </c>
      <c r="E2046" t="s">
        <v>58</v>
      </c>
      <c r="F2046" t="s">
        <v>67</v>
      </c>
      <c r="G2046" t="s">
        <v>34</v>
      </c>
      <c r="H2046" s="3">
        <v>33596.217477911297</v>
      </c>
      <c r="I2046">
        <v>40</v>
      </c>
      <c r="J2046" s="3">
        <v>15696.937803138</v>
      </c>
      <c r="K2046" s="3">
        <v>17899.279674773301</v>
      </c>
    </row>
    <row r="2047" spans="1:11" x14ac:dyDescent="0.3">
      <c r="A2047" t="s">
        <v>2123</v>
      </c>
      <c r="B2047" s="2">
        <v>45658</v>
      </c>
      <c r="C2047">
        <v>2025</v>
      </c>
      <c r="D2047">
        <v>1</v>
      </c>
      <c r="E2047" t="s">
        <v>58</v>
      </c>
      <c r="F2047" t="s">
        <v>48</v>
      </c>
      <c r="G2047" t="s">
        <v>34</v>
      </c>
      <c r="H2047" s="3">
        <v>53642.677965089708</v>
      </c>
      <c r="I2047">
        <v>63</v>
      </c>
      <c r="J2047" s="3">
        <v>26523.535079841011</v>
      </c>
      <c r="K2047" s="3">
        <v>27119.142885248701</v>
      </c>
    </row>
    <row r="2048" spans="1:11" x14ac:dyDescent="0.3">
      <c r="A2048" t="s">
        <v>2124</v>
      </c>
      <c r="B2048" s="2">
        <v>45658</v>
      </c>
      <c r="C2048">
        <v>2025</v>
      </c>
      <c r="D2048">
        <v>1</v>
      </c>
      <c r="E2048" t="s">
        <v>62</v>
      </c>
      <c r="F2048" t="s">
        <v>67</v>
      </c>
      <c r="G2048" t="s">
        <v>34</v>
      </c>
      <c r="H2048" s="3">
        <v>25234.099266570622</v>
      </c>
      <c r="I2048">
        <v>30</v>
      </c>
      <c r="J2048" s="3">
        <v>11951.60215118106</v>
      </c>
      <c r="K2048" s="3">
        <v>13282.49711538956</v>
      </c>
    </row>
    <row r="2049" spans="1:11" x14ac:dyDescent="0.3">
      <c r="A2049" t="s">
        <v>2125</v>
      </c>
      <c r="B2049" s="2">
        <v>45658</v>
      </c>
      <c r="C2049">
        <v>2025</v>
      </c>
      <c r="D2049">
        <v>1</v>
      </c>
      <c r="E2049" t="s">
        <v>62</v>
      </c>
      <c r="F2049" t="s">
        <v>48</v>
      </c>
      <c r="G2049" t="s">
        <v>34</v>
      </c>
      <c r="H2049" s="3">
        <v>38571.768170975178</v>
      </c>
      <c r="I2049">
        <v>45</v>
      </c>
      <c r="J2049" s="3">
        <v>18236.448215149529</v>
      </c>
      <c r="K2049" s="3">
        <v>20335.319955825649</v>
      </c>
    </row>
    <row r="2050" spans="1:11" x14ac:dyDescent="0.3">
      <c r="A2050" t="s">
        <v>2126</v>
      </c>
      <c r="B2050" s="2">
        <v>45658</v>
      </c>
      <c r="C2050">
        <v>2025</v>
      </c>
      <c r="D2050">
        <v>1</v>
      </c>
      <c r="E2050" t="s">
        <v>50</v>
      </c>
      <c r="F2050" t="s">
        <v>67</v>
      </c>
      <c r="G2050" t="s">
        <v>37</v>
      </c>
      <c r="H2050" s="3">
        <v>52635.144811755803</v>
      </c>
      <c r="I2050">
        <v>73</v>
      </c>
      <c r="J2050" s="3">
        <v>27768.517243213038</v>
      </c>
      <c r="K2050" s="3">
        <v>24866.62756854275</v>
      </c>
    </row>
    <row r="2051" spans="1:11" x14ac:dyDescent="0.3">
      <c r="A2051" t="s">
        <v>2127</v>
      </c>
      <c r="B2051" s="2">
        <v>45658</v>
      </c>
      <c r="C2051">
        <v>2025</v>
      </c>
      <c r="D2051">
        <v>1</v>
      </c>
      <c r="E2051" t="s">
        <v>50</v>
      </c>
      <c r="F2051" t="s">
        <v>48</v>
      </c>
      <c r="G2051" t="s">
        <v>37</v>
      </c>
      <c r="H2051" s="3">
        <v>86940.092544346553</v>
      </c>
      <c r="I2051">
        <v>121</v>
      </c>
      <c r="J2051" s="3">
        <v>47515.133671780983</v>
      </c>
      <c r="K2051" s="3">
        <v>39424.958872565578</v>
      </c>
    </row>
    <row r="2052" spans="1:11" x14ac:dyDescent="0.3">
      <c r="A2052" t="s">
        <v>2128</v>
      </c>
      <c r="B2052" s="2">
        <v>45658</v>
      </c>
      <c r="C2052">
        <v>2025</v>
      </c>
      <c r="D2052">
        <v>1</v>
      </c>
      <c r="E2052" t="s">
        <v>54</v>
      </c>
      <c r="F2052" t="s">
        <v>67</v>
      </c>
      <c r="G2052" t="s">
        <v>37</v>
      </c>
      <c r="H2052" s="3">
        <v>41029.61461295122</v>
      </c>
      <c r="I2052">
        <v>57</v>
      </c>
      <c r="J2052" s="3">
        <v>22473.789881561621</v>
      </c>
      <c r="K2052" s="3">
        <v>18555.824731389599</v>
      </c>
    </row>
    <row r="2053" spans="1:11" x14ac:dyDescent="0.3">
      <c r="A2053" t="s">
        <v>2129</v>
      </c>
      <c r="B2053" s="2">
        <v>45658</v>
      </c>
      <c r="C2053">
        <v>2025</v>
      </c>
      <c r="D2053">
        <v>1</v>
      </c>
      <c r="E2053" t="s">
        <v>54</v>
      </c>
      <c r="F2053" t="s">
        <v>48</v>
      </c>
      <c r="G2053" t="s">
        <v>37</v>
      </c>
      <c r="H2053" s="3">
        <v>61172.077985112352</v>
      </c>
      <c r="I2053">
        <v>85</v>
      </c>
      <c r="J2053" s="3">
        <v>34077.94806699438</v>
      </c>
      <c r="K2053" s="3">
        <v>27094.129918117971</v>
      </c>
    </row>
    <row r="2054" spans="1:11" x14ac:dyDescent="0.3">
      <c r="A2054" t="s">
        <v>2130</v>
      </c>
      <c r="B2054" s="2">
        <v>45658</v>
      </c>
      <c r="C2054">
        <v>2025</v>
      </c>
      <c r="D2054">
        <v>1</v>
      </c>
      <c r="E2054" t="s">
        <v>58</v>
      </c>
      <c r="F2054" t="s">
        <v>67</v>
      </c>
      <c r="G2054" t="s">
        <v>37</v>
      </c>
      <c r="H2054" s="3">
        <v>27886.346020298592</v>
      </c>
      <c r="I2054">
        <v>39</v>
      </c>
      <c r="J2054" s="3">
        <v>14951.239978101141</v>
      </c>
      <c r="K2054" s="3">
        <v>12935.106042197451</v>
      </c>
    </row>
    <row r="2055" spans="1:11" x14ac:dyDescent="0.3">
      <c r="A2055" t="s">
        <v>2131</v>
      </c>
      <c r="B2055" s="2">
        <v>45658</v>
      </c>
      <c r="C2055">
        <v>2025</v>
      </c>
      <c r="D2055">
        <v>1</v>
      </c>
      <c r="E2055" t="s">
        <v>58</v>
      </c>
      <c r="F2055" t="s">
        <v>48</v>
      </c>
      <c r="G2055" t="s">
        <v>37</v>
      </c>
      <c r="H2055" s="3">
        <v>47065.190494076807</v>
      </c>
      <c r="I2055">
        <v>65</v>
      </c>
      <c r="J2055" s="3">
        <v>25177.484155666159</v>
      </c>
      <c r="K2055" s="3">
        <v>21887.706338410651</v>
      </c>
    </row>
    <row r="2056" spans="1:11" x14ac:dyDescent="0.3">
      <c r="A2056" t="s">
        <v>2132</v>
      </c>
      <c r="B2056" s="2">
        <v>45658</v>
      </c>
      <c r="C2056">
        <v>2025</v>
      </c>
      <c r="D2056">
        <v>1</v>
      </c>
      <c r="E2056" t="s">
        <v>62</v>
      </c>
      <c r="F2056" t="s">
        <v>67</v>
      </c>
      <c r="G2056" t="s">
        <v>37</v>
      </c>
      <c r="H2056" s="3">
        <v>22201.056374466771</v>
      </c>
      <c r="I2056">
        <v>31</v>
      </c>
      <c r="J2056" s="3">
        <v>12309.69829004348</v>
      </c>
      <c r="K2056" s="3">
        <v>9891.3580844232838</v>
      </c>
    </row>
    <row r="2057" spans="1:11" x14ac:dyDescent="0.3">
      <c r="A2057" t="s">
        <v>2133</v>
      </c>
      <c r="B2057" s="2">
        <v>45658</v>
      </c>
      <c r="C2057">
        <v>2025</v>
      </c>
      <c r="D2057">
        <v>1</v>
      </c>
      <c r="E2057" t="s">
        <v>62</v>
      </c>
      <c r="F2057" t="s">
        <v>48</v>
      </c>
      <c r="G2057" t="s">
        <v>37</v>
      </c>
      <c r="H2057" s="3">
        <v>36358.416819434497</v>
      </c>
      <c r="I2057">
        <v>50</v>
      </c>
      <c r="J2057" s="3">
        <v>20359.500055076871</v>
      </c>
      <c r="K2057" s="3">
        <v>15998.916764357629</v>
      </c>
    </row>
    <row r="2058" spans="1:11" x14ac:dyDescent="0.3">
      <c r="A2058" t="s">
        <v>2134</v>
      </c>
      <c r="B2058" s="2">
        <v>45658</v>
      </c>
      <c r="C2058">
        <v>2025</v>
      </c>
      <c r="D2058">
        <v>1</v>
      </c>
      <c r="E2058" t="s">
        <v>50</v>
      </c>
      <c r="F2058" t="s">
        <v>67</v>
      </c>
      <c r="G2058" t="s">
        <v>40</v>
      </c>
      <c r="H2058" s="3">
        <v>50652.611009695756</v>
      </c>
      <c r="I2058">
        <v>9</v>
      </c>
      <c r="J2058" s="3">
        <v>33961.881123223531</v>
      </c>
      <c r="K2058" s="3">
        <v>16690.729886472229</v>
      </c>
    </row>
    <row r="2059" spans="1:11" x14ac:dyDescent="0.3">
      <c r="A2059" t="s">
        <v>2135</v>
      </c>
      <c r="B2059" s="2">
        <v>45658</v>
      </c>
      <c r="C2059">
        <v>2025</v>
      </c>
      <c r="D2059">
        <v>1</v>
      </c>
      <c r="E2059" t="s">
        <v>50</v>
      </c>
      <c r="F2059" t="s">
        <v>48</v>
      </c>
      <c r="G2059" t="s">
        <v>40</v>
      </c>
      <c r="H2059" s="3">
        <v>77499.589800887683</v>
      </c>
      <c r="I2059">
        <v>14</v>
      </c>
      <c r="J2059" s="3">
        <v>54515.722836419722</v>
      </c>
      <c r="K2059" s="3">
        <v>22983.866964467961</v>
      </c>
    </row>
    <row r="2060" spans="1:11" x14ac:dyDescent="0.3">
      <c r="A2060" t="s">
        <v>2136</v>
      </c>
      <c r="B2060" s="2">
        <v>45658</v>
      </c>
      <c r="C2060">
        <v>2025</v>
      </c>
      <c r="D2060">
        <v>1</v>
      </c>
      <c r="E2060" t="s">
        <v>54</v>
      </c>
      <c r="F2060" t="s">
        <v>67</v>
      </c>
      <c r="G2060" t="s">
        <v>40</v>
      </c>
      <c r="H2060" s="3">
        <v>38794.04966348286</v>
      </c>
      <c r="I2060">
        <v>7</v>
      </c>
      <c r="J2060" s="3">
        <v>26785.982756586851</v>
      </c>
      <c r="K2060" s="3">
        <v>12008.066906896011</v>
      </c>
    </row>
    <row r="2061" spans="1:11" x14ac:dyDescent="0.3">
      <c r="A2061" t="s">
        <v>2137</v>
      </c>
      <c r="B2061" s="2">
        <v>45658</v>
      </c>
      <c r="C2061">
        <v>2025</v>
      </c>
      <c r="D2061">
        <v>1</v>
      </c>
      <c r="E2061" t="s">
        <v>54</v>
      </c>
      <c r="F2061" t="s">
        <v>48</v>
      </c>
      <c r="G2061" t="s">
        <v>40</v>
      </c>
      <c r="H2061" s="3">
        <v>57426.324635066572</v>
      </c>
      <c r="I2061">
        <v>11</v>
      </c>
      <c r="J2061" s="3">
        <v>40402.877726768718</v>
      </c>
      <c r="K2061" s="3">
        <v>17023.44690829785</v>
      </c>
    </row>
    <row r="2062" spans="1:11" x14ac:dyDescent="0.3">
      <c r="A2062" t="s">
        <v>2138</v>
      </c>
      <c r="B2062" s="2">
        <v>45658</v>
      </c>
      <c r="C2062">
        <v>2025</v>
      </c>
      <c r="D2062">
        <v>1</v>
      </c>
      <c r="E2062" t="s">
        <v>58</v>
      </c>
      <c r="F2062" t="s">
        <v>67</v>
      </c>
      <c r="G2062" t="s">
        <v>40</v>
      </c>
      <c r="H2062" s="3">
        <v>26686.690965728019</v>
      </c>
      <c r="I2062">
        <v>5</v>
      </c>
      <c r="J2062" s="3">
        <v>18390.542318687789</v>
      </c>
      <c r="K2062" s="3">
        <v>8296.1486470402306</v>
      </c>
    </row>
    <row r="2063" spans="1:11" x14ac:dyDescent="0.3">
      <c r="A2063" t="s">
        <v>2139</v>
      </c>
      <c r="B2063" s="2">
        <v>45658</v>
      </c>
      <c r="C2063">
        <v>2025</v>
      </c>
      <c r="D2063">
        <v>1</v>
      </c>
      <c r="E2063" t="s">
        <v>58</v>
      </c>
      <c r="F2063" t="s">
        <v>48</v>
      </c>
      <c r="G2063" t="s">
        <v>40</v>
      </c>
      <c r="H2063" s="3">
        <v>43641.226826742663</v>
      </c>
      <c r="I2063">
        <v>8</v>
      </c>
      <c r="J2063" s="3">
        <v>28745.311250705108</v>
      </c>
      <c r="K2063" s="3">
        <v>14895.915576037551</v>
      </c>
    </row>
    <row r="2064" spans="1:11" x14ac:dyDescent="0.3">
      <c r="A2064" t="s">
        <v>2140</v>
      </c>
      <c r="B2064" s="2">
        <v>45658</v>
      </c>
      <c r="C2064">
        <v>2025</v>
      </c>
      <c r="D2064">
        <v>1</v>
      </c>
      <c r="E2064" t="s">
        <v>62</v>
      </c>
      <c r="F2064" t="s">
        <v>67</v>
      </c>
      <c r="G2064" t="s">
        <v>40</v>
      </c>
      <c r="H2064" s="3">
        <v>18824.581481727018</v>
      </c>
      <c r="I2064">
        <v>3</v>
      </c>
      <c r="J2064" s="3">
        <v>12953.431050544161</v>
      </c>
      <c r="K2064" s="3">
        <v>5871.1504311828612</v>
      </c>
    </row>
    <row r="2065" spans="1:11" x14ac:dyDescent="0.3">
      <c r="A2065" t="s">
        <v>2141</v>
      </c>
      <c r="B2065" s="2">
        <v>45658</v>
      </c>
      <c r="C2065">
        <v>2025</v>
      </c>
      <c r="D2065">
        <v>1</v>
      </c>
      <c r="E2065" t="s">
        <v>62</v>
      </c>
      <c r="F2065" t="s">
        <v>48</v>
      </c>
      <c r="G2065" t="s">
        <v>40</v>
      </c>
      <c r="H2065" s="3">
        <v>33705.742311753711</v>
      </c>
      <c r="I2065">
        <v>6</v>
      </c>
      <c r="J2065" s="3">
        <v>23700.76523992997</v>
      </c>
      <c r="K2065" s="3">
        <v>10004.97707182374</v>
      </c>
    </row>
    <row r="2066" spans="1:11" x14ac:dyDescent="0.3">
      <c r="A2066" t="s">
        <v>2142</v>
      </c>
      <c r="B2066" s="2">
        <v>45658</v>
      </c>
      <c r="C2066">
        <v>2025</v>
      </c>
      <c r="D2066">
        <v>1</v>
      </c>
      <c r="E2066" t="s">
        <v>50</v>
      </c>
      <c r="F2066" t="s">
        <v>67</v>
      </c>
      <c r="G2066" t="s">
        <v>43</v>
      </c>
      <c r="H2066" s="3">
        <v>91627.626659039277</v>
      </c>
      <c r="I2066">
        <v>26</v>
      </c>
      <c r="J2066" s="3">
        <v>53190.608530717072</v>
      </c>
      <c r="K2066" s="3">
        <v>38437.018128322197</v>
      </c>
    </row>
    <row r="2067" spans="1:11" x14ac:dyDescent="0.3">
      <c r="A2067" t="s">
        <v>2143</v>
      </c>
      <c r="B2067" s="2">
        <v>45658</v>
      </c>
      <c r="C2067">
        <v>2025</v>
      </c>
      <c r="D2067">
        <v>1</v>
      </c>
      <c r="E2067" t="s">
        <v>50</v>
      </c>
      <c r="F2067" t="s">
        <v>48</v>
      </c>
      <c r="G2067" t="s">
        <v>43</v>
      </c>
      <c r="H2067" s="3">
        <v>159606.615061661</v>
      </c>
      <c r="I2067">
        <v>46</v>
      </c>
      <c r="J2067" s="3">
        <v>93510.293631102919</v>
      </c>
      <c r="K2067" s="3">
        <v>66096.321430558106</v>
      </c>
    </row>
    <row r="2068" spans="1:11" x14ac:dyDescent="0.3">
      <c r="A2068" t="s">
        <v>2144</v>
      </c>
      <c r="B2068" s="2">
        <v>45658</v>
      </c>
      <c r="C2068">
        <v>2025</v>
      </c>
      <c r="D2068">
        <v>1</v>
      </c>
      <c r="E2068" t="s">
        <v>54</v>
      </c>
      <c r="F2068" t="s">
        <v>67</v>
      </c>
      <c r="G2068" t="s">
        <v>43</v>
      </c>
      <c r="H2068" s="3">
        <v>79840.207021806724</v>
      </c>
      <c r="I2068">
        <v>23</v>
      </c>
      <c r="J2068" s="3">
        <v>46956.37801705618</v>
      </c>
      <c r="K2068" s="3">
        <v>32883.829004750543</v>
      </c>
    </row>
    <row r="2069" spans="1:11" x14ac:dyDescent="0.3">
      <c r="A2069" t="s">
        <v>2145</v>
      </c>
      <c r="B2069" s="2">
        <v>45658</v>
      </c>
      <c r="C2069">
        <v>2025</v>
      </c>
      <c r="D2069">
        <v>1</v>
      </c>
      <c r="E2069" t="s">
        <v>54</v>
      </c>
      <c r="F2069" t="s">
        <v>48</v>
      </c>
      <c r="G2069" t="s">
        <v>43</v>
      </c>
      <c r="H2069" s="3">
        <v>118920.3852269894</v>
      </c>
      <c r="I2069">
        <v>34</v>
      </c>
      <c r="J2069" s="3">
        <v>66501.131197583847</v>
      </c>
      <c r="K2069" s="3">
        <v>52419.254029405522</v>
      </c>
    </row>
    <row r="2070" spans="1:11" x14ac:dyDescent="0.3">
      <c r="A2070" t="s">
        <v>2146</v>
      </c>
      <c r="B2070" s="2">
        <v>45658</v>
      </c>
      <c r="C2070">
        <v>2025</v>
      </c>
      <c r="D2070">
        <v>1</v>
      </c>
      <c r="E2070" t="s">
        <v>58</v>
      </c>
      <c r="F2070" t="s">
        <v>67</v>
      </c>
      <c r="G2070" t="s">
        <v>43</v>
      </c>
      <c r="H2070" s="3">
        <v>57774.536171182997</v>
      </c>
      <c r="I2070">
        <v>17</v>
      </c>
      <c r="J2070" s="3">
        <v>35112.457675705358</v>
      </c>
      <c r="K2070" s="3">
        <v>22662.078495477639</v>
      </c>
    </row>
    <row r="2071" spans="1:11" x14ac:dyDescent="0.3">
      <c r="A2071" t="s">
        <v>2147</v>
      </c>
      <c r="B2071" s="2">
        <v>45658</v>
      </c>
      <c r="C2071">
        <v>2025</v>
      </c>
      <c r="D2071">
        <v>1</v>
      </c>
      <c r="E2071" t="s">
        <v>58</v>
      </c>
      <c r="F2071" t="s">
        <v>48</v>
      </c>
      <c r="G2071" t="s">
        <v>43</v>
      </c>
      <c r="H2071" s="3">
        <v>83827.666040319076</v>
      </c>
      <c r="I2071">
        <v>24</v>
      </c>
      <c r="J2071" s="3">
        <v>48655.873433003202</v>
      </c>
      <c r="K2071" s="3">
        <v>35171.792607315867</v>
      </c>
    </row>
    <row r="2072" spans="1:11" x14ac:dyDescent="0.3">
      <c r="A2072" t="s">
        <v>2148</v>
      </c>
      <c r="B2072" s="2">
        <v>45658</v>
      </c>
      <c r="C2072">
        <v>2025</v>
      </c>
      <c r="D2072">
        <v>1</v>
      </c>
      <c r="E2072" t="s">
        <v>62</v>
      </c>
      <c r="F2072" t="s">
        <v>67</v>
      </c>
      <c r="G2072" t="s">
        <v>43</v>
      </c>
      <c r="H2072" s="3">
        <v>38295.43726146633</v>
      </c>
      <c r="I2072">
        <v>11</v>
      </c>
      <c r="J2072" s="3">
        <v>22799.98934242237</v>
      </c>
      <c r="K2072" s="3">
        <v>15495.44791904396</v>
      </c>
    </row>
    <row r="2073" spans="1:11" x14ac:dyDescent="0.3">
      <c r="A2073" t="s">
        <v>2149</v>
      </c>
      <c r="B2073" s="2">
        <v>45658</v>
      </c>
      <c r="C2073">
        <v>2025</v>
      </c>
      <c r="D2073">
        <v>1</v>
      </c>
      <c r="E2073" t="s">
        <v>62</v>
      </c>
      <c r="F2073" t="s">
        <v>48</v>
      </c>
      <c r="G2073" t="s">
        <v>43</v>
      </c>
      <c r="H2073" s="3">
        <v>68261.441393281959</v>
      </c>
      <c r="I2073">
        <v>20</v>
      </c>
      <c r="J2073" s="3">
        <v>40211.397603192418</v>
      </c>
      <c r="K2073" s="3">
        <v>28050.043790089541</v>
      </c>
    </row>
    <row r="2074" spans="1:11" x14ac:dyDescent="0.3">
      <c r="A2074" t="s">
        <v>2150</v>
      </c>
      <c r="B2074" s="2">
        <v>45689</v>
      </c>
      <c r="C2074">
        <v>2025</v>
      </c>
      <c r="D2074">
        <v>2</v>
      </c>
      <c r="E2074" t="s">
        <v>50</v>
      </c>
      <c r="F2074" t="s">
        <v>67</v>
      </c>
      <c r="G2074" t="s">
        <v>19</v>
      </c>
      <c r="H2074" s="3">
        <v>80665.28598649826</v>
      </c>
      <c r="I2074">
        <v>16</v>
      </c>
      <c r="J2074" s="3">
        <v>51144.616913040118</v>
      </c>
      <c r="K2074" s="3">
        <v>29520.669073458139</v>
      </c>
    </row>
    <row r="2075" spans="1:11" x14ac:dyDescent="0.3">
      <c r="A2075" t="s">
        <v>2151</v>
      </c>
      <c r="B2075" s="2">
        <v>45689</v>
      </c>
      <c r="C2075">
        <v>2025</v>
      </c>
      <c r="D2075">
        <v>2</v>
      </c>
      <c r="E2075" t="s">
        <v>50</v>
      </c>
      <c r="F2075" t="s">
        <v>48</v>
      </c>
      <c r="G2075" t="s">
        <v>19</v>
      </c>
      <c r="H2075" s="3">
        <v>133428.3724132285</v>
      </c>
      <c r="I2075">
        <v>26</v>
      </c>
      <c r="J2075" s="3">
        <v>83330.233084169551</v>
      </c>
      <c r="K2075" s="3">
        <v>50098.139329058919</v>
      </c>
    </row>
    <row r="2076" spans="1:11" x14ac:dyDescent="0.3">
      <c r="A2076" t="s">
        <v>2152</v>
      </c>
      <c r="B2076" s="2">
        <v>45689</v>
      </c>
      <c r="C2076">
        <v>2025</v>
      </c>
      <c r="D2076">
        <v>2</v>
      </c>
      <c r="E2076" t="s">
        <v>54</v>
      </c>
      <c r="F2076" t="s">
        <v>67</v>
      </c>
      <c r="G2076" t="s">
        <v>19</v>
      </c>
      <c r="H2076" s="3">
        <v>68449.499680762776</v>
      </c>
      <c r="I2076">
        <v>13</v>
      </c>
      <c r="J2076" s="3">
        <v>42259.231992923902</v>
      </c>
      <c r="K2076" s="3">
        <v>26190.26768783887</v>
      </c>
    </row>
    <row r="2077" spans="1:11" x14ac:dyDescent="0.3">
      <c r="A2077" t="s">
        <v>2153</v>
      </c>
      <c r="B2077" s="2">
        <v>45689</v>
      </c>
      <c r="C2077">
        <v>2025</v>
      </c>
      <c r="D2077">
        <v>2</v>
      </c>
      <c r="E2077" t="s">
        <v>54</v>
      </c>
      <c r="F2077" t="s">
        <v>48</v>
      </c>
      <c r="G2077" t="s">
        <v>19</v>
      </c>
      <c r="H2077" s="3">
        <v>105932.24944279381</v>
      </c>
      <c r="I2077">
        <v>20</v>
      </c>
      <c r="J2077" s="3">
        <v>64621.677624068077</v>
      </c>
      <c r="K2077" s="3">
        <v>41310.571818725693</v>
      </c>
    </row>
    <row r="2078" spans="1:11" x14ac:dyDescent="0.3">
      <c r="A2078" t="s">
        <v>2154</v>
      </c>
      <c r="B2078" s="2">
        <v>45689</v>
      </c>
      <c r="C2078">
        <v>2025</v>
      </c>
      <c r="D2078">
        <v>2</v>
      </c>
      <c r="E2078" t="s">
        <v>58</v>
      </c>
      <c r="F2078" t="s">
        <v>67</v>
      </c>
      <c r="G2078" t="s">
        <v>19</v>
      </c>
      <c r="H2078" s="3">
        <v>50544.290087430862</v>
      </c>
      <c r="I2078">
        <v>10</v>
      </c>
      <c r="J2078" s="3">
        <v>31787.50691204298</v>
      </c>
      <c r="K2078" s="3">
        <v>18756.783175387882</v>
      </c>
    </row>
    <row r="2079" spans="1:11" x14ac:dyDescent="0.3">
      <c r="A2079" t="s">
        <v>2155</v>
      </c>
      <c r="B2079" s="2">
        <v>45689</v>
      </c>
      <c r="C2079">
        <v>2025</v>
      </c>
      <c r="D2079">
        <v>2</v>
      </c>
      <c r="E2079" t="s">
        <v>58</v>
      </c>
      <c r="F2079" t="s">
        <v>48</v>
      </c>
      <c r="G2079" t="s">
        <v>19</v>
      </c>
      <c r="H2079" s="3">
        <v>73726.361695289714</v>
      </c>
      <c r="I2079">
        <v>14</v>
      </c>
      <c r="J2079" s="3">
        <v>44168.902606196403</v>
      </c>
      <c r="K2079" s="3">
        <v>29557.459089093321</v>
      </c>
    </row>
    <row r="2080" spans="1:11" x14ac:dyDescent="0.3">
      <c r="A2080" t="s">
        <v>2156</v>
      </c>
      <c r="B2080" s="2">
        <v>45689</v>
      </c>
      <c r="C2080">
        <v>2025</v>
      </c>
      <c r="D2080">
        <v>2</v>
      </c>
      <c r="E2080" t="s">
        <v>62</v>
      </c>
      <c r="F2080" t="s">
        <v>67</v>
      </c>
      <c r="G2080" t="s">
        <v>19</v>
      </c>
      <c r="H2080" s="3">
        <v>32336.150096583231</v>
      </c>
      <c r="I2080">
        <v>6</v>
      </c>
      <c r="J2080" s="3">
        <v>20281.496462749608</v>
      </c>
      <c r="K2080" s="3">
        <v>12054.653633833619</v>
      </c>
    </row>
    <row r="2081" spans="1:11" x14ac:dyDescent="0.3">
      <c r="A2081" t="s">
        <v>2157</v>
      </c>
      <c r="B2081" s="2">
        <v>45689</v>
      </c>
      <c r="C2081">
        <v>2025</v>
      </c>
      <c r="D2081">
        <v>2</v>
      </c>
      <c r="E2081" t="s">
        <v>62</v>
      </c>
      <c r="F2081" t="s">
        <v>48</v>
      </c>
      <c r="G2081" t="s">
        <v>19</v>
      </c>
      <c r="H2081" s="3">
        <v>56229.524485963382</v>
      </c>
      <c r="I2081">
        <v>11</v>
      </c>
      <c r="J2081" s="3">
        <v>34172.630977638342</v>
      </c>
      <c r="K2081" s="3">
        <v>22056.893508325051</v>
      </c>
    </row>
    <row r="2082" spans="1:11" x14ac:dyDescent="0.3">
      <c r="A2082" t="s">
        <v>2158</v>
      </c>
      <c r="B2082" s="2">
        <v>45689</v>
      </c>
      <c r="C2082">
        <v>2025</v>
      </c>
      <c r="D2082">
        <v>2</v>
      </c>
      <c r="E2082" t="s">
        <v>50</v>
      </c>
      <c r="F2082" t="s">
        <v>67</v>
      </c>
      <c r="G2082" t="s">
        <v>24</v>
      </c>
      <c r="H2082" s="3">
        <v>81566.494134450128</v>
      </c>
      <c r="I2082">
        <v>13</v>
      </c>
      <c r="J2082" s="3">
        <v>55047.361457792809</v>
      </c>
      <c r="K2082" s="3">
        <v>26519.132676657318</v>
      </c>
    </row>
    <row r="2083" spans="1:11" x14ac:dyDescent="0.3">
      <c r="A2083" t="s">
        <v>2159</v>
      </c>
      <c r="B2083" s="2">
        <v>45689</v>
      </c>
      <c r="C2083">
        <v>2025</v>
      </c>
      <c r="D2083">
        <v>2</v>
      </c>
      <c r="E2083" t="s">
        <v>50</v>
      </c>
      <c r="F2083" t="s">
        <v>48</v>
      </c>
      <c r="G2083" t="s">
        <v>24</v>
      </c>
      <c r="H2083" s="3">
        <v>138560.07285768399</v>
      </c>
      <c r="I2083">
        <v>23</v>
      </c>
      <c r="J2083" s="3">
        <v>91715.162241504469</v>
      </c>
      <c r="K2083" s="3">
        <v>46844.910616179521</v>
      </c>
    </row>
    <row r="2084" spans="1:11" x14ac:dyDescent="0.3">
      <c r="A2084" t="s">
        <v>2160</v>
      </c>
      <c r="B2084" s="2">
        <v>45689</v>
      </c>
      <c r="C2084">
        <v>2025</v>
      </c>
      <c r="D2084">
        <v>2</v>
      </c>
      <c r="E2084" t="s">
        <v>54</v>
      </c>
      <c r="F2084" t="s">
        <v>67</v>
      </c>
      <c r="G2084" t="s">
        <v>24</v>
      </c>
      <c r="H2084" s="3">
        <v>66262.903024222309</v>
      </c>
      <c r="I2084">
        <v>11</v>
      </c>
      <c r="J2084" s="3">
        <v>44240.572343870743</v>
      </c>
      <c r="K2084" s="3">
        <v>22022.33068035157</v>
      </c>
    </row>
    <row r="2085" spans="1:11" x14ac:dyDescent="0.3">
      <c r="A2085" t="s">
        <v>2161</v>
      </c>
      <c r="B2085" s="2">
        <v>45689</v>
      </c>
      <c r="C2085">
        <v>2025</v>
      </c>
      <c r="D2085">
        <v>2</v>
      </c>
      <c r="E2085" t="s">
        <v>54</v>
      </c>
      <c r="F2085" t="s">
        <v>48</v>
      </c>
      <c r="G2085" t="s">
        <v>24</v>
      </c>
      <c r="H2085" s="3">
        <v>103573.6855710501</v>
      </c>
      <c r="I2085">
        <v>17</v>
      </c>
      <c r="J2085" s="3">
        <v>68459.516054339372</v>
      </c>
      <c r="K2085" s="3">
        <v>35114.169516710768</v>
      </c>
    </row>
    <row r="2086" spans="1:11" x14ac:dyDescent="0.3">
      <c r="A2086" t="s">
        <v>2162</v>
      </c>
      <c r="B2086" s="2">
        <v>45689</v>
      </c>
      <c r="C2086">
        <v>2025</v>
      </c>
      <c r="D2086">
        <v>2</v>
      </c>
      <c r="E2086" t="s">
        <v>58</v>
      </c>
      <c r="F2086" t="s">
        <v>67</v>
      </c>
      <c r="G2086" t="s">
        <v>24</v>
      </c>
      <c r="H2086" s="3">
        <v>46637.652467774387</v>
      </c>
      <c r="I2086">
        <v>8</v>
      </c>
      <c r="J2086" s="3">
        <v>29809.936791737691</v>
      </c>
      <c r="K2086" s="3">
        <v>16827.7156760367</v>
      </c>
    </row>
    <row r="2087" spans="1:11" x14ac:dyDescent="0.3">
      <c r="A2087" t="s">
        <v>2163</v>
      </c>
      <c r="B2087" s="2">
        <v>45689</v>
      </c>
      <c r="C2087">
        <v>2025</v>
      </c>
      <c r="D2087">
        <v>2</v>
      </c>
      <c r="E2087" t="s">
        <v>58</v>
      </c>
      <c r="F2087" t="s">
        <v>48</v>
      </c>
      <c r="G2087" t="s">
        <v>24</v>
      </c>
      <c r="H2087" s="3">
        <v>74344.515567615948</v>
      </c>
      <c r="I2087">
        <v>12</v>
      </c>
      <c r="J2087" s="3">
        <v>48307.173221498473</v>
      </c>
      <c r="K2087" s="3">
        <v>26037.342346117479</v>
      </c>
    </row>
    <row r="2088" spans="1:11" x14ac:dyDescent="0.3">
      <c r="A2088" t="s">
        <v>2164</v>
      </c>
      <c r="B2088" s="2">
        <v>45689</v>
      </c>
      <c r="C2088">
        <v>2025</v>
      </c>
      <c r="D2088">
        <v>2</v>
      </c>
      <c r="E2088" t="s">
        <v>62</v>
      </c>
      <c r="F2088" t="s">
        <v>67</v>
      </c>
      <c r="G2088" t="s">
        <v>24</v>
      </c>
      <c r="H2088" s="3">
        <v>33758.430037986072</v>
      </c>
      <c r="I2088">
        <v>6</v>
      </c>
      <c r="J2088" s="3">
        <v>22550.22566900586</v>
      </c>
      <c r="K2088" s="3">
        <v>11208.204368980219</v>
      </c>
    </row>
    <row r="2089" spans="1:11" x14ac:dyDescent="0.3">
      <c r="A2089" t="s">
        <v>2165</v>
      </c>
      <c r="B2089" s="2">
        <v>45689</v>
      </c>
      <c r="C2089">
        <v>2025</v>
      </c>
      <c r="D2089">
        <v>2</v>
      </c>
      <c r="E2089" t="s">
        <v>62</v>
      </c>
      <c r="F2089" t="s">
        <v>48</v>
      </c>
      <c r="G2089" t="s">
        <v>24</v>
      </c>
      <c r="H2089" s="3">
        <v>54720.044229368723</v>
      </c>
      <c r="I2089">
        <v>9</v>
      </c>
      <c r="J2089" s="3">
        <v>36223.567826103863</v>
      </c>
      <c r="K2089" s="3">
        <v>18496.47640326486</v>
      </c>
    </row>
    <row r="2090" spans="1:11" x14ac:dyDescent="0.3">
      <c r="A2090" t="s">
        <v>2166</v>
      </c>
      <c r="B2090" s="2">
        <v>45689</v>
      </c>
      <c r="C2090">
        <v>2025</v>
      </c>
      <c r="D2090">
        <v>2</v>
      </c>
      <c r="E2090" t="s">
        <v>50</v>
      </c>
      <c r="F2090" t="s">
        <v>67</v>
      </c>
      <c r="G2090" t="s">
        <v>29</v>
      </c>
      <c r="H2090" s="3">
        <v>60847.432491107393</v>
      </c>
      <c r="I2090">
        <v>14</v>
      </c>
      <c r="J2090" s="3">
        <v>39770.18633904076</v>
      </c>
      <c r="K2090" s="3">
        <v>21077.246152066629</v>
      </c>
    </row>
    <row r="2091" spans="1:11" x14ac:dyDescent="0.3">
      <c r="A2091" t="s">
        <v>2167</v>
      </c>
      <c r="B2091" s="2">
        <v>45689</v>
      </c>
      <c r="C2091">
        <v>2025</v>
      </c>
      <c r="D2091">
        <v>2</v>
      </c>
      <c r="E2091" t="s">
        <v>50</v>
      </c>
      <c r="F2091" t="s">
        <v>48</v>
      </c>
      <c r="G2091" t="s">
        <v>29</v>
      </c>
      <c r="H2091" s="3">
        <v>91070.336226161045</v>
      </c>
      <c r="I2091">
        <v>21</v>
      </c>
      <c r="J2091" s="3">
        <v>58708.102737287431</v>
      </c>
      <c r="K2091" s="3">
        <v>32362.233488873611</v>
      </c>
    </row>
    <row r="2092" spans="1:11" x14ac:dyDescent="0.3">
      <c r="A2092" t="s">
        <v>2168</v>
      </c>
      <c r="B2092" s="2">
        <v>45689</v>
      </c>
      <c r="C2092">
        <v>2025</v>
      </c>
      <c r="D2092">
        <v>2</v>
      </c>
      <c r="E2092" t="s">
        <v>54</v>
      </c>
      <c r="F2092" t="s">
        <v>67</v>
      </c>
      <c r="G2092" t="s">
        <v>29</v>
      </c>
      <c r="H2092" s="3">
        <v>41191.7262592611</v>
      </c>
      <c r="I2092">
        <v>10</v>
      </c>
      <c r="J2092" s="3">
        <v>25903.977027488439</v>
      </c>
      <c r="K2092" s="3">
        <v>15287.749231772659</v>
      </c>
    </row>
    <row r="2093" spans="1:11" x14ac:dyDescent="0.3">
      <c r="A2093" t="s">
        <v>2169</v>
      </c>
      <c r="B2093" s="2">
        <v>45689</v>
      </c>
      <c r="C2093">
        <v>2025</v>
      </c>
      <c r="D2093">
        <v>2</v>
      </c>
      <c r="E2093" t="s">
        <v>54</v>
      </c>
      <c r="F2093" t="s">
        <v>48</v>
      </c>
      <c r="G2093" t="s">
        <v>29</v>
      </c>
      <c r="H2093" s="3">
        <v>69820.028909133049</v>
      </c>
      <c r="I2093">
        <v>16</v>
      </c>
      <c r="J2093" s="3">
        <v>44044.522834667412</v>
      </c>
      <c r="K2093" s="3">
        <v>25775.50607446564</v>
      </c>
    </row>
    <row r="2094" spans="1:11" x14ac:dyDescent="0.3">
      <c r="A2094" t="s">
        <v>2170</v>
      </c>
      <c r="B2094" s="2">
        <v>45689</v>
      </c>
      <c r="C2094">
        <v>2025</v>
      </c>
      <c r="D2094">
        <v>2</v>
      </c>
      <c r="E2094" t="s">
        <v>58</v>
      </c>
      <c r="F2094" t="s">
        <v>67</v>
      </c>
      <c r="G2094" t="s">
        <v>29</v>
      </c>
      <c r="H2094" s="3">
        <v>29104.9245070283</v>
      </c>
      <c r="I2094">
        <v>7</v>
      </c>
      <c r="J2094" s="3">
        <v>18661.65872569459</v>
      </c>
      <c r="K2094" s="3">
        <v>10443.265781333699</v>
      </c>
    </row>
    <row r="2095" spans="1:11" x14ac:dyDescent="0.3">
      <c r="A2095" t="s">
        <v>2171</v>
      </c>
      <c r="B2095" s="2">
        <v>45689</v>
      </c>
      <c r="C2095">
        <v>2025</v>
      </c>
      <c r="D2095">
        <v>2</v>
      </c>
      <c r="E2095" t="s">
        <v>58</v>
      </c>
      <c r="F2095" t="s">
        <v>48</v>
      </c>
      <c r="G2095" t="s">
        <v>29</v>
      </c>
      <c r="H2095" s="3">
        <v>48456.574101513492</v>
      </c>
      <c r="I2095">
        <v>11</v>
      </c>
      <c r="J2095" s="3">
        <v>29720.462362793001</v>
      </c>
      <c r="K2095" s="3">
        <v>18736.11173872049</v>
      </c>
    </row>
    <row r="2096" spans="1:11" x14ac:dyDescent="0.3">
      <c r="A2096" t="s">
        <v>2172</v>
      </c>
      <c r="B2096" s="2">
        <v>45689</v>
      </c>
      <c r="C2096">
        <v>2025</v>
      </c>
      <c r="D2096">
        <v>2</v>
      </c>
      <c r="E2096" t="s">
        <v>62</v>
      </c>
      <c r="F2096" t="s">
        <v>67</v>
      </c>
      <c r="G2096" t="s">
        <v>29</v>
      </c>
      <c r="H2096" s="3">
        <v>22233.836499512359</v>
      </c>
      <c r="I2096">
        <v>5</v>
      </c>
      <c r="J2096" s="3">
        <v>14658.28038303177</v>
      </c>
      <c r="K2096" s="3">
        <v>7575.5561164805858</v>
      </c>
    </row>
    <row r="2097" spans="1:11" x14ac:dyDescent="0.3">
      <c r="A2097" t="s">
        <v>2173</v>
      </c>
      <c r="B2097" s="2">
        <v>45689</v>
      </c>
      <c r="C2097">
        <v>2025</v>
      </c>
      <c r="D2097">
        <v>2</v>
      </c>
      <c r="E2097" t="s">
        <v>62</v>
      </c>
      <c r="F2097" t="s">
        <v>48</v>
      </c>
      <c r="G2097" t="s">
        <v>29</v>
      </c>
      <c r="H2097" s="3">
        <v>38973.350762558177</v>
      </c>
      <c r="I2097">
        <v>9</v>
      </c>
      <c r="J2097" s="3">
        <v>25141.2768458555</v>
      </c>
      <c r="K2097" s="3">
        <v>13832.07391670268</v>
      </c>
    </row>
    <row r="2098" spans="1:11" x14ac:dyDescent="0.3">
      <c r="A2098" t="s">
        <v>2174</v>
      </c>
      <c r="B2098" s="2">
        <v>45689</v>
      </c>
      <c r="C2098">
        <v>2025</v>
      </c>
      <c r="D2098">
        <v>2</v>
      </c>
      <c r="E2098" t="s">
        <v>50</v>
      </c>
      <c r="F2098" t="s">
        <v>67</v>
      </c>
      <c r="G2098" t="s">
        <v>34</v>
      </c>
      <c r="H2098" s="3">
        <v>50929.190301946379</v>
      </c>
      <c r="I2098">
        <v>60</v>
      </c>
      <c r="J2098" s="3">
        <v>24985.941175175769</v>
      </c>
      <c r="K2098" s="3">
        <v>25943.24912677061</v>
      </c>
    </row>
    <row r="2099" spans="1:11" x14ac:dyDescent="0.3">
      <c r="A2099" t="s">
        <v>2175</v>
      </c>
      <c r="B2099" s="2">
        <v>45689</v>
      </c>
      <c r="C2099">
        <v>2025</v>
      </c>
      <c r="D2099">
        <v>2</v>
      </c>
      <c r="E2099" t="s">
        <v>50</v>
      </c>
      <c r="F2099" t="s">
        <v>48</v>
      </c>
      <c r="G2099" t="s">
        <v>34</v>
      </c>
      <c r="H2099" s="3">
        <v>80294.741628133444</v>
      </c>
      <c r="I2099">
        <v>94</v>
      </c>
      <c r="J2099" s="3">
        <v>37444.937422726653</v>
      </c>
      <c r="K2099" s="3">
        <v>42849.804205406799</v>
      </c>
    </row>
    <row r="2100" spans="1:11" x14ac:dyDescent="0.3">
      <c r="A2100" t="s">
        <v>2176</v>
      </c>
      <c r="B2100" s="2">
        <v>45689</v>
      </c>
      <c r="C2100">
        <v>2025</v>
      </c>
      <c r="D2100">
        <v>2</v>
      </c>
      <c r="E2100" t="s">
        <v>54</v>
      </c>
      <c r="F2100" t="s">
        <v>67</v>
      </c>
      <c r="G2100" t="s">
        <v>34</v>
      </c>
      <c r="H2100" s="3">
        <v>41093.192367582022</v>
      </c>
      <c r="I2100">
        <v>48</v>
      </c>
      <c r="J2100" s="3">
        <v>20166.609200378141</v>
      </c>
      <c r="K2100" s="3">
        <v>20926.58316720388</v>
      </c>
    </row>
    <row r="2101" spans="1:11" x14ac:dyDescent="0.3">
      <c r="A2101" t="s">
        <v>2177</v>
      </c>
      <c r="B2101" s="2">
        <v>45689</v>
      </c>
      <c r="C2101">
        <v>2025</v>
      </c>
      <c r="D2101">
        <v>2</v>
      </c>
      <c r="E2101" t="s">
        <v>54</v>
      </c>
      <c r="F2101" t="s">
        <v>48</v>
      </c>
      <c r="G2101" t="s">
        <v>34</v>
      </c>
      <c r="H2101" s="3">
        <v>68730.577641646625</v>
      </c>
      <c r="I2101">
        <v>81</v>
      </c>
      <c r="J2101" s="3">
        <v>34315.813155146971</v>
      </c>
      <c r="K2101" s="3">
        <v>34414.764486499647</v>
      </c>
    </row>
    <row r="2102" spans="1:11" x14ac:dyDescent="0.3">
      <c r="A2102" t="s">
        <v>2178</v>
      </c>
      <c r="B2102" s="2">
        <v>45689</v>
      </c>
      <c r="C2102">
        <v>2025</v>
      </c>
      <c r="D2102">
        <v>2</v>
      </c>
      <c r="E2102" t="s">
        <v>58</v>
      </c>
      <c r="F2102" t="s">
        <v>67</v>
      </c>
      <c r="G2102" t="s">
        <v>34</v>
      </c>
      <c r="H2102" s="3">
        <v>28646.111540256828</v>
      </c>
      <c r="I2102">
        <v>34</v>
      </c>
      <c r="J2102" s="3">
        <v>13423.21297136176</v>
      </c>
      <c r="K2102" s="3">
        <v>15222.898568895071</v>
      </c>
    </row>
    <row r="2103" spans="1:11" x14ac:dyDescent="0.3">
      <c r="A2103" t="s">
        <v>2179</v>
      </c>
      <c r="B2103" s="2">
        <v>45689</v>
      </c>
      <c r="C2103">
        <v>2025</v>
      </c>
      <c r="D2103">
        <v>2</v>
      </c>
      <c r="E2103" t="s">
        <v>58</v>
      </c>
      <c r="F2103" t="s">
        <v>48</v>
      </c>
      <c r="G2103" t="s">
        <v>34</v>
      </c>
      <c r="H2103" s="3">
        <v>47378.64122425556</v>
      </c>
      <c r="I2103">
        <v>56</v>
      </c>
      <c r="J2103" s="3">
        <v>23057.522238770121</v>
      </c>
      <c r="K2103" s="3">
        <v>24321.118985485438</v>
      </c>
    </row>
    <row r="2104" spans="1:11" x14ac:dyDescent="0.3">
      <c r="A2104" t="s">
        <v>2180</v>
      </c>
      <c r="B2104" s="2">
        <v>45689</v>
      </c>
      <c r="C2104">
        <v>2025</v>
      </c>
      <c r="D2104">
        <v>2</v>
      </c>
      <c r="E2104" t="s">
        <v>62</v>
      </c>
      <c r="F2104" t="s">
        <v>67</v>
      </c>
      <c r="G2104" t="s">
        <v>34</v>
      </c>
      <c r="H2104" s="3">
        <v>23018.630952380929</v>
      </c>
      <c r="I2104">
        <v>27</v>
      </c>
      <c r="J2104" s="3">
        <v>11049.163604020479</v>
      </c>
      <c r="K2104" s="3">
        <v>11969.46734836044</v>
      </c>
    </row>
    <row r="2105" spans="1:11" x14ac:dyDescent="0.3">
      <c r="A2105" t="s">
        <v>2181</v>
      </c>
      <c r="B2105" s="2">
        <v>45689</v>
      </c>
      <c r="C2105">
        <v>2025</v>
      </c>
      <c r="D2105">
        <v>2</v>
      </c>
      <c r="E2105" t="s">
        <v>62</v>
      </c>
      <c r="F2105" t="s">
        <v>48</v>
      </c>
      <c r="G2105" t="s">
        <v>34</v>
      </c>
      <c r="H2105" s="3">
        <v>33110.437486081682</v>
      </c>
      <c r="I2105">
        <v>39</v>
      </c>
      <c r="J2105" s="3">
        <v>15451.18734680307</v>
      </c>
      <c r="K2105" s="3">
        <v>17659.250139278611</v>
      </c>
    </row>
    <row r="2106" spans="1:11" x14ac:dyDescent="0.3">
      <c r="A2106" t="s">
        <v>2182</v>
      </c>
      <c r="B2106" s="2">
        <v>45689</v>
      </c>
      <c r="C2106">
        <v>2025</v>
      </c>
      <c r="D2106">
        <v>2</v>
      </c>
      <c r="E2106" t="s">
        <v>50</v>
      </c>
      <c r="F2106" t="s">
        <v>67</v>
      </c>
      <c r="G2106" t="s">
        <v>37</v>
      </c>
      <c r="H2106" s="3">
        <v>45485.081046664789</v>
      </c>
      <c r="I2106">
        <v>63</v>
      </c>
      <c r="J2106" s="3">
        <v>25238.74136298785</v>
      </c>
      <c r="K2106" s="3">
        <v>20246.339683676939</v>
      </c>
    </row>
    <row r="2107" spans="1:11" x14ac:dyDescent="0.3">
      <c r="A2107" t="s">
        <v>2183</v>
      </c>
      <c r="B2107" s="2">
        <v>45689</v>
      </c>
      <c r="C2107">
        <v>2025</v>
      </c>
      <c r="D2107">
        <v>2</v>
      </c>
      <c r="E2107" t="s">
        <v>50</v>
      </c>
      <c r="F2107" t="s">
        <v>48</v>
      </c>
      <c r="G2107" t="s">
        <v>37</v>
      </c>
      <c r="H2107" s="3">
        <v>68958.346785494723</v>
      </c>
      <c r="I2107">
        <v>96</v>
      </c>
      <c r="J2107" s="3">
        <v>38496.181330940773</v>
      </c>
      <c r="K2107" s="3">
        <v>30462.16545455395</v>
      </c>
    </row>
    <row r="2108" spans="1:11" x14ac:dyDescent="0.3">
      <c r="A2108" t="s">
        <v>2184</v>
      </c>
      <c r="B2108" s="2">
        <v>45689</v>
      </c>
      <c r="C2108">
        <v>2025</v>
      </c>
      <c r="D2108">
        <v>2</v>
      </c>
      <c r="E2108" t="s">
        <v>54</v>
      </c>
      <c r="F2108" t="s">
        <v>67</v>
      </c>
      <c r="G2108" t="s">
        <v>37</v>
      </c>
      <c r="H2108" s="3">
        <v>36529.926021170097</v>
      </c>
      <c r="I2108">
        <v>51</v>
      </c>
      <c r="J2108" s="3">
        <v>19874.064137509849</v>
      </c>
      <c r="K2108" s="3">
        <v>16655.861883660251</v>
      </c>
    </row>
    <row r="2109" spans="1:11" x14ac:dyDescent="0.3">
      <c r="A2109" t="s">
        <v>2185</v>
      </c>
      <c r="B2109" s="2">
        <v>45689</v>
      </c>
      <c r="C2109">
        <v>2025</v>
      </c>
      <c r="D2109">
        <v>2</v>
      </c>
      <c r="E2109" t="s">
        <v>54</v>
      </c>
      <c r="F2109" t="s">
        <v>48</v>
      </c>
      <c r="G2109" t="s">
        <v>37</v>
      </c>
      <c r="H2109" s="3">
        <v>62796.623259973618</v>
      </c>
      <c r="I2109">
        <v>87</v>
      </c>
      <c r="J2109" s="3">
        <v>35262.977435688452</v>
      </c>
      <c r="K2109" s="3">
        <v>27533.64582428517</v>
      </c>
    </row>
    <row r="2110" spans="1:11" x14ac:dyDescent="0.3">
      <c r="A2110" t="s">
        <v>2186</v>
      </c>
      <c r="B2110" s="2">
        <v>45689</v>
      </c>
      <c r="C2110">
        <v>2025</v>
      </c>
      <c r="D2110">
        <v>2</v>
      </c>
      <c r="E2110" t="s">
        <v>58</v>
      </c>
      <c r="F2110" t="s">
        <v>67</v>
      </c>
      <c r="G2110" t="s">
        <v>37</v>
      </c>
      <c r="H2110" s="3">
        <v>27960.183007165651</v>
      </c>
      <c r="I2110">
        <v>39</v>
      </c>
      <c r="J2110" s="3">
        <v>14916.730856094729</v>
      </c>
      <c r="K2110" s="3">
        <v>13043.45215107092</v>
      </c>
    </row>
    <row r="2111" spans="1:11" x14ac:dyDescent="0.3">
      <c r="A2111" t="s">
        <v>2187</v>
      </c>
      <c r="B2111" s="2">
        <v>45689</v>
      </c>
      <c r="C2111">
        <v>2025</v>
      </c>
      <c r="D2111">
        <v>2</v>
      </c>
      <c r="E2111" t="s">
        <v>58</v>
      </c>
      <c r="F2111" t="s">
        <v>48</v>
      </c>
      <c r="G2111" t="s">
        <v>37</v>
      </c>
      <c r="H2111" s="3">
        <v>40558.093219121183</v>
      </c>
      <c r="I2111">
        <v>56</v>
      </c>
      <c r="J2111" s="3">
        <v>21706.76912515382</v>
      </c>
      <c r="K2111" s="3">
        <v>18851.324093967371</v>
      </c>
    </row>
    <row r="2112" spans="1:11" x14ac:dyDescent="0.3">
      <c r="A2112" t="s">
        <v>2188</v>
      </c>
      <c r="B2112" s="2">
        <v>45689</v>
      </c>
      <c r="C2112">
        <v>2025</v>
      </c>
      <c r="D2112">
        <v>2</v>
      </c>
      <c r="E2112" t="s">
        <v>62</v>
      </c>
      <c r="F2112" t="s">
        <v>67</v>
      </c>
      <c r="G2112" t="s">
        <v>37</v>
      </c>
      <c r="H2112" s="3">
        <v>17817.285398971409</v>
      </c>
      <c r="I2112">
        <v>25</v>
      </c>
      <c r="J2112" s="3">
        <v>9823.6015377756903</v>
      </c>
      <c r="K2112" s="3">
        <v>7993.6838611957191</v>
      </c>
    </row>
    <row r="2113" spans="1:11" x14ac:dyDescent="0.3">
      <c r="A2113" t="s">
        <v>2189</v>
      </c>
      <c r="B2113" s="2">
        <v>45689</v>
      </c>
      <c r="C2113">
        <v>2025</v>
      </c>
      <c r="D2113">
        <v>2</v>
      </c>
      <c r="E2113" t="s">
        <v>62</v>
      </c>
      <c r="F2113" t="s">
        <v>48</v>
      </c>
      <c r="G2113" t="s">
        <v>37</v>
      </c>
      <c r="H2113" s="3">
        <v>30177.023984808191</v>
      </c>
      <c r="I2113">
        <v>42</v>
      </c>
      <c r="J2113" s="3">
        <v>16604.947107852578</v>
      </c>
      <c r="K2113" s="3">
        <v>13572.076876955611</v>
      </c>
    </row>
    <row r="2114" spans="1:11" x14ac:dyDescent="0.3">
      <c r="A2114" t="s">
        <v>2190</v>
      </c>
      <c r="B2114" s="2">
        <v>45689</v>
      </c>
      <c r="C2114">
        <v>2025</v>
      </c>
      <c r="D2114">
        <v>2</v>
      </c>
      <c r="E2114" t="s">
        <v>50</v>
      </c>
      <c r="F2114" t="s">
        <v>67</v>
      </c>
      <c r="G2114" t="s">
        <v>40</v>
      </c>
      <c r="H2114" s="3">
        <v>42505.669408830327</v>
      </c>
      <c r="I2114">
        <v>8</v>
      </c>
      <c r="J2114" s="3">
        <v>28950.618119381321</v>
      </c>
      <c r="K2114" s="3">
        <v>13555.051289449009</v>
      </c>
    </row>
    <row r="2115" spans="1:11" x14ac:dyDescent="0.3">
      <c r="A2115" t="s">
        <v>2191</v>
      </c>
      <c r="B2115" s="2">
        <v>45689</v>
      </c>
      <c r="C2115">
        <v>2025</v>
      </c>
      <c r="D2115">
        <v>2</v>
      </c>
      <c r="E2115" t="s">
        <v>50</v>
      </c>
      <c r="F2115" t="s">
        <v>48</v>
      </c>
      <c r="G2115" t="s">
        <v>40</v>
      </c>
      <c r="H2115" s="3">
        <v>65576.405671808345</v>
      </c>
      <c r="I2115">
        <v>12</v>
      </c>
      <c r="J2115" s="3">
        <v>45907.101354631362</v>
      </c>
      <c r="K2115" s="3">
        <v>19669.304317176979</v>
      </c>
    </row>
    <row r="2116" spans="1:11" x14ac:dyDescent="0.3">
      <c r="A2116" t="s">
        <v>2192</v>
      </c>
      <c r="B2116" s="2">
        <v>45689</v>
      </c>
      <c r="C2116">
        <v>2025</v>
      </c>
      <c r="D2116">
        <v>2</v>
      </c>
      <c r="E2116" t="s">
        <v>54</v>
      </c>
      <c r="F2116" t="s">
        <v>67</v>
      </c>
      <c r="G2116" t="s">
        <v>40</v>
      </c>
      <c r="H2116" s="3">
        <v>34112.221666709607</v>
      </c>
      <c r="I2116">
        <v>6</v>
      </c>
      <c r="J2116" s="3">
        <v>23762.358957869012</v>
      </c>
      <c r="K2116" s="3">
        <v>10349.862708840599</v>
      </c>
    </row>
    <row r="2117" spans="1:11" x14ac:dyDescent="0.3">
      <c r="A2117" t="s">
        <v>2193</v>
      </c>
      <c r="B2117" s="2">
        <v>45689</v>
      </c>
      <c r="C2117">
        <v>2025</v>
      </c>
      <c r="D2117">
        <v>2</v>
      </c>
      <c r="E2117" t="s">
        <v>54</v>
      </c>
      <c r="F2117" t="s">
        <v>48</v>
      </c>
      <c r="G2117" t="s">
        <v>40</v>
      </c>
      <c r="H2117" s="3">
        <v>53162.463308378123</v>
      </c>
      <c r="I2117">
        <v>10</v>
      </c>
      <c r="J2117" s="3">
        <v>37248.709855731329</v>
      </c>
      <c r="K2117" s="3">
        <v>15913.75345264679</v>
      </c>
    </row>
    <row r="2118" spans="1:11" x14ac:dyDescent="0.3">
      <c r="A2118" t="s">
        <v>2194</v>
      </c>
      <c r="B2118" s="2">
        <v>45689</v>
      </c>
      <c r="C2118">
        <v>2025</v>
      </c>
      <c r="D2118">
        <v>2</v>
      </c>
      <c r="E2118" t="s">
        <v>58</v>
      </c>
      <c r="F2118" t="s">
        <v>67</v>
      </c>
      <c r="G2118" t="s">
        <v>40</v>
      </c>
      <c r="H2118" s="3">
        <v>22727.82777645723</v>
      </c>
      <c r="I2118">
        <v>4</v>
      </c>
      <c r="J2118" s="3">
        <v>15647.44225945498</v>
      </c>
      <c r="K2118" s="3">
        <v>7080.3855170022507</v>
      </c>
    </row>
    <row r="2119" spans="1:11" x14ac:dyDescent="0.3">
      <c r="A2119" t="s">
        <v>2195</v>
      </c>
      <c r="B2119" s="2">
        <v>45689</v>
      </c>
      <c r="C2119">
        <v>2025</v>
      </c>
      <c r="D2119">
        <v>2</v>
      </c>
      <c r="E2119" t="s">
        <v>58</v>
      </c>
      <c r="F2119" t="s">
        <v>48</v>
      </c>
      <c r="G2119" t="s">
        <v>40</v>
      </c>
      <c r="H2119" s="3">
        <v>33991.098807386683</v>
      </c>
      <c r="I2119">
        <v>6</v>
      </c>
      <c r="J2119" s="3">
        <v>23708.249155715461</v>
      </c>
      <c r="K2119" s="3">
        <v>10282.849651671209</v>
      </c>
    </row>
    <row r="2120" spans="1:11" x14ac:dyDescent="0.3">
      <c r="A2120" t="s">
        <v>2196</v>
      </c>
      <c r="B2120" s="2">
        <v>45689</v>
      </c>
      <c r="C2120">
        <v>2025</v>
      </c>
      <c r="D2120">
        <v>2</v>
      </c>
      <c r="E2120" t="s">
        <v>62</v>
      </c>
      <c r="F2120" t="s">
        <v>67</v>
      </c>
      <c r="G2120" t="s">
        <v>40</v>
      </c>
      <c r="H2120" s="3">
        <v>17718.250874424932</v>
      </c>
      <c r="I2120">
        <v>3</v>
      </c>
      <c r="J2120" s="3">
        <v>12127.522996471051</v>
      </c>
      <c r="K2120" s="3">
        <v>5590.7278779538847</v>
      </c>
    </row>
    <row r="2121" spans="1:11" x14ac:dyDescent="0.3">
      <c r="A2121" t="s">
        <v>2197</v>
      </c>
      <c r="B2121" s="2">
        <v>45689</v>
      </c>
      <c r="C2121">
        <v>2025</v>
      </c>
      <c r="D2121">
        <v>2</v>
      </c>
      <c r="E2121" t="s">
        <v>62</v>
      </c>
      <c r="F2121" t="s">
        <v>48</v>
      </c>
      <c r="G2121" t="s">
        <v>40</v>
      </c>
      <c r="H2121" s="3">
        <v>28718.196509167021</v>
      </c>
      <c r="I2121">
        <v>5</v>
      </c>
      <c r="J2121" s="3">
        <v>20548.111643027689</v>
      </c>
      <c r="K2121" s="3">
        <v>8170.084866139332</v>
      </c>
    </row>
    <row r="2122" spans="1:11" x14ac:dyDescent="0.3">
      <c r="A2122" t="s">
        <v>2198</v>
      </c>
      <c r="B2122" s="2">
        <v>45689</v>
      </c>
      <c r="C2122">
        <v>2025</v>
      </c>
      <c r="D2122">
        <v>2</v>
      </c>
      <c r="E2122" t="s">
        <v>50</v>
      </c>
      <c r="F2122" t="s">
        <v>67</v>
      </c>
      <c r="G2122" t="s">
        <v>43</v>
      </c>
      <c r="H2122" s="3">
        <v>81833.345319686036</v>
      </c>
      <c r="I2122">
        <v>23</v>
      </c>
      <c r="J2122" s="3">
        <v>47575.514482741783</v>
      </c>
      <c r="K2122" s="3">
        <v>34257.830836944253</v>
      </c>
    </row>
    <row r="2123" spans="1:11" x14ac:dyDescent="0.3">
      <c r="A2123" t="s">
        <v>2199</v>
      </c>
      <c r="B2123" s="2">
        <v>45689</v>
      </c>
      <c r="C2123">
        <v>2025</v>
      </c>
      <c r="D2123">
        <v>2</v>
      </c>
      <c r="E2123" t="s">
        <v>50</v>
      </c>
      <c r="F2123" t="s">
        <v>48</v>
      </c>
      <c r="G2123" t="s">
        <v>43</v>
      </c>
      <c r="H2123" s="3">
        <v>126545.7360184811</v>
      </c>
      <c r="I2123">
        <v>36</v>
      </c>
      <c r="J2123" s="3">
        <v>77491.326554294166</v>
      </c>
      <c r="K2123" s="3">
        <v>49054.409464186901</v>
      </c>
    </row>
    <row r="2124" spans="1:11" x14ac:dyDescent="0.3">
      <c r="A2124" t="s">
        <v>2200</v>
      </c>
      <c r="B2124" s="2">
        <v>45689</v>
      </c>
      <c r="C2124">
        <v>2025</v>
      </c>
      <c r="D2124">
        <v>2</v>
      </c>
      <c r="E2124" t="s">
        <v>54</v>
      </c>
      <c r="F2124" t="s">
        <v>67</v>
      </c>
      <c r="G2124" t="s">
        <v>43</v>
      </c>
      <c r="H2124" s="3">
        <v>69484.256782124299</v>
      </c>
      <c r="I2124">
        <v>20</v>
      </c>
      <c r="J2124" s="3">
        <v>41021.456113300927</v>
      </c>
      <c r="K2124" s="3">
        <v>28462.800668823369</v>
      </c>
    </row>
    <row r="2125" spans="1:11" x14ac:dyDescent="0.3">
      <c r="A2125" t="s">
        <v>2201</v>
      </c>
      <c r="B2125" s="2">
        <v>45689</v>
      </c>
      <c r="C2125">
        <v>2025</v>
      </c>
      <c r="D2125">
        <v>2</v>
      </c>
      <c r="E2125" t="s">
        <v>54</v>
      </c>
      <c r="F2125" t="s">
        <v>48</v>
      </c>
      <c r="G2125" t="s">
        <v>43</v>
      </c>
      <c r="H2125" s="3">
        <v>111432.69886485201</v>
      </c>
      <c r="I2125">
        <v>32</v>
      </c>
      <c r="J2125" s="3">
        <v>64117.491750575849</v>
      </c>
      <c r="K2125" s="3">
        <v>47315.207114276112</v>
      </c>
    </row>
    <row r="2126" spans="1:11" x14ac:dyDescent="0.3">
      <c r="A2126" t="s">
        <v>2202</v>
      </c>
      <c r="B2126" s="2">
        <v>45689</v>
      </c>
      <c r="C2126">
        <v>2025</v>
      </c>
      <c r="D2126">
        <v>2</v>
      </c>
      <c r="E2126" t="s">
        <v>58</v>
      </c>
      <c r="F2126" t="s">
        <v>67</v>
      </c>
      <c r="G2126" t="s">
        <v>43</v>
      </c>
      <c r="H2126" s="3">
        <v>48309.81550915695</v>
      </c>
      <c r="I2126">
        <v>14</v>
      </c>
      <c r="J2126" s="3">
        <v>29204.684590477391</v>
      </c>
      <c r="K2126" s="3">
        <v>19105.130918679559</v>
      </c>
    </row>
    <row r="2127" spans="1:11" x14ac:dyDescent="0.3">
      <c r="A2127" t="s">
        <v>2203</v>
      </c>
      <c r="B2127" s="2">
        <v>45689</v>
      </c>
      <c r="C2127">
        <v>2025</v>
      </c>
      <c r="D2127">
        <v>2</v>
      </c>
      <c r="E2127" t="s">
        <v>58</v>
      </c>
      <c r="F2127" t="s">
        <v>48</v>
      </c>
      <c r="G2127" t="s">
        <v>43</v>
      </c>
      <c r="H2127" s="3">
        <v>78825.011171454884</v>
      </c>
      <c r="I2127">
        <v>23</v>
      </c>
      <c r="J2127" s="3">
        <v>46612.151365200712</v>
      </c>
      <c r="K2127" s="3">
        <v>32212.859806254179</v>
      </c>
    </row>
    <row r="2128" spans="1:11" x14ac:dyDescent="0.3">
      <c r="A2128" t="s">
        <v>2204</v>
      </c>
      <c r="B2128" s="2">
        <v>45689</v>
      </c>
      <c r="C2128">
        <v>2025</v>
      </c>
      <c r="D2128">
        <v>2</v>
      </c>
      <c r="E2128" t="s">
        <v>62</v>
      </c>
      <c r="F2128" t="s">
        <v>67</v>
      </c>
      <c r="G2128" t="s">
        <v>43</v>
      </c>
      <c r="H2128" s="3">
        <v>34587.31436110958</v>
      </c>
      <c r="I2128">
        <v>10</v>
      </c>
      <c r="J2128" s="3">
        <v>20719.1480605502</v>
      </c>
      <c r="K2128" s="3">
        <v>13868.16630055938</v>
      </c>
    </row>
    <row r="2129" spans="1:11" x14ac:dyDescent="0.3">
      <c r="A2129" t="s">
        <v>2205</v>
      </c>
      <c r="B2129" s="2">
        <v>45689</v>
      </c>
      <c r="C2129">
        <v>2025</v>
      </c>
      <c r="D2129">
        <v>2</v>
      </c>
      <c r="E2129" t="s">
        <v>62</v>
      </c>
      <c r="F2129" t="s">
        <v>48</v>
      </c>
      <c r="G2129" t="s">
        <v>43</v>
      </c>
      <c r="H2129" s="3">
        <v>58966.495011893952</v>
      </c>
      <c r="I2129">
        <v>17</v>
      </c>
      <c r="J2129" s="3">
        <v>35556.640222405556</v>
      </c>
      <c r="K2129" s="3">
        <v>23409.8547894884</v>
      </c>
    </row>
    <row r="2130" spans="1:11" x14ac:dyDescent="0.3">
      <c r="A2130" t="s">
        <v>2206</v>
      </c>
      <c r="B2130" s="2">
        <v>45717</v>
      </c>
      <c r="C2130">
        <v>2025</v>
      </c>
      <c r="D2130">
        <v>3</v>
      </c>
      <c r="E2130" t="s">
        <v>50</v>
      </c>
      <c r="F2130" t="s">
        <v>67</v>
      </c>
      <c r="G2130" t="s">
        <v>19</v>
      </c>
      <c r="H2130" s="3">
        <v>93279.071196582212</v>
      </c>
      <c r="I2130">
        <v>18</v>
      </c>
      <c r="J2130" s="3">
        <v>58184.833992872511</v>
      </c>
      <c r="K2130" s="3">
        <v>35094.237203709701</v>
      </c>
    </row>
    <row r="2131" spans="1:11" x14ac:dyDescent="0.3">
      <c r="A2131" t="s">
        <v>2207</v>
      </c>
      <c r="B2131" s="2">
        <v>45717</v>
      </c>
      <c r="C2131">
        <v>2025</v>
      </c>
      <c r="D2131">
        <v>3</v>
      </c>
      <c r="E2131" t="s">
        <v>50</v>
      </c>
      <c r="F2131" t="s">
        <v>48</v>
      </c>
      <c r="G2131" t="s">
        <v>19</v>
      </c>
      <c r="H2131" s="3">
        <v>152543.37398438569</v>
      </c>
      <c r="I2131">
        <v>29</v>
      </c>
      <c r="J2131" s="3">
        <v>93568.670500180277</v>
      </c>
      <c r="K2131" s="3">
        <v>58974.703484205442</v>
      </c>
    </row>
    <row r="2132" spans="1:11" x14ac:dyDescent="0.3">
      <c r="A2132" t="s">
        <v>2208</v>
      </c>
      <c r="B2132" s="2">
        <v>45717</v>
      </c>
      <c r="C2132">
        <v>2025</v>
      </c>
      <c r="D2132">
        <v>3</v>
      </c>
      <c r="E2132" t="s">
        <v>54</v>
      </c>
      <c r="F2132" t="s">
        <v>67</v>
      </c>
      <c r="G2132" t="s">
        <v>19</v>
      </c>
      <c r="H2132" s="3">
        <v>77717.77996307172</v>
      </c>
      <c r="I2132">
        <v>15</v>
      </c>
      <c r="J2132" s="3">
        <v>49031.289475039273</v>
      </c>
      <c r="K2132" s="3">
        <v>28686.49048803245</v>
      </c>
    </row>
    <row r="2133" spans="1:11" x14ac:dyDescent="0.3">
      <c r="A2133" t="s">
        <v>2209</v>
      </c>
      <c r="B2133" s="2">
        <v>45717</v>
      </c>
      <c r="C2133">
        <v>2025</v>
      </c>
      <c r="D2133">
        <v>3</v>
      </c>
      <c r="E2133" t="s">
        <v>54</v>
      </c>
      <c r="F2133" t="s">
        <v>48</v>
      </c>
      <c r="G2133" t="s">
        <v>19</v>
      </c>
      <c r="H2133" s="3">
        <v>117852.4195465997</v>
      </c>
      <c r="I2133">
        <v>23</v>
      </c>
      <c r="J2133" s="3">
        <v>73069.493787229454</v>
      </c>
      <c r="K2133" s="3">
        <v>44782.92575937025</v>
      </c>
    </row>
    <row r="2134" spans="1:11" x14ac:dyDescent="0.3">
      <c r="A2134" t="s">
        <v>2210</v>
      </c>
      <c r="B2134" s="2">
        <v>45717</v>
      </c>
      <c r="C2134">
        <v>2025</v>
      </c>
      <c r="D2134">
        <v>3</v>
      </c>
      <c r="E2134" t="s">
        <v>58</v>
      </c>
      <c r="F2134" t="s">
        <v>67</v>
      </c>
      <c r="G2134" t="s">
        <v>19</v>
      </c>
      <c r="H2134" s="3">
        <v>48154.401960852061</v>
      </c>
      <c r="I2134">
        <v>9</v>
      </c>
      <c r="J2134" s="3">
        <v>30224.311351359811</v>
      </c>
      <c r="K2134" s="3">
        <v>17930.09060949225</v>
      </c>
    </row>
    <row r="2135" spans="1:11" x14ac:dyDescent="0.3">
      <c r="A2135" t="s">
        <v>2211</v>
      </c>
      <c r="B2135" s="2">
        <v>45717</v>
      </c>
      <c r="C2135">
        <v>2025</v>
      </c>
      <c r="D2135">
        <v>3</v>
      </c>
      <c r="E2135" t="s">
        <v>58</v>
      </c>
      <c r="F2135" t="s">
        <v>48</v>
      </c>
      <c r="G2135" t="s">
        <v>19</v>
      </c>
      <c r="H2135" s="3">
        <v>85273.757367489321</v>
      </c>
      <c r="I2135">
        <v>16</v>
      </c>
      <c r="J2135" s="3">
        <v>50820.120813873073</v>
      </c>
      <c r="K2135" s="3">
        <v>34453.636553616263</v>
      </c>
    </row>
    <row r="2136" spans="1:11" x14ac:dyDescent="0.3">
      <c r="A2136" t="s">
        <v>2212</v>
      </c>
      <c r="B2136" s="2">
        <v>45717</v>
      </c>
      <c r="C2136">
        <v>2025</v>
      </c>
      <c r="D2136">
        <v>3</v>
      </c>
      <c r="E2136" t="s">
        <v>62</v>
      </c>
      <c r="F2136" t="s">
        <v>67</v>
      </c>
      <c r="G2136" t="s">
        <v>19</v>
      </c>
      <c r="H2136" s="3">
        <v>43756.147216624857</v>
      </c>
      <c r="I2136">
        <v>8</v>
      </c>
      <c r="J2136" s="3">
        <v>27347.08076189629</v>
      </c>
      <c r="K2136" s="3">
        <v>16409.066454728581</v>
      </c>
    </row>
    <row r="2137" spans="1:11" x14ac:dyDescent="0.3">
      <c r="A2137" t="s">
        <v>2213</v>
      </c>
      <c r="B2137" s="2">
        <v>45717</v>
      </c>
      <c r="C2137">
        <v>2025</v>
      </c>
      <c r="D2137">
        <v>3</v>
      </c>
      <c r="E2137" t="s">
        <v>62</v>
      </c>
      <c r="F2137" t="s">
        <v>48</v>
      </c>
      <c r="G2137" t="s">
        <v>19</v>
      </c>
      <c r="H2137" s="3">
        <v>64091.510983771332</v>
      </c>
      <c r="I2137">
        <v>12</v>
      </c>
      <c r="J2137" s="3">
        <v>39279.981106380008</v>
      </c>
      <c r="K2137" s="3">
        <v>24811.52987739132</v>
      </c>
    </row>
    <row r="2138" spans="1:11" x14ac:dyDescent="0.3">
      <c r="A2138" t="s">
        <v>2214</v>
      </c>
      <c r="B2138" s="2">
        <v>45717</v>
      </c>
      <c r="C2138">
        <v>2025</v>
      </c>
      <c r="D2138">
        <v>3</v>
      </c>
      <c r="E2138" t="s">
        <v>50</v>
      </c>
      <c r="F2138" t="s">
        <v>67</v>
      </c>
      <c r="G2138" t="s">
        <v>24</v>
      </c>
      <c r="H2138" s="3">
        <v>96727.758264412871</v>
      </c>
      <c r="I2138">
        <v>16</v>
      </c>
      <c r="J2138" s="3">
        <v>65740.181161376691</v>
      </c>
      <c r="K2138" s="3">
        <v>30987.577103036179</v>
      </c>
    </row>
    <row r="2139" spans="1:11" x14ac:dyDescent="0.3">
      <c r="A2139" t="s">
        <v>2215</v>
      </c>
      <c r="B2139" s="2">
        <v>45717</v>
      </c>
      <c r="C2139">
        <v>2025</v>
      </c>
      <c r="D2139">
        <v>3</v>
      </c>
      <c r="E2139" t="s">
        <v>50</v>
      </c>
      <c r="F2139" t="s">
        <v>48</v>
      </c>
      <c r="G2139" t="s">
        <v>24</v>
      </c>
      <c r="H2139" s="3">
        <v>159535.00493620569</v>
      </c>
      <c r="I2139">
        <v>26</v>
      </c>
      <c r="J2139" s="3">
        <v>106474.02566617529</v>
      </c>
      <c r="K2139" s="3">
        <v>53060.979270030381</v>
      </c>
    </row>
    <row r="2140" spans="1:11" x14ac:dyDescent="0.3">
      <c r="A2140" t="s">
        <v>2216</v>
      </c>
      <c r="B2140" s="2">
        <v>45717</v>
      </c>
      <c r="C2140">
        <v>2025</v>
      </c>
      <c r="D2140">
        <v>3</v>
      </c>
      <c r="E2140" t="s">
        <v>54</v>
      </c>
      <c r="F2140" t="s">
        <v>67</v>
      </c>
      <c r="G2140" t="s">
        <v>24</v>
      </c>
      <c r="H2140" s="3">
        <v>79217.174921657745</v>
      </c>
      <c r="I2140">
        <v>13</v>
      </c>
      <c r="J2140" s="3">
        <v>52509.065582044102</v>
      </c>
      <c r="K2140" s="3">
        <v>26708.109339613649</v>
      </c>
    </row>
    <row r="2141" spans="1:11" x14ac:dyDescent="0.3">
      <c r="A2141" t="s">
        <v>2217</v>
      </c>
      <c r="B2141" s="2">
        <v>45717</v>
      </c>
      <c r="C2141">
        <v>2025</v>
      </c>
      <c r="D2141">
        <v>3</v>
      </c>
      <c r="E2141" t="s">
        <v>54</v>
      </c>
      <c r="F2141" t="s">
        <v>48</v>
      </c>
      <c r="G2141" t="s">
        <v>24</v>
      </c>
      <c r="H2141" s="3">
        <v>124209.7812772395</v>
      </c>
      <c r="I2141">
        <v>20</v>
      </c>
      <c r="J2141" s="3">
        <v>82696.06060291281</v>
      </c>
      <c r="K2141" s="3">
        <v>41513.720674326672</v>
      </c>
    </row>
    <row r="2142" spans="1:11" x14ac:dyDescent="0.3">
      <c r="A2142" t="s">
        <v>2218</v>
      </c>
      <c r="B2142" s="2">
        <v>45717</v>
      </c>
      <c r="C2142">
        <v>2025</v>
      </c>
      <c r="D2142">
        <v>3</v>
      </c>
      <c r="E2142" t="s">
        <v>58</v>
      </c>
      <c r="F2142" t="s">
        <v>67</v>
      </c>
      <c r="G2142" t="s">
        <v>24</v>
      </c>
      <c r="H2142" s="3">
        <v>51459.820927568973</v>
      </c>
      <c r="I2142">
        <v>8</v>
      </c>
      <c r="J2142" s="3">
        <v>33353.092312745357</v>
      </c>
      <c r="K2142" s="3">
        <v>18106.72861482362</v>
      </c>
    </row>
    <row r="2143" spans="1:11" x14ac:dyDescent="0.3">
      <c r="A2143" t="s">
        <v>2219</v>
      </c>
      <c r="B2143" s="2">
        <v>45717</v>
      </c>
      <c r="C2143">
        <v>2025</v>
      </c>
      <c r="D2143">
        <v>3</v>
      </c>
      <c r="E2143" t="s">
        <v>58</v>
      </c>
      <c r="F2143" t="s">
        <v>48</v>
      </c>
      <c r="G2143" t="s">
        <v>24</v>
      </c>
      <c r="H2143" s="3">
        <v>86412.155027150249</v>
      </c>
      <c r="I2143">
        <v>14</v>
      </c>
      <c r="J2143" s="3">
        <v>58698.419330353499</v>
      </c>
      <c r="K2143" s="3">
        <v>27713.73569679675</v>
      </c>
    </row>
    <row r="2144" spans="1:11" x14ac:dyDescent="0.3">
      <c r="A2144" t="s">
        <v>2220</v>
      </c>
      <c r="B2144" s="2">
        <v>45717</v>
      </c>
      <c r="C2144">
        <v>2025</v>
      </c>
      <c r="D2144">
        <v>3</v>
      </c>
      <c r="E2144" t="s">
        <v>62</v>
      </c>
      <c r="F2144" t="s">
        <v>67</v>
      </c>
      <c r="G2144" t="s">
        <v>24</v>
      </c>
      <c r="H2144" s="3">
        <v>37771.519987715437</v>
      </c>
      <c r="I2144">
        <v>6</v>
      </c>
      <c r="J2144" s="3">
        <v>25822.782192130879</v>
      </c>
      <c r="K2144" s="3">
        <v>11948.73779558457</v>
      </c>
    </row>
    <row r="2145" spans="1:11" x14ac:dyDescent="0.3">
      <c r="A2145" t="s">
        <v>2221</v>
      </c>
      <c r="B2145" s="2">
        <v>45717</v>
      </c>
      <c r="C2145">
        <v>2025</v>
      </c>
      <c r="D2145">
        <v>3</v>
      </c>
      <c r="E2145" t="s">
        <v>62</v>
      </c>
      <c r="F2145" t="s">
        <v>48</v>
      </c>
      <c r="G2145" t="s">
        <v>24</v>
      </c>
      <c r="H2145" s="3">
        <v>63967.996438883951</v>
      </c>
      <c r="I2145">
        <v>10</v>
      </c>
      <c r="J2145" s="3">
        <v>42517.46826338063</v>
      </c>
      <c r="K2145" s="3">
        <v>21450.528175503321</v>
      </c>
    </row>
    <row r="2146" spans="1:11" x14ac:dyDescent="0.3">
      <c r="A2146" t="s">
        <v>2222</v>
      </c>
      <c r="B2146" s="2">
        <v>45717</v>
      </c>
      <c r="C2146">
        <v>2025</v>
      </c>
      <c r="D2146">
        <v>3</v>
      </c>
      <c r="E2146" t="s">
        <v>50</v>
      </c>
      <c r="F2146" t="s">
        <v>67</v>
      </c>
      <c r="G2146" t="s">
        <v>29</v>
      </c>
      <c r="H2146" s="3">
        <v>64685.488739549932</v>
      </c>
      <c r="I2146">
        <v>15</v>
      </c>
      <c r="J2146" s="3">
        <v>42583.844683407049</v>
      </c>
      <c r="K2146" s="3">
        <v>22101.644056142879</v>
      </c>
    </row>
    <row r="2147" spans="1:11" x14ac:dyDescent="0.3">
      <c r="A2147" t="s">
        <v>2223</v>
      </c>
      <c r="B2147" s="2">
        <v>45717</v>
      </c>
      <c r="C2147">
        <v>2025</v>
      </c>
      <c r="D2147">
        <v>3</v>
      </c>
      <c r="E2147" t="s">
        <v>50</v>
      </c>
      <c r="F2147" t="s">
        <v>48</v>
      </c>
      <c r="G2147" t="s">
        <v>29</v>
      </c>
      <c r="H2147" s="3">
        <v>108148.5477826217</v>
      </c>
      <c r="I2147">
        <v>25</v>
      </c>
      <c r="J2147" s="3">
        <v>68505.985191520114</v>
      </c>
      <c r="K2147" s="3">
        <v>39642.56259110161</v>
      </c>
    </row>
    <row r="2148" spans="1:11" x14ac:dyDescent="0.3">
      <c r="A2148" t="s">
        <v>2224</v>
      </c>
      <c r="B2148" s="2">
        <v>45717</v>
      </c>
      <c r="C2148">
        <v>2025</v>
      </c>
      <c r="D2148">
        <v>3</v>
      </c>
      <c r="E2148" t="s">
        <v>54</v>
      </c>
      <c r="F2148" t="s">
        <v>67</v>
      </c>
      <c r="G2148" t="s">
        <v>29</v>
      </c>
      <c r="H2148" s="3">
        <v>58199.113916156282</v>
      </c>
      <c r="I2148">
        <v>14</v>
      </c>
      <c r="J2148" s="3">
        <v>36713.005092959451</v>
      </c>
      <c r="K2148" s="3">
        <v>21486.108823196832</v>
      </c>
    </row>
    <row r="2149" spans="1:11" x14ac:dyDescent="0.3">
      <c r="A2149" t="s">
        <v>2225</v>
      </c>
      <c r="B2149" s="2">
        <v>45717</v>
      </c>
      <c r="C2149">
        <v>2025</v>
      </c>
      <c r="D2149">
        <v>3</v>
      </c>
      <c r="E2149" t="s">
        <v>54</v>
      </c>
      <c r="F2149" t="s">
        <v>48</v>
      </c>
      <c r="G2149" t="s">
        <v>29</v>
      </c>
      <c r="H2149" s="3">
        <v>84687.878215595279</v>
      </c>
      <c r="I2149">
        <v>20</v>
      </c>
      <c r="J2149" s="3">
        <v>54240.168421151837</v>
      </c>
      <c r="K2149" s="3">
        <v>30447.709794443439</v>
      </c>
    </row>
    <row r="2150" spans="1:11" x14ac:dyDescent="0.3">
      <c r="A2150" t="s">
        <v>2226</v>
      </c>
      <c r="B2150" s="2">
        <v>45717</v>
      </c>
      <c r="C2150">
        <v>2025</v>
      </c>
      <c r="D2150">
        <v>3</v>
      </c>
      <c r="E2150" t="s">
        <v>58</v>
      </c>
      <c r="F2150" t="s">
        <v>67</v>
      </c>
      <c r="G2150" t="s">
        <v>29</v>
      </c>
      <c r="H2150" s="3">
        <v>36640.736625320002</v>
      </c>
      <c r="I2150">
        <v>9</v>
      </c>
      <c r="J2150" s="3">
        <v>23633.660611800871</v>
      </c>
      <c r="K2150" s="3">
        <v>13007.07601351913</v>
      </c>
    </row>
    <row r="2151" spans="1:11" x14ac:dyDescent="0.3">
      <c r="A2151" t="s">
        <v>2227</v>
      </c>
      <c r="B2151" s="2">
        <v>45717</v>
      </c>
      <c r="C2151">
        <v>2025</v>
      </c>
      <c r="D2151">
        <v>3</v>
      </c>
      <c r="E2151" t="s">
        <v>58</v>
      </c>
      <c r="F2151" t="s">
        <v>48</v>
      </c>
      <c r="G2151" t="s">
        <v>29</v>
      </c>
      <c r="H2151" s="3">
        <v>57650.511138790731</v>
      </c>
      <c r="I2151">
        <v>13</v>
      </c>
      <c r="J2151" s="3">
        <v>36634.667222266216</v>
      </c>
      <c r="K2151" s="3">
        <v>21015.843916524511</v>
      </c>
    </row>
    <row r="2152" spans="1:11" x14ac:dyDescent="0.3">
      <c r="A2152" t="s">
        <v>2228</v>
      </c>
      <c r="B2152" s="2">
        <v>45717</v>
      </c>
      <c r="C2152">
        <v>2025</v>
      </c>
      <c r="D2152">
        <v>3</v>
      </c>
      <c r="E2152" t="s">
        <v>62</v>
      </c>
      <c r="F2152" t="s">
        <v>67</v>
      </c>
      <c r="G2152" t="s">
        <v>29</v>
      </c>
      <c r="H2152" s="3">
        <v>28796.83813338992</v>
      </c>
      <c r="I2152">
        <v>7</v>
      </c>
      <c r="J2152" s="3">
        <v>18608.375396450439</v>
      </c>
      <c r="K2152" s="3">
        <v>10188.46273693948</v>
      </c>
    </row>
    <row r="2153" spans="1:11" x14ac:dyDescent="0.3">
      <c r="A2153" t="s">
        <v>2229</v>
      </c>
      <c r="B2153" s="2">
        <v>45717</v>
      </c>
      <c r="C2153">
        <v>2025</v>
      </c>
      <c r="D2153">
        <v>3</v>
      </c>
      <c r="E2153" t="s">
        <v>62</v>
      </c>
      <c r="F2153" t="s">
        <v>48</v>
      </c>
      <c r="G2153" t="s">
        <v>29</v>
      </c>
      <c r="H2153" s="3">
        <v>44649.488206973663</v>
      </c>
      <c r="I2153">
        <v>10</v>
      </c>
      <c r="J2153" s="3">
        <v>28733.26759115011</v>
      </c>
      <c r="K2153" s="3">
        <v>15916.22061582354</v>
      </c>
    </row>
    <row r="2154" spans="1:11" x14ac:dyDescent="0.3">
      <c r="A2154" t="s">
        <v>2230</v>
      </c>
      <c r="B2154" s="2">
        <v>45717</v>
      </c>
      <c r="C2154">
        <v>2025</v>
      </c>
      <c r="D2154">
        <v>3</v>
      </c>
      <c r="E2154" t="s">
        <v>50</v>
      </c>
      <c r="F2154" t="s">
        <v>67</v>
      </c>
      <c r="G2154" t="s">
        <v>34</v>
      </c>
      <c r="H2154" s="3">
        <v>65846.050429632378</v>
      </c>
      <c r="I2154">
        <v>77</v>
      </c>
      <c r="J2154" s="3">
        <v>31038.157622770239</v>
      </c>
      <c r="K2154" s="3">
        <v>34807.892806862154</v>
      </c>
    </row>
    <row r="2155" spans="1:11" x14ac:dyDescent="0.3">
      <c r="A2155" t="s">
        <v>2231</v>
      </c>
      <c r="B2155" s="2">
        <v>45717</v>
      </c>
      <c r="C2155">
        <v>2025</v>
      </c>
      <c r="D2155">
        <v>3</v>
      </c>
      <c r="E2155" t="s">
        <v>50</v>
      </c>
      <c r="F2155" t="s">
        <v>48</v>
      </c>
      <c r="G2155" t="s">
        <v>34</v>
      </c>
      <c r="H2155" s="3">
        <v>102028.4709926213</v>
      </c>
      <c r="I2155">
        <v>120</v>
      </c>
      <c r="J2155" s="3">
        <v>49430.995604448828</v>
      </c>
      <c r="K2155" s="3">
        <v>52597.475388172439</v>
      </c>
    </row>
    <row r="2156" spans="1:11" x14ac:dyDescent="0.3">
      <c r="A2156" t="s">
        <v>2232</v>
      </c>
      <c r="B2156" s="2">
        <v>45717</v>
      </c>
      <c r="C2156">
        <v>2025</v>
      </c>
      <c r="D2156">
        <v>3</v>
      </c>
      <c r="E2156" t="s">
        <v>54</v>
      </c>
      <c r="F2156" t="s">
        <v>67</v>
      </c>
      <c r="G2156" t="s">
        <v>34</v>
      </c>
      <c r="H2156" s="3">
        <v>50191.115469386168</v>
      </c>
      <c r="I2156">
        <v>59</v>
      </c>
      <c r="J2156" s="3">
        <v>24466.2055164253</v>
      </c>
      <c r="K2156" s="3">
        <v>25724.909952960868</v>
      </c>
    </row>
    <row r="2157" spans="1:11" x14ac:dyDescent="0.3">
      <c r="A2157" t="s">
        <v>2233</v>
      </c>
      <c r="B2157" s="2">
        <v>45717</v>
      </c>
      <c r="C2157">
        <v>2025</v>
      </c>
      <c r="D2157">
        <v>3</v>
      </c>
      <c r="E2157" t="s">
        <v>54</v>
      </c>
      <c r="F2157" t="s">
        <v>48</v>
      </c>
      <c r="G2157" t="s">
        <v>34</v>
      </c>
      <c r="H2157" s="3">
        <v>75905.384290152069</v>
      </c>
      <c r="I2157">
        <v>89</v>
      </c>
      <c r="J2157" s="3">
        <v>36547.037899283569</v>
      </c>
      <c r="K2157" s="3">
        <v>39358.346390868501</v>
      </c>
    </row>
    <row r="2158" spans="1:11" x14ac:dyDescent="0.3">
      <c r="A2158" t="s">
        <v>2234</v>
      </c>
      <c r="B2158" s="2">
        <v>45717</v>
      </c>
      <c r="C2158">
        <v>2025</v>
      </c>
      <c r="D2158">
        <v>3</v>
      </c>
      <c r="E2158" t="s">
        <v>58</v>
      </c>
      <c r="F2158" t="s">
        <v>67</v>
      </c>
      <c r="G2158" t="s">
        <v>34</v>
      </c>
      <c r="H2158" s="3">
        <v>35010.553986785737</v>
      </c>
      <c r="I2158">
        <v>41</v>
      </c>
      <c r="J2158" s="3">
        <v>17153.73180596732</v>
      </c>
      <c r="K2158" s="3">
        <v>17856.822180818421</v>
      </c>
    </row>
    <row r="2159" spans="1:11" x14ac:dyDescent="0.3">
      <c r="A2159" t="s">
        <v>2235</v>
      </c>
      <c r="B2159" s="2">
        <v>45717</v>
      </c>
      <c r="C2159">
        <v>2025</v>
      </c>
      <c r="D2159">
        <v>3</v>
      </c>
      <c r="E2159" t="s">
        <v>58</v>
      </c>
      <c r="F2159" t="s">
        <v>48</v>
      </c>
      <c r="G2159" t="s">
        <v>34</v>
      </c>
      <c r="H2159" s="3">
        <v>58713.144552686368</v>
      </c>
      <c r="I2159">
        <v>69</v>
      </c>
      <c r="J2159" s="3">
        <v>27564.74287889665</v>
      </c>
      <c r="K2159" s="3">
        <v>31148.401673789718</v>
      </c>
    </row>
    <row r="2160" spans="1:11" x14ac:dyDescent="0.3">
      <c r="A2160" t="s">
        <v>2236</v>
      </c>
      <c r="B2160" s="2">
        <v>45717</v>
      </c>
      <c r="C2160">
        <v>2025</v>
      </c>
      <c r="D2160">
        <v>3</v>
      </c>
      <c r="E2160" t="s">
        <v>62</v>
      </c>
      <c r="F2160" t="s">
        <v>67</v>
      </c>
      <c r="G2160" t="s">
        <v>34</v>
      </c>
      <c r="H2160" s="3">
        <v>26982.169425111071</v>
      </c>
      <c r="I2160">
        <v>32</v>
      </c>
      <c r="J2160" s="3">
        <v>13060.532707879829</v>
      </c>
      <c r="K2160" s="3">
        <v>13921.63671723124</v>
      </c>
    </row>
    <row r="2161" spans="1:11" x14ac:dyDescent="0.3">
      <c r="A2161" t="s">
        <v>2237</v>
      </c>
      <c r="B2161" s="2">
        <v>45717</v>
      </c>
      <c r="C2161">
        <v>2025</v>
      </c>
      <c r="D2161">
        <v>3</v>
      </c>
      <c r="E2161" t="s">
        <v>62</v>
      </c>
      <c r="F2161" t="s">
        <v>48</v>
      </c>
      <c r="G2161" t="s">
        <v>34</v>
      </c>
      <c r="H2161" s="3">
        <v>41283.925122058114</v>
      </c>
      <c r="I2161">
        <v>49</v>
      </c>
      <c r="J2161" s="3">
        <v>19398.852990275511</v>
      </c>
      <c r="K2161" s="3">
        <v>21885.072131782599</v>
      </c>
    </row>
    <row r="2162" spans="1:11" x14ac:dyDescent="0.3">
      <c r="A2162" t="s">
        <v>2238</v>
      </c>
      <c r="B2162" s="2">
        <v>45717</v>
      </c>
      <c r="C2162">
        <v>2025</v>
      </c>
      <c r="D2162">
        <v>3</v>
      </c>
      <c r="E2162" t="s">
        <v>50</v>
      </c>
      <c r="F2162" t="s">
        <v>67</v>
      </c>
      <c r="G2162" t="s">
        <v>37</v>
      </c>
      <c r="H2162" s="3">
        <v>59059.508872102917</v>
      </c>
      <c r="I2162">
        <v>82</v>
      </c>
      <c r="J2162" s="3">
        <v>31831.338610834569</v>
      </c>
      <c r="K2162" s="3">
        <v>27228.17026126834</v>
      </c>
    </row>
    <row r="2163" spans="1:11" x14ac:dyDescent="0.3">
      <c r="A2163" t="s">
        <v>2239</v>
      </c>
      <c r="B2163" s="2">
        <v>45717</v>
      </c>
      <c r="C2163">
        <v>2025</v>
      </c>
      <c r="D2163">
        <v>3</v>
      </c>
      <c r="E2163" t="s">
        <v>50</v>
      </c>
      <c r="F2163" t="s">
        <v>48</v>
      </c>
      <c r="G2163" t="s">
        <v>37</v>
      </c>
      <c r="H2163" s="3">
        <v>81405.166773932215</v>
      </c>
      <c r="I2163">
        <v>113</v>
      </c>
      <c r="J2163" s="3">
        <v>44264.36753120464</v>
      </c>
      <c r="K2163" s="3">
        <v>37140.799242727568</v>
      </c>
    </row>
    <row r="2164" spans="1:11" x14ac:dyDescent="0.3">
      <c r="A2164" t="s">
        <v>2240</v>
      </c>
      <c r="B2164" s="2">
        <v>45717</v>
      </c>
      <c r="C2164">
        <v>2025</v>
      </c>
      <c r="D2164">
        <v>3</v>
      </c>
      <c r="E2164" t="s">
        <v>54</v>
      </c>
      <c r="F2164" t="s">
        <v>67</v>
      </c>
      <c r="G2164" t="s">
        <v>37</v>
      </c>
      <c r="H2164" s="3">
        <v>38634.710789575678</v>
      </c>
      <c r="I2164">
        <v>54</v>
      </c>
      <c r="J2164" s="3">
        <v>20888.768329152841</v>
      </c>
      <c r="K2164" s="3">
        <v>17745.94246042283</v>
      </c>
    </row>
    <row r="2165" spans="1:11" x14ac:dyDescent="0.3">
      <c r="A2165" t="s">
        <v>2241</v>
      </c>
      <c r="B2165" s="2">
        <v>45717</v>
      </c>
      <c r="C2165">
        <v>2025</v>
      </c>
      <c r="D2165">
        <v>3</v>
      </c>
      <c r="E2165" t="s">
        <v>54</v>
      </c>
      <c r="F2165" t="s">
        <v>48</v>
      </c>
      <c r="G2165" t="s">
        <v>37</v>
      </c>
      <c r="H2165" s="3">
        <v>67421.760781782825</v>
      </c>
      <c r="I2165">
        <v>94</v>
      </c>
      <c r="J2165" s="3">
        <v>36716.1946842748</v>
      </c>
      <c r="K2165" s="3">
        <v>30705.566097508021</v>
      </c>
    </row>
    <row r="2166" spans="1:11" x14ac:dyDescent="0.3">
      <c r="A2166" t="s">
        <v>2242</v>
      </c>
      <c r="B2166" s="2">
        <v>45717</v>
      </c>
      <c r="C2166">
        <v>2025</v>
      </c>
      <c r="D2166">
        <v>3</v>
      </c>
      <c r="E2166" t="s">
        <v>58</v>
      </c>
      <c r="F2166" t="s">
        <v>67</v>
      </c>
      <c r="G2166" t="s">
        <v>37</v>
      </c>
      <c r="H2166" s="3">
        <v>30087.012777942469</v>
      </c>
      <c r="I2166">
        <v>42</v>
      </c>
      <c r="J2166" s="3">
        <v>16484.069910834151</v>
      </c>
      <c r="K2166" s="3">
        <v>13602.94286710831</v>
      </c>
    </row>
    <row r="2167" spans="1:11" x14ac:dyDescent="0.3">
      <c r="A2167" t="s">
        <v>2243</v>
      </c>
      <c r="B2167" s="2">
        <v>45717</v>
      </c>
      <c r="C2167">
        <v>2025</v>
      </c>
      <c r="D2167">
        <v>3</v>
      </c>
      <c r="E2167" t="s">
        <v>58</v>
      </c>
      <c r="F2167" t="s">
        <v>48</v>
      </c>
      <c r="G2167" t="s">
        <v>37</v>
      </c>
      <c r="H2167" s="3">
        <v>45924.182926197223</v>
      </c>
      <c r="I2167">
        <v>64</v>
      </c>
      <c r="J2167" s="3">
        <v>25638.912403509388</v>
      </c>
      <c r="K2167" s="3">
        <v>20285.270522687839</v>
      </c>
    </row>
    <row r="2168" spans="1:11" x14ac:dyDescent="0.3">
      <c r="A2168" t="s">
        <v>2244</v>
      </c>
      <c r="B2168" s="2">
        <v>45717</v>
      </c>
      <c r="C2168">
        <v>2025</v>
      </c>
      <c r="D2168">
        <v>3</v>
      </c>
      <c r="E2168" t="s">
        <v>62</v>
      </c>
      <c r="F2168" t="s">
        <v>67</v>
      </c>
      <c r="G2168" t="s">
        <v>37</v>
      </c>
      <c r="H2168" s="3">
        <v>22761.52515779412</v>
      </c>
      <c r="I2168">
        <v>32</v>
      </c>
      <c r="J2168" s="3">
        <v>12446.46914834915</v>
      </c>
      <c r="K2168" s="3">
        <v>10315.056009444959</v>
      </c>
    </row>
    <row r="2169" spans="1:11" x14ac:dyDescent="0.3">
      <c r="A2169" t="s">
        <v>2245</v>
      </c>
      <c r="B2169" s="2">
        <v>45717</v>
      </c>
      <c r="C2169">
        <v>2025</v>
      </c>
      <c r="D2169">
        <v>3</v>
      </c>
      <c r="E2169" t="s">
        <v>62</v>
      </c>
      <c r="F2169" t="s">
        <v>48</v>
      </c>
      <c r="G2169" t="s">
        <v>37</v>
      </c>
      <c r="H2169" s="3">
        <v>33191.243153709169</v>
      </c>
      <c r="I2169">
        <v>46</v>
      </c>
      <c r="J2169" s="3">
        <v>17734.157739536851</v>
      </c>
      <c r="K2169" s="3">
        <v>15457.085414172319</v>
      </c>
    </row>
    <row r="2170" spans="1:11" x14ac:dyDescent="0.3">
      <c r="A2170" t="s">
        <v>2246</v>
      </c>
      <c r="B2170" s="2">
        <v>45717</v>
      </c>
      <c r="C2170">
        <v>2025</v>
      </c>
      <c r="D2170">
        <v>3</v>
      </c>
      <c r="E2170" t="s">
        <v>50</v>
      </c>
      <c r="F2170" t="s">
        <v>67</v>
      </c>
      <c r="G2170" t="s">
        <v>40</v>
      </c>
      <c r="H2170" s="3">
        <v>45581.444384665629</v>
      </c>
      <c r="I2170">
        <v>8</v>
      </c>
      <c r="J2170" s="3">
        <v>32096.613589535151</v>
      </c>
      <c r="K2170" s="3">
        <v>13484.830795130471</v>
      </c>
    </row>
    <row r="2171" spans="1:11" x14ac:dyDescent="0.3">
      <c r="A2171" t="s">
        <v>2247</v>
      </c>
      <c r="B2171" s="2">
        <v>45717</v>
      </c>
      <c r="C2171">
        <v>2025</v>
      </c>
      <c r="D2171">
        <v>3</v>
      </c>
      <c r="E2171" t="s">
        <v>50</v>
      </c>
      <c r="F2171" t="s">
        <v>48</v>
      </c>
      <c r="G2171" t="s">
        <v>40</v>
      </c>
      <c r="H2171" s="3">
        <v>75674.152010049424</v>
      </c>
      <c r="I2171">
        <v>14</v>
      </c>
      <c r="J2171" s="3">
        <v>51428.406498599274</v>
      </c>
      <c r="K2171" s="3">
        <v>24245.745511450161</v>
      </c>
    </row>
    <row r="2172" spans="1:11" x14ac:dyDescent="0.3">
      <c r="A2172" t="s">
        <v>2248</v>
      </c>
      <c r="B2172" s="2">
        <v>45717</v>
      </c>
      <c r="C2172">
        <v>2025</v>
      </c>
      <c r="D2172">
        <v>3</v>
      </c>
      <c r="E2172" t="s">
        <v>54</v>
      </c>
      <c r="F2172" t="s">
        <v>67</v>
      </c>
      <c r="G2172" t="s">
        <v>40</v>
      </c>
      <c r="H2172" s="3">
        <v>41946.900535876252</v>
      </c>
      <c r="I2172">
        <v>8</v>
      </c>
      <c r="J2172" s="3">
        <v>28912.769172008051</v>
      </c>
      <c r="K2172" s="3">
        <v>13034.1313638682</v>
      </c>
    </row>
    <row r="2173" spans="1:11" x14ac:dyDescent="0.3">
      <c r="A2173" t="s">
        <v>2249</v>
      </c>
      <c r="B2173" s="2">
        <v>45717</v>
      </c>
      <c r="C2173">
        <v>2025</v>
      </c>
      <c r="D2173">
        <v>3</v>
      </c>
      <c r="E2173" t="s">
        <v>54</v>
      </c>
      <c r="F2173" t="s">
        <v>48</v>
      </c>
      <c r="G2173" t="s">
        <v>40</v>
      </c>
      <c r="H2173" s="3">
        <v>59157.319889720668</v>
      </c>
      <c r="I2173">
        <v>11</v>
      </c>
      <c r="J2173" s="3">
        <v>41146.636238962703</v>
      </c>
      <c r="K2173" s="3">
        <v>18010.683650757968</v>
      </c>
    </row>
    <row r="2174" spans="1:11" x14ac:dyDescent="0.3">
      <c r="A2174" t="s">
        <v>2250</v>
      </c>
      <c r="B2174" s="2">
        <v>45717</v>
      </c>
      <c r="C2174">
        <v>2025</v>
      </c>
      <c r="D2174">
        <v>3</v>
      </c>
      <c r="E2174" t="s">
        <v>58</v>
      </c>
      <c r="F2174" t="s">
        <v>67</v>
      </c>
      <c r="G2174" t="s">
        <v>40</v>
      </c>
      <c r="H2174" s="3">
        <v>24114.080297214019</v>
      </c>
      <c r="I2174">
        <v>4</v>
      </c>
      <c r="J2174" s="3">
        <v>16698.498102064139</v>
      </c>
      <c r="K2174" s="3">
        <v>7415.5821951498838</v>
      </c>
    </row>
    <row r="2175" spans="1:11" x14ac:dyDescent="0.3">
      <c r="A2175" t="s">
        <v>2251</v>
      </c>
      <c r="B2175" s="2">
        <v>45717</v>
      </c>
      <c r="C2175">
        <v>2025</v>
      </c>
      <c r="D2175">
        <v>3</v>
      </c>
      <c r="E2175" t="s">
        <v>58</v>
      </c>
      <c r="F2175" t="s">
        <v>48</v>
      </c>
      <c r="G2175" t="s">
        <v>40</v>
      </c>
      <c r="H2175" s="3">
        <v>39890.312850769376</v>
      </c>
      <c r="I2175">
        <v>7</v>
      </c>
      <c r="J2175" s="3">
        <v>28066.413649692931</v>
      </c>
      <c r="K2175" s="3">
        <v>11823.89920107645</v>
      </c>
    </row>
    <row r="2176" spans="1:11" x14ac:dyDescent="0.3">
      <c r="A2176" t="s">
        <v>2252</v>
      </c>
      <c r="B2176" s="2">
        <v>45717</v>
      </c>
      <c r="C2176">
        <v>2025</v>
      </c>
      <c r="D2176">
        <v>3</v>
      </c>
      <c r="E2176" t="s">
        <v>62</v>
      </c>
      <c r="F2176" t="s">
        <v>67</v>
      </c>
      <c r="G2176" t="s">
        <v>40</v>
      </c>
      <c r="H2176" s="3">
        <v>19267.143362922419</v>
      </c>
      <c r="I2176">
        <v>4</v>
      </c>
      <c r="J2176" s="3">
        <v>13408.95337657565</v>
      </c>
      <c r="K2176" s="3">
        <v>5858.1899863467679</v>
      </c>
    </row>
    <row r="2177" spans="1:11" x14ac:dyDescent="0.3">
      <c r="A2177" t="s">
        <v>2253</v>
      </c>
      <c r="B2177" s="2">
        <v>45717</v>
      </c>
      <c r="C2177">
        <v>2025</v>
      </c>
      <c r="D2177">
        <v>3</v>
      </c>
      <c r="E2177" t="s">
        <v>62</v>
      </c>
      <c r="F2177" t="s">
        <v>48</v>
      </c>
      <c r="G2177" t="s">
        <v>40</v>
      </c>
      <c r="H2177" s="3">
        <v>31543.766431358781</v>
      </c>
      <c r="I2177">
        <v>6</v>
      </c>
      <c r="J2177" s="3">
        <v>21427.760500905912</v>
      </c>
      <c r="K2177" s="3">
        <v>10116.00593045288</v>
      </c>
    </row>
    <row r="2178" spans="1:11" x14ac:dyDescent="0.3">
      <c r="A2178" t="s">
        <v>2254</v>
      </c>
      <c r="B2178" s="2">
        <v>45717</v>
      </c>
      <c r="C2178">
        <v>2025</v>
      </c>
      <c r="D2178">
        <v>3</v>
      </c>
      <c r="E2178" t="s">
        <v>50</v>
      </c>
      <c r="F2178" t="s">
        <v>67</v>
      </c>
      <c r="G2178" t="s">
        <v>43</v>
      </c>
      <c r="H2178" s="3">
        <v>92083.281043922732</v>
      </c>
      <c r="I2178">
        <v>26</v>
      </c>
      <c r="J2178" s="3">
        <v>56459.605020130148</v>
      </c>
      <c r="K2178" s="3">
        <v>35623.676023792577</v>
      </c>
    </row>
    <row r="2179" spans="1:11" x14ac:dyDescent="0.3">
      <c r="A2179" t="s">
        <v>2255</v>
      </c>
      <c r="B2179" s="2">
        <v>45717</v>
      </c>
      <c r="C2179">
        <v>2025</v>
      </c>
      <c r="D2179">
        <v>3</v>
      </c>
      <c r="E2179" t="s">
        <v>50</v>
      </c>
      <c r="F2179" t="s">
        <v>48</v>
      </c>
      <c r="G2179" t="s">
        <v>43</v>
      </c>
      <c r="H2179" s="3">
        <v>166428.829140544</v>
      </c>
      <c r="I2179">
        <v>48</v>
      </c>
      <c r="J2179" s="3">
        <v>98536.488568858127</v>
      </c>
      <c r="K2179" s="3">
        <v>67892.340571685898</v>
      </c>
    </row>
    <row r="2180" spans="1:11" x14ac:dyDescent="0.3">
      <c r="A2180" t="s">
        <v>2256</v>
      </c>
      <c r="B2180" s="2">
        <v>45717</v>
      </c>
      <c r="C2180">
        <v>2025</v>
      </c>
      <c r="D2180">
        <v>3</v>
      </c>
      <c r="E2180" t="s">
        <v>54</v>
      </c>
      <c r="F2180" t="s">
        <v>67</v>
      </c>
      <c r="G2180" t="s">
        <v>43</v>
      </c>
      <c r="H2180" s="3">
        <v>77913.144225851589</v>
      </c>
      <c r="I2180">
        <v>22</v>
      </c>
      <c r="J2180" s="3">
        <v>45846.840250979367</v>
      </c>
      <c r="K2180" s="3">
        <v>32066.303974872211</v>
      </c>
    </row>
    <row r="2181" spans="1:11" x14ac:dyDescent="0.3">
      <c r="A2181" t="s">
        <v>2257</v>
      </c>
      <c r="B2181" s="2">
        <v>45717</v>
      </c>
      <c r="C2181">
        <v>2025</v>
      </c>
      <c r="D2181">
        <v>3</v>
      </c>
      <c r="E2181" t="s">
        <v>54</v>
      </c>
      <c r="F2181" t="s">
        <v>48</v>
      </c>
      <c r="G2181" t="s">
        <v>43</v>
      </c>
      <c r="H2181" s="3">
        <v>130047.0720917357</v>
      </c>
      <c r="I2181">
        <v>37</v>
      </c>
      <c r="J2181" s="3">
        <v>78059.049844925263</v>
      </c>
      <c r="K2181" s="3">
        <v>51988.022246810418</v>
      </c>
    </row>
    <row r="2182" spans="1:11" x14ac:dyDescent="0.3">
      <c r="A2182" t="s">
        <v>2258</v>
      </c>
      <c r="B2182" s="2">
        <v>45717</v>
      </c>
      <c r="C2182">
        <v>2025</v>
      </c>
      <c r="D2182">
        <v>3</v>
      </c>
      <c r="E2182" t="s">
        <v>58</v>
      </c>
      <c r="F2182" t="s">
        <v>67</v>
      </c>
      <c r="G2182" t="s">
        <v>43</v>
      </c>
      <c r="H2182" s="3">
        <v>57343.890138606039</v>
      </c>
      <c r="I2182">
        <v>16</v>
      </c>
      <c r="J2182" s="3">
        <v>33984.808840497222</v>
      </c>
      <c r="K2182" s="3">
        <v>23359.08129810882</v>
      </c>
    </row>
    <row r="2183" spans="1:11" x14ac:dyDescent="0.3">
      <c r="A2183" t="s">
        <v>2259</v>
      </c>
      <c r="B2183" s="2">
        <v>45717</v>
      </c>
      <c r="C2183">
        <v>2025</v>
      </c>
      <c r="D2183">
        <v>3</v>
      </c>
      <c r="E2183" t="s">
        <v>58</v>
      </c>
      <c r="F2183" t="s">
        <v>48</v>
      </c>
      <c r="G2183" t="s">
        <v>43</v>
      </c>
      <c r="H2183" s="3">
        <v>83669.901548304144</v>
      </c>
      <c r="I2183">
        <v>24</v>
      </c>
      <c r="J2183" s="3">
        <v>49719.985847315947</v>
      </c>
      <c r="K2183" s="3">
        <v>33949.915700988196</v>
      </c>
    </row>
    <row r="2184" spans="1:11" x14ac:dyDescent="0.3">
      <c r="A2184" t="s">
        <v>2260</v>
      </c>
      <c r="B2184" s="2">
        <v>45717</v>
      </c>
      <c r="C2184">
        <v>2025</v>
      </c>
      <c r="D2184">
        <v>3</v>
      </c>
      <c r="E2184" t="s">
        <v>62</v>
      </c>
      <c r="F2184" t="s">
        <v>67</v>
      </c>
      <c r="G2184" t="s">
        <v>43</v>
      </c>
      <c r="H2184" s="3">
        <v>40865.710364421029</v>
      </c>
      <c r="I2184">
        <v>12</v>
      </c>
      <c r="J2184" s="3">
        <v>25192.36162869124</v>
      </c>
      <c r="K2184" s="3">
        <v>15673.348735729791</v>
      </c>
    </row>
    <row r="2185" spans="1:11" x14ac:dyDescent="0.3">
      <c r="A2185" t="s">
        <v>2261</v>
      </c>
      <c r="B2185" s="2">
        <v>45717</v>
      </c>
      <c r="C2185">
        <v>2025</v>
      </c>
      <c r="D2185">
        <v>3</v>
      </c>
      <c r="E2185" t="s">
        <v>62</v>
      </c>
      <c r="F2185" t="s">
        <v>48</v>
      </c>
      <c r="G2185" t="s">
        <v>43</v>
      </c>
      <c r="H2185" s="3">
        <v>62019.254715577517</v>
      </c>
      <c r="I2185">
        <v>18</v>
      </c>
      <c r="J2185" s="3">
        <v>36410.153070743378</v>
      </c>
      <c r="K2185" s="3">
        <v>25609.10164483414</v>
      </c>
    </row>
    <row r="2186" spans="1:11" x14ac:dyDescent="0.3">
      <c r="A2186" t="s">
        <v>2262</v>
      </c>
      <c r="B2186" s="2">
        <v>45748</v>
      </c>
      <c r="C2186">
        <v>2025</v>
      </c>
      <c r="D2186">
        <v>4</v>
      </c>
      <c r="E2186" t="s">
        <v>50</v>
      </c>
      <c r="F2186" t="s">
        <v>67</v>
      </c>
      <c r="G2186" t="s">
        <v>19</v>
      </c>
      <c r="H2186" s="3">
        <v>99940.725285721011</v>
      </c>
      <c r="I2186">
        <v>19</v>
      </c>
      <c r="J2186" s="3">
        <v>61608.838720101623</v>
      </c>
      <c r="K2186" s="3">
        <v>38331.886565619388</v>
      </c>
    </row>
    <row r="2187" spans="1:11" x14ac:dyDescent="0.3">
      <c r="A2187" t="s">
        <v>2263</v>
      </c>
      <c r="B2187" s="2">
        <v>45748</v>
      </c>
      <c r="C2187">
        <v>2025</v>
      </c>
      <c r="D2187">
        <v>4</v>
      </c>
      <c r="E2187" t="s">
        <v>50</v>
      </c>
      <c r="F2187" t="s">
        <v>48</v>
      </c>
      <c r="G2187" t="s">
        <v>19</v>
      </c>
      <c r="H2187" s="3">
        <v>156251.3489690623</v>
      </c>
      <c r="I2187">
        <v>30</v>
      </c>
      <c r="J2187" s="3">
        <v>97079.121896170938</v>
      </c>
      <c r="K2187" s="3">
        <v>59172.227072891357</v>
      </c>
    </row>
    <row r="2188" spans="1:11" x14ac:dyDescent="0.3">
      <c r="A2188" t="s">
        <v>2264</v>
      </c>
      <c r="B2188" s="2">
        <v>45748</v>
      </c>
      <c r="C2188">
        <v>2025</v>
      </c>
      <c r="D2188">
        <v>4</v>
      </c>
      <c r="E2188" t="s">
        <v>54</v>
      </c>
      <c r="F2188" t="s">
        <v>67</v>
      </c>
      <c r="G2188" t="s">
        <v>19</v>
      </c>
      <c r="H2188" s="3">
        <v>81835.174612783172</v>
      </c>
      <c r="I2188">
        <v>16</v>
      </c>
      <c r="J2188" s="3">
        <v>51716.402921490953</v>
      </c>
      <c r="K2188" s="3">
        <v>30118.77169129223</v>
      </c>
    </row>
    <row r="2189" spans="1:11" x14ac:dyDescent="0.3">
      <c r="A2189" t="s">
        <v>2265</v>
      </c>
      <c r="B2189" s="2">
        <v>45748</v>
      </c>
      <c r="C2189">
        <v>2025</v>
      </c>
      <c r="D2189">
        <v>4</v>
      </c>
      <c r="E2189" t="s">
        <v>54</v>
      </c>
      <c r="F2189" t="s">
        <v>48</v>
      </c>
      <c r="G2189" t="s">
        <v>19</v>
      </c>
      <c r="H2189" s="3">
        <v>122997.14228277</v>
      </c>
      <c r="I2189">
        <v>24</v>
      </c>
      <c r="J2189" s="3">
        <v>74190.287129326171</v>
      </c>
      <c r="K2189" s="3">
        <v>48806.855153443823</v>
      </c>
    </row>
    <row r="2190" spans="1:11" x14ac:dyDescent="0.3">
      <c r="A2190" t="s">
        <v>2266</v>
      </c>
      <c r="B2190" s="2">
        <v>45748</v>
      </c>
      <c r="C2190">
        <v>2025</v>
      </c>
      <c r="D2190">
        <v>4</v>
      </c>
      <c r="E2190" t="s">
        <v>58</v>
      </c>
      <c r="F2190" t="s">
        <v>67</v>
      </c>
      <c r="G2190" t="s">
        <v>19</v>
      </c>
      <c r="H2190" s="3">
        <v>51446.143788319103</v>
      </c>
      <c r="I2190">
        <v>10</v>
      </c>
      <c r="J2190" s="3">
        <v>30768.106924209482</v>
      </c>
      <c r="K2190" s="3">
        <v>20678.036864109621</v>
      </c>
    </row>
    <row r="2191" spans="1:11" x14ac:dyDescent="0.3">
      <c r="A2191" t="s">
        <v>2267</v>
      </c>
      <c r="B2191" s="2">
        <v>45748</v>
      </c>
      <c r="C2191">
        <v>2025</v>
      </c>
      <c r="D2191">
        <v>4</v>
      </c>
      <c r="E2191" t="s">
        <v>58</v>
      </c>
      <c r="F2191" t="s">
        <v>48</v>
      </c>
      <c r="G2191" t="s">
        <v>19</v>
      </c>
      <c r="H2191" s="3">
        <v>85445.532793752514</v>
      </c>
      <c r="I2191">
        <v>16</v>
      </c>
      <c r="J2191" s="3">
        <v>52416.37356358469</v>
      </c>
      <c r="K2191" s="3">
        <v>33029.159230167817</v>
      </c>
    </row>
    <row r="2192" spans="1:11" x14ac:dyDescent="0.3">
      <c r="A2192" t="s">
        <v>2268</v>
      </c>
      <c r="B2192" s="2">
        <v>45748</v>
      </c>
      <c r="C2192">
        <v>2025</v>
      </c>
      <c r="D2192">
        <v>4</v>
      </c>
      <c r="E2192" t="s">
        <v>62</v>
      </c>
      <c r="F2192" t="s">
        <v>67</v>
      </c>
      <c r="G2192" t="s">
        <v>19</v>
      </c>
      <c r="H2192" s="3">
        <v>37235.098969798397</v>
      </c>
      <c r="I2192">
        <v>7</v>
      </c>
      <c r="J2192" s="3">
        <v>22406.794961995089</v>
      </c>
      <c r="K2192" s="3">
        <v>14828.30400780331</v>
      </c>
    </row>
    <row r="2193" spans="1:11" x14ac:dyDescent="0.3">
      <c r="A2193" t="s">
        <v>2269</v>
      </c>
      <c r="B2193" s="2">
        <v>45748</v>
      </c>
      <c r="C2193">
        <v>2025</v>
      </c>
      <c r="D2193">
        <v>4</v>
      </c>
      <c r="E2193" t="s">
        <v>62</v>
      </c>
      <c r="F2193" t="s">
        <v>48</v>
      </c>
      <c r="G2193" t="s">
        <v>19</v>
      </c>
      <c r="H2193" s="3">
        <v>62693.017292154997</v>
      </c>
      <c r="I2193">
        <v>12</v>
      </c>
      <c r="J2193" s="3">
        <v>38572.435738510023</v>
      </c>
      <c r="K2193" s="3">
        <v>24120.581553644992</v>
      </c>
    </row>
    <row r="2194" spans="1:11" x14ac:dyDescent="0.3">
      <c r="A2194" t="s">
        <v>2270</v>
      </c>
      <c r="B2194" s="2">
        <v>45748</v>
      </c>
      <c r="C2194">
        <v>2025</v>
      </c>
      <c r="D2194">
        <v>4</v>
      </c>
      <c r="E2194" t="s">
        <v>50</v>
      </c>
      <c r="F2194" t="s">
        <v>67</v>
      </c>
      <c r="G2194" t="s">
        <v>24</v>
      </c>
      <c r="H2194" s="3">
        <v>108301.2125360155</v>
      </c>
      <c r="I2194">
        <v>18</v>
      </c>
      <c r="J2194" s="3">
        <v>72125.325631280852</v>
      </c>
      <c r="K2194" s="3">
        <v>36175.886904734682</v>
      </c>
    </row>
    <row r="2195" spans="1:11" x14ac:dyDescent="0.3">
      <c r="A2195" t="s">
        <v>2271</v>
      </c>
      <c r="B2195" s="2">
        <v>45748</v>
      </c>
      <c r="C2195">
        <v>2025</v>
      </c>
      <c r="D2195">
        <v>4</v>
      </c>
      <c r="E2195" t="s">
        <v>50</v>
      </c>
      <c r="F2195" t="s">
        <v>48</v>
      </c>
      <c r="G2195" t="s">
        <v>24</v>
      </c>
      <c r="H2195" s="3">
        <v>188630.92658354781</v>
      </c>
      <c r="I2195">
        <v>31</v>
      </c>
      <c r="J2195" s="3">
        <v>122500.30087733841</v>
      </c>
      <c r="K2195" s="3">
        <v>66130.625706209306</v>
      </c>
    </row>
    <row r="2196" spans="1:11" x14ac:dyDescent="0.3">
      <c r="A2196" t="s">
        <v>2272</v>
      </c>
      <c r="B2196" s="2">
        <v>45748</v>
      </c>
      <c r="C2196">
        <v>2025</v>
      </c>
      <c r="D2196">
        <v>4</v>
      </c>
      <c r="E2196" t="s">
        <v>54</v>
      </c>
      <c r="F2196" t="s">
        <v>67</v>
      </c>
      <c r="G2196" t="s">
        <v>24</v>
      </c>
      <c r="H2196" s="3">
        <v>85741.372861379336</v>
      </c>
      <c r="I2196">
        <v>14</v>
      </c>
      <c r="J2196" s="3">
        <v>55135.929822513739</v>
      </c>
      <c r="K2196" s="3">
        <v>30605.4430388656</v>
      </c>
    </row>
    <row r="2197" spans="1:11" x14ac:dyDescent="0.3">
      <c r="A2197" t="s">
        <v>2273</v>
      </c>
      <c r="B2197" s="2">
        <v>45748</v>
      </c>
      <c r="C2197">
        <v>2025</v>
      </c>
      <c r="D2197">
        <v>4</v>
      </c>
      <c r="E2197" t="s">
        <v>54</v>
      </c>
      <c r="F2197" t="s">
        <v>48</v>
      </c>
      <c r="G2197" t="s">
        <v>24</v>
      </c>
      <c r="H2197" s="3">
        <v>132859.47879891051</v>
      </c>
      <c r="I2197">
        <v>22</v>
      </c>
      <c r="J2197" s="3">
        <v>87796.695745383622</v>
      </c>
      <c r="K2197" s="3">
        <v>45062.783053526829</v>
      </c>
    </row>
    <row r="2198" spans="1:11" x14ac:dyDescent="0.3">
      <c r="A2198" t="s">
        <v>2274</v>
      </c>
      <c r="B2198" s="2">
        <v>45748</v>
      </c>
      <c r="C2198">
        <v>2025</v>
      </c>
      <c r="D2198">
        <v>4</v>
      </c>
      <c r="E2198" t="s">
        <v>58</v>
      </c>
      <c r="F2198" t="s">
        <v>67</v>
      </c>
      <c r="G2198" t="s">
        <v>24</v>
      </c>
      <c r="H2198" s="3">
        <v>63351.349552818843</v>
      </c>
      <c r="I2198">
        <v>10</v>
      </c>
      <c r="J2198" s="3">
        <v>42461.053035184967</v>
      </c>
      <c r="K2198" s="3">
        <v>20890.296517633869</v>
      </c>
    </row>
    <row r="2199" spans="1:11" x14ac:dyDescent="0.3">
      <c r="A2199" t="s">
        <v>2275</v>
      </c>
      <c r="B2199" s="2">
        <v>45748</v>
      </c>
      <c r="C2199">
        <v>2025</v>
      </c>
      <c r="D2199">
        <v>4</v>
      </c>
      <c r="E2199" t="s">
        <v>58</v>
      </c>
      <c r="F2199" t="s">
        <v>48</v>
      </c>
      <c r="G2199" t="s">
        <v>24</v>
      </c>
      <c r="H2199" s="3">
        <v>97752.393174293509</v>
      </c>
      <c r="I2199">
        <v>16</v>
      </c>
      <c r="J2199" s="3">
        <v>62548.209500449208</v>
      </c>
      <c r="K2199" s="3">
        <v>35204.183673844302</v>
      </c>
    </row>
    <row r="2200" spans="1:11" x14ac:dyDescent="0.3">
      <c r="A2200" t="s">
        <v>2276</v>
      </c>
      <c r="B2200" s="2">
        <v>45748</v>
      </c>
      <c r="C2200">
        <v>2025</v>
      </c>
      <c r="D2200">
        <v>4</v>
      </c>
      <c r="E2200" t="s">
        <v>62</v>
      </c>
      <c r="F2200" t="s">
        <v>67</v>
      </c>
      <c r="G2200" t="s">
        <v>24</v>
      </c>
      <c r="H2200" s="3">
        <v>45016.003181067477</v>
      </c>
      <c r="I2200">
        <v>7</v>
      </c>
      <c r="J2200" s="3">
        <v>30149.214280410652</v>
      </c>
      <c r="K2200" s="3">
        <v>14866.788900656829</v>
      </c>
    </row>
    <row r="2201" spans="1:11" x14ac:dyDescent="0.3">
      <c r="A2201" t="s">
        <v>2277</v>
      </c>
      <c r="B2201" s="2">
        <v>45748</v>
      </c>
      <c r="C2201">
        <v>2025</v>
      </c>
      <c r="D2201">
        <v>4</v>
      </c>
      <c r="E2201" t="s">
        <v>62</v>
      </c>
      <c r="F2201" t="s">
        <v>48</v>
      </c>
      <c r="G2201" t="s">
        <v>24</v>
      </c>
      <c r="H2201" s="3">
        <v>72482.995337689048</v>
      </c>
      <c r="I2201">
        <v>12</v>
      </c>
      <c r="J2201" s="3">
        <v>48542.557647724512</v>
      </c>
      <c r="K2201" s="3">
        <v>23940.437689964539</v>
      </c>
    </row>
    <row r="2202" spans="1:11" x14ac:dyDescent="0.3">
      <c r="A2202" t="s">
        <v>2278</v>
      </c>
      <c r="B2202" s="2">
        <v>45748</v>
      </c>
      <c r="C2202">
        <v>2025</v>
      </c>
      <c r="D2202">
        <v>4</v>
      </c>
      <c r="E2202" t="s">
        <v>50</v>
      </c>
      <c r="F2202" t="s">
        <v>67</v>
      </c>
      <c r="G2202" t="s">
        <v>29</v>
      </c>
      <c r="H2202" s="3">
        <v>64486.425311050691</v>
      </c>
      <c r="I2202">
        <v>15</v>
      </c>
      <c r="J2202" s="3">
        <v>41980.086393153062</v>
      </c>
      <c r="K2202" s="3">
        <v>22506.338917897629</v>
      </c>
    </row>
    <row r="2203" spans="1:11" x14ac:dyDescent="0.3">
      <c r="A2203" t="s">
        <v>2279</v>
      </c>
      <c r="B2203" s="2">
        <v>45748</v>
      </c>
      <c r="C2203">
        <v>2025</v>
      </c>
      <c r="D2203">
        <v>4</v>
      </c>
      <c r="E2203" t="s">
        <v>50</v>
      </c>
      <c r="F2203" t="s">
        <v>48</v>
      </c>
      <c r="G2203" t="s">
        <v>29</v>
      </c>
      <c r="H2203" s="3">
        <v>118864.4451810286</v>
      </c>
      <c r="I2203">
        <v>28</v>
      </c>
      <c r="J2203" s="3">
        <v>77741.73230445743</v>
      </c>
      <c r="K2203" s="3">
        <v>41122.712876571197</v>
      </c>
    </row>
    <row r="2204" spans="1:11" x14ac:dyDescent="0.3">
      <c r="A2204" t="s">
        <v>2280</v>
      </c>
      <c r="B2204" s="2">
        <v>45748</v>
      </c>
      <c r="C2204">
        <v>2025</v>
      </c>
      <c r="D2204">
        <v>4</v>
      </c>
      <c r="E2204" t="s">
        <v>54</v>
      </c>
      <c r="F2204" t="s">
        <v>67</v>
      </c>
      <c r="G2204" t="s">
        <v>29</v>
      </c>
      <c r="H2204" s="3">
        <v>54372.309074537603</v>
      </c>
      <c r="I2204">
        <v>13</v>
      </c>
      <c r="J2204" s="3">
        <v>36177.551068865338</v>
      </c>
      <c r="K2204" s="3">
        <v>18194.758005672262</v>
      </c>
    </row>
    <row r="2205" spans="1:11" x14ac:dyDescent="0.3">
      <c r="A2205" t="s">
        <v>2281</v>
      </c>
      <c r="B2205" s="2">
        <v>45748</v>
      </c>
      <c r="C2205">
        <v>2025</v>
      </c>
      <c r="D2205">
        <v>4</v>
      </c>
      <c r="E2205" t="s">
        <v>54</v>
      </c>
      <c r="F2205" t="s">
        <v>48</v>
      </c>
      <c r="G2205" t="s">
        <v>29</v>
      </c>
      <c r="H2205" s="3">
        <v>91699.929178096354</v>
      </c>
      <c r="I2205">
        <v>21</v>
      </c>
      <c r="J2205" s="3">
        <v>58311.785021817501</v>
      </c>
      <c r="K2205" s="3">
        <v>33388.144156278853</v>
      </c>
    </row>
    <row r="2206" spans="1:11" x14ac:dyDescent="0.3">
      <c r="A2206" t="s">
        <v>2282</v>
      </c>
      <c r="B2206" s="2">
        <v>45748</v>
      </c>
      <c r="C2206">
        <v>2025</v>
      </c>
      <c r="D2206">
        <v>4</v>
      </c>
      <c r="E2206" t="s">
        <v>58</v>
      </c>
      <c r="F2206" t="s">
        <v>67</v>
      </c>
      <c r="G2206" t="s">
        <v>29</v>
      </c>
      <c r="H2206" s="3">
        <v>43914.408648959332</v>
      </c>
      <c r="I2206">
        <v>10</v>
      </c>
      <c r="J2206" s="3">
        <v>28160.653138911141</v>
      </c>
      <c r="K2206" s="3">
        <v>15753.75551004819</v>
      </c>
    </row>
    <row r="2207" spans="1:11" x14ac:dyDescent="0.3">
      <c r="A2207" t="s">
        <v>2283</v>
      </c>
      <c r="B2207" s="2">
        <v>45748</v>
      </c>
      <c r="C2207">
        <v>2025</v>
      </c>
      <c r="D2207">
        <v>4</v>
      </c>
      <c r="E2207" t="s">
        <v>58</v>
      </c>
      <c r="F2207" t="s">
        <v>48</v>
      </c>
      <c r="G2207" t="s">
        <v>29</v>
      </c>
      <c r="H2207" s="3">
        <v>58264.665702190148</v>
      </c>
      <c r="I2207">
        <v>14</v>
      </c>
      <c r="J2207" s="3">
        <v>37009.868846344223</v>
      </c>
      <c r="K2207" s="3">
        <v>21254.796855845929</v>
      </c>
    </row>
    <row r="2208" spans="1:11" x14ac:dyDescent="0.3">
      <c r="A2208" t="s">
        <v>2284</v>
      </c>
      <c r="B2208" s="2">
        <v>45748</v>
      </c>
      <c r="C2208">
        <v>2025</v>
      </c>
      <c r="D2208">
        <v>4</v>
      </c>
      <c r="E2208" t="s">
        <v>62</v>
      </c>
      <c r="F2208" t="s">
        <v>67</v>
      </c>
      <c r="G2208" t="s">
        <v>29</v>
      </c>
      <c r="H2208" s="3">
        <v>29338.727404938181</v>
      </c>
      <c r="I2208">
        <v>7</v>
      </c>
      <c r="J2208" s="3">
        <v>18777.453677380869</v>
      </c>
      <c r="K2208" s="3">
        <v>10561.27372755732</v>
      </c>
    </row>
    <row r="2209" spans="1:11" x14ac:dyDescent="0.3">
      <c r="A2209" t="s">
        <v>2285</v>
      </c>
      <c r="B2209" s="2">
        <v>45748</v>
      </c>
      <c r="C2209">
        <v>2025</v>
      </c>
      <c r="D2209">
        <v>4</v>
      </c>
      <c r="E2209" t="s">
        <v>62</v>
      </c>
      <c r="F2209" t="s">
        <v>48</v>
      </c>
      <c r="G2209" t="s">
        <v>29</v>
      </c>
      <c r="H2209" s="3">
        <v>47808.142500510527</v>
      </c>
      <c r="I2209">
        <v>11</v>
      </c>
      <c r="J2209" s="3">
        <v>31441.44089683038</v>
      </c>
      <c r="K2209" s="3">
        <v>16366.701603680151</v>
      </c>
    </row>
    <row r="2210" spans="1:11" x14ac:dyDescent="0.3">
      <c r="A2210" t="s">
        <v>2286</v>
      </c>
      <c r="B2210" s="2">
        <v>45748</v>
      </c>
      <c r="C2210">
        <v>2025</v>
      </c>
      <c r="D2210">
        <v>4</v>
      </c>
      <c r="E2210" t="s">
        <v>50</v>
      </c>
      <c r="F2210" t="s">
        <v>67</v>
      </c>
      <c r="G2210" t="s">
        <v>34</v>
      </c>
      <c r="H2210" s="3">
        <v>68132.405760384441</v>
      </c>
      <c r="I2210">
        <v>80</v>
      </c>
      <c r="J2210" s="3">
        <v>31911.7931779559</v>
      </c>
      <c r="K2210" s="3">
        <v>36220.612582428541</v>
      </c>
    </row>
    <row r="2211" spans="1:11" x14ac:dyDescent="0.3">
      <c r="A2211" t="s">
        <v>2287</v>
      </c>
      <c r="B2211" s="2">
        <v>45748</v>
      </c>
      <c r="C2211">
        <v>2025</v>
      </c>
      <c r="D2211">
        <v>4</v>
      </c>
      <c r="E2211" t="s">
        <v>50</v>
      </c>
      <c r="F2211" t="s">
        <v>48</v>
      </c>
      <c r="G2211" t="s">
        <v>34</v>
      </c>
      <c r="H2211" s="3">
        <v>105985.0462555463</v>
      </c>
      <c r="I2211">
        <v>125</v>
      </c>
      <c r="J2211" s="3">
        <v>50084.349718826932</v>
      </c>
      <c r="K2211" s="3">
        <v>55900.696536719413</v>
      </c>
    </row>
    <row r="2212" spans="1:11" x14ac:dyDescent="0.3">
      <c r="A2212" t="s">
        <v>2288</v>
      </c>
      <c r="B2212" s="2">
        <v>45748</v>
      </c>
      <c r="C2212">
        <v>2025</v>
      </c>
      <c r="D2212">
        <v>4</v>
      </c>
      <c r="E2212" t="s">
        <v>54</v>
      </c>
      <c r="F2212" t="s">
        <v>67</v>
      </c>
      <c r="G2212" t="s">
        <v>34</v>
      </c>
      <c r="H2212" s="3">
        <v>58576.65661954914</v>
      </c>
      <c r="I2212">
        <v>69</v>
      </c>
      <c r="J2212" s="3">
        <v>28813.789635033711</v>
      </c>
      <c r="K2212" s="3">
        <v>29762.866984515429</v>
      </c>
    </row>
    <row r="2213" spans="1:11" x14ac:dyDescent="0.3">
      <c r="A2213" t="s">
        <v>2289</v>
      </c>
      <c r="B2213" s="2">
        <v>45748</v>
      </c>
      <c r="C2213">
        <v>2025</v>
      </c>
      <c r="D2213">
        <v>4</v>
      </c>
      <c r="E2213" t="s">
        <v>54</v>
      </c>
      <c r="F2213" t="s">
        <v>48</v>
      </c>
      <c r="G2213" t="s">
        <v>34</v>
      </c>
      <c r="H2213" s="3">
        <v>82284.030461584713</v>
      </c>
      <c r="I2213">
        <v>97</v>
      </c>
      <c r="J2213" s="3">
        <v>40221.513279211293</v>
      </c>
      <c r="K2213" s="3">
        <v>42062.517182373427</v>
      </c>
    </row>
    <row r="2214" spans="1:11" x14ac:dyDescent="0.3">
      <c r="A2214" t="s">
        <v>2290</v>
      </c>
      <c r="B2214" s="2">
        <v>45748</v>
      </c>
      <c r="C2214">
        <v>2025</v>
      </c>
      <c r="D2214">
        <v>4</v>
      </c>
      <c r="E2214" t="s">
        <v>58</v>
      </c>
      <c r="F2214" t="s">
        <v>67</v>
      </c>
      <c r="G2214" t="s">
        <v>34</v>
      </c>
      <c r="H2214" s="3">
        <v>35822.557335680183</v>
      </c>
      <c r="I2214">
        <v>42</v>
      </c>
      <c r="J2214" s="3">
        <v>17082.4357725058</v>
      </c>
      <c r="K2214" s="3">
        <v>18740.121563174369</v>
      </c>
    </row>
    <row r="2215" spans="1:11" x14ac:dyDescent="0.3">
      <c r="A2215" t="s">
        <v>2291</v>
      </c>
      <c r="B2215" s="2">
        <v>45748</v>
      </c>
      <c r="C2215">
        <v>2025</v>
      </c>
      <c r="D2215">
        <v>4</v>
      </c>
      <c r="E2215" t="s">
        <v>58</v>
      </c>
      <c r="F2215" t="s">
        <v>48</v>
      </c>
      <c r="G2215" t="s">
        <v>34</v>
      </c>
      <c r="H2215" s="3">
        <v>55537.167068432907</v>
      </c>
      <c r="I2215">
        <v>65</v>
      </c>
      <c r="J2215" s="3">
        <v>27067.817408961659</v>
      </c>
      <c r="K2215" s="3">
        <v>28469.349659471249</v>
      </c>
    </row>
    <row r="2216" spans="1:11" x14ac:dyDescent="0.3">
      <c r="A2216" t="s">
        <v>2292</v>
      </c>
      <c r="B2216" s="2">
        <v>45748</v>
      </c>
      <c r="C2216">
        <v>2025</v>
      </c>
      <c r="D2216">
        <v>4</v>
      </c>
      <c r="E2216" t="s">
        <v>62</v>
      </c>
      <c r="F2216" t="s">
        <v>67</v>
      </c>
      <c r="G2216" t="s">
        <v>34</v>
      </c>
      <c r="H2216" s="3">
        <v>27151.934041520191</v>
      </c>
      <c r="I2216">
        <v>32</v>
      </c>
      <c r="J2216" s="3">
        <v>13112.975089155339</v>
      </c>
      <c r="K2216" s="3">
        <v>14038.95895236485</v>
      </c>
    </row>
    <row r="2217" spans="1:11" x14ac:dyDescent="0.3">
      <c r="A2217" t="s">
        <v>2293</v>
      </c>
      <c r="B2217" s="2">
        <v>45748</v>
      </c>
      <c r="C2217">
        <v>2025</v>
      </c>
      <c r="D2217">
        <v>4</v>
      </c>
      <c r="E2217" t="s">
        <v>62</v>
      </c>
      <c r="F2217" t="s">
        <v>48</v>
      </c>
      <c r="G2217" t="s">
        <v>34</v>
      </c>
      <c r="H2217" s="3">
        <v>41878.51970125224</v>
      </c>
      <c r="I2217">
        <v>49</v>
      </c>
      <c r="J2217" s="3">
        <v>20644.534433816782</v>
      </c>
      <c r="K2217" s="3">
        <v>21233.985267435459</v>
      </c>
    </row>
    <row r="2218" spans="1:11" x14ac:dyDescent="0.3">
      <c r="A2218" t="s">
        <v>2294</v>
      </c>
      <c r="B2218" s="2">
        <v>45748</v>
      </c>
      <c r="C2218">
        <v>2025</v>
      </c>
      <c r="D2218">
        <v>4</v>
      </c>
      <c r="E2218" t="s">
        <v>50</v>
      </c>
      <c r="F2218" t="s">
        <v>67</v>
      </c>
      <c r="G2218" t="s">
        <v>37</v>
      </c>
      <c r="H2218" s="3">
        <v>51103.137794862647</v>
      </c>
      <c r="I2218">
        <v>71</v>
      </c>
      <c r="J2218" s="3">
        <v>28144.421760174111</v>
      </c>
      <c r="K2218" s="3">
        <v>22958.716034688539</v>
      </c>
    </row>
    <row r="2219" spans="1:11" x14ac:dyDescent="0.3">
      <c r="A2219" t="s">
        <v>2295</v>
      </c>
      <c r="B2219" s="2">
        <v>45748</v>
      </c>
      <c r="C2219">
        <v>2025</v>
      </c>
      <c r="D2219">
        <v>4</v>
      </c>
      <c r="E2219" t="s">
        <v>50</v>
      </c>
      <c r="F2219" t="s">
        <v>48</v>
      </c>
      <c r="G2219" t="s">
        <v>37</v>
      </c>
      <c r="H2219" s="3">
        <v>83176.094679907037</v>
      </c>
      <c r="I2219">
        <v>116</v>
      </c>
      <c r="J2219" s="3">
        <v>46591.402004670053</v>
      </c>
      <c r="K2219" s="3">
        <v>36584.692675236991</v>
      </c>
    </row>
    <row r="2220" spans="1:11" x14ac:dyDescent="0.3">
      <c r="A2220" t="s">
        <v>2296</v>
      </c>
      <c r="B2220" s="2">
        <v>45748</v>
      </c>
      <c r="C2220">
        <v>2025</v>
      </c>
      <c r="D2220">
        <v>4</v>
      </c>
      <c r="E2220" t="s">
        <v>54</v>
      </c>
      <c r="F2220" t="s">
        <v>67</v>
      </c>
      <c r="G2220" t="s">
        <v>37</v>
      </c>
      <c r="H2220" s="3">
        <v>45269.968064183769</v>
      </c>
      <c r="I2220">
        <v>63</v>
      </c>
      <c r="J2220" s="3">
        <v>26082.560003951701</v>
      </c>
      <c r="K2220" s="3">
        <v>19187.408060232068</v>
      </c>
    </row>
    <row r="2221" spans="1:11" x14ac:dyDescent="0.3">
      <c r="A2221" t="s">
        <v>2297</v>
      </c>
      <c r="B2221" s="2">
        <v>45748</v>
      </c>
      <c r="C2221">
        <v>2025</v>
      </c>
      <c r="D2221">
        <v>4</v>
      </c>
      <c r="E2221" t="s">
        <v>54</v>
      </c>
      <c r="F2221" t="s">
        <v>48</v>
      </c>
      <c r="G2221" t="s">
        <v>37</v>
      </c>
      <c r="H2221" s="3">
        <v>68252.097845879733</v>
      </c>
      <c r="I2221">
        <v>95</v>
      </c>
      <c r="J2221" s="3">
        <v>37942.786883547051</v>
      </c>
      <c r="K2221" s="3">
        <v>30309.310962332682</v>
      </c>
    </row>
    <row r="2222" spans="1:11" x14ac:dyDescent="0.3">
      <c r="A2222" t="s">
        <v>2298</v>
      </c>
      <c r="B2222" s="2">
        <v>45748</v>
      </c>
      <c r="C2222">
        <v>2025</v>
      </c>
      <c r="D2222">
        <v>4</v>
      </c>
      <c r="E2222" t="s">
        <v>58</v>
      </c>
      <c r="F2222" t="s">
        <v>67</v>
      </c>
      <c r="G2222" t="s">
        <v>37</v>
      </c>
      <c r="H2222" s="3">
        <v>27935.47192739377</v>
      </c>
      <c r="I2222">
        <v>39</v>
      </c>
      <c r="J2222" s="3">
        <v>15378.151815415409</v>
      </c>
      <c r="K2222" s="3">
        <v>12557.320111978361</v>
      </c>
    </row>
    <row r="2223" spans="1:11" x14ac:dyDescent="0.3">
      <c r="A2223" t="s">
        <v>2299</v>
      </c>
      <c r="B2223" s="2">
        <v>45748</v>
      </c>
      <c r="C2223">
        <v>2025</v>
      </c>
      <c r="D2223">
        <v>4</v>
      </c>
      <c r="E2223" t="s">
        <v>58</v>
      </c>
      <c r="F2223" t="s">
        <v>48</v>
      </c>
      <c r="G2223" t="s">
        <v>37</v>
      </c>
      <c r="H2223" s="3">
        <v>44469.228357692438</v>
      </c>
      <c r="I2223">
        <v>62</v>
      </c>
      <c r="J2223" s="3">
        <v>24776.129530355811</v>
      </c>
      <c r="K2223" s="3">
        <v>19693.09882733662</v>
      </c>
    </row>
    <row r="2224" spans="1:11" x14ac:dyDescent="0.3">
      <c r="A2224" t="s">
        <v>2300</v>
      </c>
      <c r="B2224" s="2">
        <v>45748</v>
      </c>
      <c r="C2224">
        <v>2025</v>
      </c>
      <c r="D2224">
        <v>4</v>
      </c>
      <c r="E2224" t="s">
        <v>62</v>
      </c>
      <c r="F2224" t="s">
        <v>67</v>
      </c>
      <c r="G2224" t="s">
        <v>37</v>
      </c>
      <c r="H2224" s="3">
        <v>20271.823260294332</v>
      </c>
      <c r="I2224">
        <v>28</v>
      </c>
      <c r="J2224" s="3">
        <v>11076.194194082889</v>
      </c>
      <c r="K2224" s="3">
        <v>9195.629066211437</v>
      </c>
    </row>
    <row r="2225" spans="1:11" x14ac:dyDescent="0.3">
      <c r="A2225" t="s">
        <v>2301</v>
      </c>
      <c r="B2225" s="2">
        <v>45748</v>
      </c>
      <c r="C2225">
        <v>2025</v>
      </c>
      <c r="D2225">
        <v>4</v>
      </c>
      <c r="E2225" t="s">
        <v>62</v>
      </c>
      <c r="F2225" t="s">
        <v>48</v>
      </c>
      <c r="G2225" t="s">
        <v>37</v>
      </c>
      <c r="H2225" s="3">
        <v>35097.151164331823</v>
      </c>
      <c r="I2225">
        <v>49</v>
      </c>
      <c r="J2225" s="3">
        <v>20133.160689392309</v>
      </c>
      <c r="K2225" s="3">
        <v>14963.99047493951</v>
      </c>
    </row>
    <row r="2226" spans="1:11" x14ac:dyDescent="0.3">
      <c r="A2226" t="s">
        <v>2302</v>
      </c>
      <c r="B2226" s="2">
        <v>45748</v>
      </c>
      <c r="C2226">
        <v>2025</v>
      </c>
      <c r="D2226">
        <v>4</v>
      </c>
      <c r="E2226" t="s">
        <v>50</v>
      </c>
      <c r="F2226" t="s">
        <v>67</v>
      </c>
      <c r="G2226" t="s">
        <v>40</v>
      </c>
      <c r="H2226" s="3">
        <v>52041.669421010803</v>
      </c>
      <c r="I2226">
        <v>10</v>
      </c>
      <c r="J2226" s="3">
        <v>36025.142172405067</v>
      </c>
      <c r="K2226" s="3">
        <v>16016.527248605729</v>
      </c>
    </row>
    <row r="2227" spans="1:11" x14ac:dyDescent="0.3">
      <c r="A2227" t="s">
        <v>2303</v>
      </c>
      <c r="B2227" s="2">
        <v>45748</v>
      </c>
      <c r="C2227">
        <v>2025</v>
      </c>
      <c r="D2227">
        <v>4</v>
      </c>
      <c r="E2227" t="s">
        <v>50</v>
      </c>
      <c r="F2227" t="s">
        <v>48</v>
      </c>
      <c r="G2227" t="s">
        <v>40</v>
      </c>
      <c r="H2227" s="3">
        <v>71455.191358300159</v>
      </c>
      <c r="I2227">
        <v>13</v>
      </c>
      <c r="J2227" s="3">
        <v>49061.86095462746</v>
      </c>
      <c r="K2227" s="3">
        <v>22393.330403672699</v>
      </c>
    </row>
    <row r="2228" spans="1:11" x14ac:dyDescent="0.3">
      <c r="A2228" t="s">
        <v>2304</v>
      </c>
      <c r="B2228" s="2">
        <v>45748</v>
      </c>
      <c r="C2228">
        <v>2025</v>
      </c>
      <c r="D2228">
        <v>4</v>
      </c>
      <c r="E2228" t="s">
        <v>54</v>
      </c>
      <c r="F2228" t="s">
        <v>67</v>
      </c>
      <c r="G2228" t="s">
        <v>40</v>
      </c>
      <c r="H2228" s="3">
        <v>37196.277159180769</v>
      </c>
      <c r="I2228">
        <v>7</v>
      </c>
      <c r="J2228" s="3">
        <v>25279.361503302629</v>
      </c>
      <c r="K2228" s="3">
        <v>11916.91565587814</v>
      </c>
    </row>
    <row r="2229" spans="1:11" x14ac:dyDescent="0.3">
      <c r="A2229" t="s">
        <v>2305</v>
      </c>
      <c r="B2229" s="2">
        <v>45748</v>
      </c>
      <c r="C2229">
        <v>2025</v>
      </c>
      <c r="D2229">
        <v>4</v>
      </c>
      <c r="E2229" t="s">
        <v>54</v>
      </c>
      <c r="F2229" t="s">
        <v>48</v>
      </c>
      <c r="G2229" t="s">
        <v>40</v>
      </c>
      <c r="H2229" s="3">
        <v>64897.131013098253</v>
      </c>
      <c r="I2229">
        <v>12</v>
      </c>
      <c r="J2229" s="3">
        <v>45663.404415197052</v>
      </c>
      <c r="K2229" s="3">
        <v>19233.726597901201</v>
      </c>
    </row>
    <row r="2230" spans="1:11" x14ac:dyDescent="0.3">
      <c r="A2230" t="s">
        <v>2306</v>
      </c>
      <c r="B2230" s="2">
        <v>45748</v>
      </c>
      <c r="C2230">
        <v>2025</v>
      </c>
      <c r="D2230">
        <v>4</v>
      </c>
      <c r="E2230" t="s">
        <v>58</v>
      </c>
      <c r="F2230" t="s">
        <v>67</v>
      </c>
      <c r="G2230" t="s">
        <v>40</v>
      </c>
      <c r="H2230" s="3">
        <v>27216.691061097441</v>
      </c>
      <c r="I2230">
        <v>5</v>
      </c>
      <c r="J2230" s="3">
        <v>19072.65332324223</v>
      </c>
      <c r="K2230" s="3">
        <v>8144.0377378552039</v>
      </c>
    </row>
    <row r="2231" spans="1:11" x14ac:dyDescent="0.3">
      <c r="A2231" t="s">
        <v>2307</v>
      </c>
      <c r="B2231" s="2">
        <v>45748</v>
      </c>
      <c r="C2231">
        <v>2025</v>
      </c>
      <c r="D2231">
        <v>4</v>
      </c>
      <c r="E2231" t="s">
        <v>58</v>
      </c>
      <c r="F2231" t="s">
        <v>48</v>
      </c>
      <c r="G2231" t="s">
        <v>40</v>
      </c>
      <c r="H2231" s="3">
        <v>40770.519443859353</v>
      </c>
      <c r="I2231">
        <v>8</v>
      </c>
      <c r="J2231" s="3">
        <v>27879.81315707073</v>
      </c>
      <c r="K2231" s="3">
        <v>12890.70628678862</v>
      </c>
    </row>
    <row r="2232" spans="1:11" x14ac:dyDescent="0.3">
      <c r="A2232" t="s">
        <v>2308</v>
      </c>
      <c r="B2232" s="2">
        <v>45748</v>
      </c>
      <c r="C2232">
        <v>2025</v>
      </c>
      <c r="D2232">
        <v>4</v>
      </c>
      <c r="E2232" t="s">
        <v>62</v>
      </c>
      <c r="F2232" t="s">
        <v>67</v>
      </c>
      <c r="G2232" t="s">
        <v>40</v>
      </c>
      <c r="H2232" s="3">
        <v>20163.115844986409</v>
      </c>
      <c r="I2232">
        <v>4</v>
      </c>
      <c r="J2232" s="3">
        <v>14056.90827925433</v>
      </c>
      <c r="K2232" s="3">
        <v>6106.2075657320747</v>
      </c>
    </row>
    <row r="2233" spans="1:11" x14ac:dyDescent="0.3">
      <c r="A2233" t="s">
        <v>2309</v>
      </c>
      <c r="B2233" s="2">
        <v>45748</v>
      </c>
      <c r="C2233">
        <v>2025</v>
      </c>
      <c r="D2233">
        <v>4</v>
      </c>
      <c r="E2233" t="s">
        <v>62</v>
      </c>
      <c r="F2233" t="s">
        <v>48</v>
      </c>
      <c r="G2233" t="s">
        <v>40</v>
      </c>
      <c r="H2233" s="3">
        <v>35657.879897307554</v>
      </c>
      <c r="I2233">
        <v>7</v>
      </c>
      <c r="J2233" s="3">
        <v>23935.841637583591</v>
      </c>
      <c r="K2233" s="3">
        <v>11722.03825972397</v>
      </c>
    </row>
    <row r="2234" spans="1:11" x14ac:dyDescent="0.3">
      <c r="A2234" t="s">
        <v>2310</v>
      </c>
      <c r="B2234" s="2">
        <v>45748</v>
      </c>
      <c r="C2234">
        <v>2025</v>
      </c>
      <c r="D2234">
        <v>4</v>
      </c>
      <c r="E2234" t="s">
        <v>50</v>
      </c>
      <c r="F2234" t="s">
        <v>67</v>
      </c>
      <c r="G2234" t="s">
        <v>43</v>
      </c>
      <c r="H2234" s="3">
        <v>105169.1777890332</v>
      </c>
      <c r="I2234">
        <v>30</v>
      </c>
      <c r="J2234" s="3">
        <v>62256.407914528972</v>
      </c>
      <c r="K2234" s="3">
        <v>42912.769874504243</v>
      </c>
    </row>
    <row r="2235" spans="1:11" x14ac:dyDescent="0.3">
      <c r="A2235" t="s">
        <v>2311</v>
      </c>
      <c r="B2235" s="2">
        <v>45748</v>
      </c>
      <c r="C2235">
        <v>2025</v>
      </c>
      <c r="D2235">
        <v>4</v>
      </c>
      <c r="E2235" t="s">
        <v>50</v>
      </c>
      <c r="F2235" t="s">
        <v>48</v>
      </c>
      <c r="G2235" t="s">
        <v>43</v>
      </c>
      <c r="H2235" s="3">
        <v>163912.91267643179</v>
      </c>
      <c r="I2235">
        <v>47</v>
      </c>
      <c r="J2235" s="3">
        <v>97496.756422800274</v>
      </c>
      <c r="K2235" s="3">
        <v>66416.156253631547</v>
      </c>
    </row>
    <row r="2236" spans="1:11" x14ac:dyDescent="0.3">
      <c r="A2236" t="s">
        <v>2312</v>
      </c>
      <c r="B2236" s="2">
        <v>45748</v>
      </c>
      <c r="C2236">
        <v>2025</v>
      </c>
      <c r="D2236">
        <v>4</v>
      </c>
      <c r="E2236" t="s">
        <v>54</v>
      </c>
      <c r="F2236" t="s">
        <v>67</v>
      </c>
      <c r="G2236" t="s">
        <v>43</v>
      </c>
      <c r="H2236" s="3">
        <v>77525.477739493494</v>
      </c>
      <c r="I2236">
        <v>22</v>
      </c>
      <c r="J2236" s="3">
        <v>47145.711624420597</v>
      </c>
      <c r="K2236" s="3">
        <v>30379.766115072889</v>
      </c>
    </row>
    <row r="2237" spans="1:11" x14ac:dyDescent="0.3">
      <c r="A2237" t="s">
        <v>2313</v>
      </c>
      <c r="B2237" s="2">
        <v>45748</v>
      </c>
      <c r="C2237">
        <v>2025</v>
      </c>
      <c r="D2237">
        <v>4</v>
      </c>
      <c r="E2237" t="s">
        <v>54</v>
      </c>
      <c r="F2237" t="s">
        <v>48</v>
      </c>
      <c r="G2237" t="s">
        <v>43</v>
      </c>
      <c r="H2237" s="3">
        <v>119730.61338656209</v>
      </c>
      <c r="I2237">
        <v>34</v>
      </c>
      <c r="J2237" s="3">
        <v>69660.935640468029</v>
      </c>
      <c r="K2237" s="3">
        <v>50069.677746094021</v>
      </c>
    </row>
    <row r="2238" spans="1:11" x14ac:dyDescent="0.3">
      <c r="A2238" t="s">
        <v>2314</v>
      </c>
      <c r="B2238" s="2">
        <v>45748</v>
      </c>
      <c r="C2238">
        <v>2025</v>
      </c>
      <c r="D2238">
        <v>4</v>
      </c>
      <c r="E2238" t="s">
        <v>58</v>
      </c>
      <c r="F2238" t="s">
        <v>67</v>
      </c>
      <c r="G2238" t="s">
        <v>43</v>
      </c>
      <c r="H2238" s="3">
        <v>49039.833082073739</v>
      </c>
      <c r="I2238">
        <v>14</v>
      </c>
      <c r="J2238" s="3">
        <v>28267.73159934592</v>
      </c>
      <c r="K2238" s="3">
        <v>20772.10148272782</v>
      </c>
    </row>
    <row r="2239" spans="1:11" x14ac:dyDescent="0.3">
      <c r="A2239" t="s">
        <v>2315</v>
      </c>
      <c r="B2239" s="2">
        <v>45748</v>
      </c>
      <c r="C2239">
        <v>2025</v>
      </c>
      <c r="D2239">
        <v>4</v>
      </c>
      <c r="E2239" t="s">
        <v>58</v>
      </c>
      <c r="F2239" t="s">
        <v>48</v>
      </c>
      <c r="G2239" t="s">
        <v>43</v>
      </c>
      <c r="H2239" s="3">
        <v>78319.607288331506</v>
      </c>
      <c r="I2239">
        <v>22</v>
      </c>
      <c r="J2239" s="3">
        <v>45463.792306491297</v>
      </c>
      <c r="K2239" s="3">
        <v>32855.814981840202</v>
      </c>
    </row>
    <row r="2240" spans="1:11" x14ac:dyDescent="0.3">
      <c r="A2240" t="s">
        <v>2316</v>
      </c>
      <c r="B2240" s="2">
        <v>45748</v>
      </c>
      <c r="C2240">
        <v>2025</v>
      </c>
      <c r="D2240">
        <v>4</v>
      </c>
      <c r="E2240" t="s">
        <v>62</v>
      </c>
      <c r="F2240" t="s">
        <v>67</v>
      </c>
      <c r="G2240" t="s">
        <v>43</v>
      </c>
      <c r="H2240" s="3">
        <v>42452.788059167622</v>
      </c>
      <c r="I2240">
        <v>12</v>
      </c>
      <c r="J2240" s="3">
        <v>24444.554905456949</v>
      </c>
      <c r="K2240" s="3">
        <v>18008.23315371068</v>
      </c>
    </row>
    <row r="2241" spans="1:11" x14ac:dyDescent="0.3">
      <c r="A2241" t="s">
        <v>2317</v>
      </c>
      <c r="B2241" s="2">
        <v>45748</v>
      </c>
      <c r="C2241">
        <v>2025</v>
      </c>
      <c r="D2241">
        <v>4</v>
      </c>
      <c r="E2241" t="s">
        <v>62</v>
      </c>
      <c r="F2241" t="s">
        <v>48</v>
      </c>
      <c r="G2241" t="s">
        <v>43</v>
      </c>
      <c r="H2241" s="3">
        <v>63981.44143931337</v>
      </c>
      <c r="I2241">
        <v>18</v>
      </c>
      <c r="J2241" s="3">
        <v>38657.28627775886</v>
      </c>
      <c r="K2241" s="3">
        <v>25324.15516155451</v>
      </c>
    </row>
    <row r="2242" spans="1:11" x14ac:dyDescent="0.3">
      <c r="A2242" t="s">
        <v>2318</v>
      </c>
      <c r="B2242" s="2">
        <v>45778</v>
      </c>
      <c r="C2242">
        <v>2025</v>
      </c>
      <c r="D2242">
        <v>5</v>
      </c>
      <c r="E2242" t="s">
        <v>50</v>
      </c>
      <c r="F2242" t="s">
        <v>67</v>
      </c>
      <c r="G2242" t="s">
        <v>19</v>
      </c>
      <c r="H2242" s="3">
        <v>95237.820411367633</v>
      </c>
      <c r="I2242">
        <v>18</v>
      </c>
      <c r="J2242" s="3">
        <v>60693.42624169412</v>
      </c>
      <c r="K2242" s="3">
        <v>34544.394169673513</v>
      </c>
    </row>
    <row r="2243" spans="1:11" x14ac:dyDescent="0.3">
      <c r="A2243" t="s">
        <v>2319</v>
      </c>
      <c r="B2243" s="2">
        <v>45778</v>
      </c>
      <c r="C2243">
        <v>2025</v>
      </c>
      <c r="D2243">
        <v>5</v>
      </c>
      <c r="E2243" t="s">
        <v>50</v>
      </c>
      <c r="F2243" t="s">
        <v>48</v>
      </c>
      <c r="G2243" t="s">
        <v>19</v>
      </c>
      <c r="H2243" s="3">
        <v>149696.0456979447</v>
      </c>
      <c r="I2243">
        <v>29</v>
      </c>
      <c r="J2243" s="3">
        <v>93346.504667947986</v>
      </c>
      <c r="K2243" s="3">
        <v>56349.54102999669</v>
      </c>
    </row>
    <row r="2244" spans="1:11" x14ac:dyDescent="0.3">
      <c r="A2244" t="s">
        <v>2320</v>
      </c>
      <c r="B2244" s="2">
        <v>45778</v>
      </c>
      <c r="C2244">
        <v>2025</v>
      </c>
      <c r="D2244">
        <v>5</v>
      </c>
      <c r="E2244" t="s">
        <v>54</v>
      </c>
      <c r="F2244" t="s">
        <v>67</v>
      </c>
      <c r="G2244" t="s">
        <v>19</v>
      </c>
      <c r="H2244" s="3">
        <v>74837.027393526529</v>
      </c>
      <c r="I2244">
        <v>14</v>
      </c>
      <c r="J2244" s="3">
        <v>47418.959593679348</v>
      </c>
      <c r="K2244" s="3">
        <v>27418.06779984718</v>
      </c>
    </row>
    <row r="2245" spans="1:11" x14ac:dyDescent="0.3">
      <c r="A2245" t="s">
        <v>2321</v>
      </c>
      <c r="B2245" s="2">
        <v>45778</v>
      </c>
      <c r="C2245">
        <v>2025</v>
      </c>
      <c r="D2245">
        <v>5</v>
      </c>
      <c r="E2245" t="s">
        <v>54</v>
      </c>
      <c r="F2245" t="s">
        <v>48</v>
      </c>
      <c r="G2245" t="s">
        <v>19</v>
      </c>
      <c r="H2245" s="3">
        <v>122685.47620544241</v>
      </c>
      <c r="I2245">
        <v>24</v>
      </c>
      <c r="J2245" s="3">
        <v>76248.407031853523</v>
      </c>
      <c r="K2245" s="3">
        <v>46437.069173588839</v>
      </c>
    </row>
    <row r="2246" spans="1:11" x14ac:dyDescent="0.3">
      <c r="A2246" t="s">
        <v>2322</v>
      </c>
      <c r="B2246" s="2">
        <v>45778</v>
      </c>
      <c r="C2246">
        <v>2025</v>
      </c>
      <c r="D2246">
        <v>5</v>
      </c>
      <c r="E2246" t="s">
        <v>58</v>
      </c>
      <c r="F2246" t="s">
        <v>67</v>
      </c>
      <c r="G2246" t="s">
        <v>19</v>
      </c>
      <c r="H2246" s="3">
        <v>53580.903722084433</v>
      </c>
      <c r="I2246">
        <v>10</v>
      </c>
      <c r="J2246" s="3">
        <v>33163.287072384883</v>
      </c>
      <c r="K2246" s="3">
        <v>20417.61664969955</v>
      </c>
    </row>
    <row r="2247" spans="1:11" x14ac:dyDescent="0.3">
      <c r="A2247" t="s">
        <v>2323</v>
      </c>
      <c r="B2247" s="2">
        <v>45778</v>
      </c>
      <c r="C2247">
        <v>2025</v>
      </c>
      <c r="D2247">
        <v>5</v>
      </c>
      <c r="E2247" t="s">
        <v>58</v>
      </c>
      <c r="F2247" t="s">
        <v>48</v>
      </c>
      <c r="G2247" t="s">
        <v>19</v>
      </c>
      <c r="H2247" s="3">
        <v>82147.001094262829</v>
      </c>
      <c r="I2247">
        <v>16</v>
      </c>
      <c r="J2247" s="3">
        <v>50625.82493355262</v>
      </c>
      <c r="K2247" s="3">
        <v>31521.176160710209</v>
      </c>
    </row>
    <row r="2248" spans="1:11" x14ac:dyDescent="0.3">
      <c r="A2248" t="s">
        <v>2324</v>
      </c>
      <c r="B2248" s="2">
        <v>45778</v>
      </c>
      <c r="C2248">
        <v>2025</v>
      </c>
      <c r="D2248">
        <v>5</v>
      </c>
      <c r="E2248" t="s">
        <v>62</v>
      </c>
      <c r="F2248" t="s">
        <v>67</v>
      </c>
      <c r="G2248" t="s">
        <v>19</v>
      </c>
      <c r="H2248" s="3">
        <v>41444.440212356421</v>
      </c>
      <c r="I2248">
        <v>8</v>
      </c>
      <c r="J2248" s="3">
        <v>25551.99090498883</v>
      </c>
      <c r="K2248" s="3">
        <v>15892.449307367589</v>
      </c>
    </row>
    <row r="2249" spans="1:11" x14ac:dyDescent="0.3">
      <c r="A2249" t="s">
        <v>2325</v>
      </c>
      <c r="B2249" s="2">
        <v>45778</v>
      </c>
      <c r="C2249">
        <v>2025</v>
      </c>
      <c r="D2249">
        <v>5</v>
      </c>
      <c r="E2249" t="s">
        <v>62</v>
      </c>
      <c r="F2249" t="s">
        <v>48</v>
      </c>
      <c r="G2249" t="s">
        <v>19</v>
      </c>
      <c r="H2249" s="3">
        <v>67196.55038341289</v>
      </c>
      <c r="I2249">
        <v>13</v>
      </c>
      <c r="J2249" s="3">
        <v>40501.143951791579</v>
      </c>
      <c r="K2249" s="3">
        <v>26695.406431621312</v>
      </c>
    </row>
    <row r="2250" spans="1:11" x14ac:dyDescent="0.3">
      <c r="A2250" t="s">
        <v>2326</v>
      </c>
      <c r="B2250" s="2">
        <v>45778</v>
      </c>
      <c r="C2250">
        <v>2025</v>
      </c>
      <c r="D2250">
        <v>5</v>
      </c>
      <c r="E2250" t="s">
        <v>50</v>
      </c>
      <c r="F2250" t="s">
        <v>67</v>
      </c>
      <c r="G2250" t="s">
        <v>24</v>
      </c>
      <c r="H2250" s="3">
        <v>96400.326608588366</v>
      </c>
      <c r="I2250">
        <v>16</v>
      </c>
      <c r="J2250" s="3">
        <v>63926.849598441433</v>
      </c>
      <c r="K2250" s="3">
        <v>32473.477010146929</v>
      </c>
    </row>
    <row r="2251" spans="1:11" x14ac:dyDescent="0.3">
      <c r="A2251" t="s">
        <v>2327</v>
      </c>
      <c r="B2251" s="2">
        <v>45778</v>
      </c>
      <c r="C2251">
        <v>2025</v>
      </c>
      <c r="D2251">
        <v>5</v>
      </c>
      <c r="E2251" t="s">
        <v>50</v>
      </c>
      <c r="F2251" t="s">
        <v>48</v>
      </c>
      <c r="G2251" t="s">
        <v>24</v>
      </c>
      <c r="H2251" s="3">
        <v>156948.1564335505</v>
      </c>
      <c r="I2251">
        <v>26</v>
      </c>
      <c r="J2251" s="3">
        <v>103510.5788918871</v>
      </c>
      <c r="K2251" s="3">
        <v>53437.577541663377</v>
      </c>
    </row>
    <row r="2252" spans="1:11" x14ac:dyDescent="0.3">
      <c r="A2252" t="s">
        <v>2328</v>
      </c>
      <c r="B2252" s="2">
        <v>45778</v>
      </c>
      <c r="C2252">
        <v>2025</v>
      </c>
      <c r="D2252">
        <v>5</v>
      </c>
      <c r="E2252" t="s">
        <v>54</v>
      </c>
      <c r="F2252" t="s">
        <v>67</v>
      </c>
      <c r="G2252" t="s">
        <v>24</v>
      </c>
      <c r="H2252" s="3">
        <v>91060.924640807643</v>
      </c>
      <c r="I2252">
        <v>15</v>
      </c>
      <c r="J2252" s="3">
        <v>60906.544315231658</v>
      </c>
      <c r="K2252" s="3">
        <v>30154.380325575981</v>
      </c>
    </row>
    <row r="2253" spans="1:11" x14ac:dyDescent="0.3">
      <c r="A2253" t="s">
        <v>2329</v>
      </c>
      <c r="B2253" s="2">
        <v>45778</v>
      </c>
      <c r="C2253">
        <v>2025</v>
      </c>
      <c r="D2253">
        <v>5</v>
      </c>
      <c r="E2253" t="s">
        <v>54</v>
      </c>
      <c r="F2253" t="s">
        <v>48</v>
      </c>
      <c r="G2253" t="s">
        <v>24</v>
      </c>
      <c r="H2253" s="3">
        <v>123547.54007774709</v>
      </c>
      <c r="I2253">
        <v>20</v>
      </c>
      <c r="J2253" s="3">
        <v>81678.645074655651</v>
      </c>
      <c r="K2253" s="3">
        <v>41868.895003091427</v>
      </c>
    </row>
    <row r="2254" spans="1:11" x14ac:dyDescent="0.3">
      <c r="A2254" t="s">
        <v>2330</v>
      </c>
      <c r="B2254" s="2">
        <v>45778</v>
      </c>
      <c r="C2254">
        <v>2025</v>
      </c>
      <c r="D2254">
        <v>5</v>
      </c>
      <c r="E2254" t="s">
        <v>58</v>
      </c>
      <c r="F2254" t="s">
        <v>67</v>
      </c>
      <c r="G2254" t="s">
        <v>24</v>
      </c>
      <c r="H2254" s="3">
        <v>57990.55501050919</v>
      </c>
      <c r="I2254">
        <v>10</v>
      </c>
      <c r="J2254" s="3">
        <v>38161.675204815743</v>
      </c>
      <c r="K2254" s="3">
        <v>19828.87980569345</v>
      </c>
    </row>
    <row r="2255" spans="1:11" x14ac:dyDescent="0.3">
      <c r="A2255" t="s">
        <v>2331</v>
      </c>
      <c r="B2255" s="2">
        <v>45778</v>
      </c>
      <c r="C2255">
        <v>2025</v>
      </c>
      <c r="D2255">
        <v>5</v>
      </c>
      <c r="E2255" t="s">
        <v>58</v>
      </c>
      <c r="F2255" t="s">
        <v>48</v>
      </c>
      <c r="G2255" t="s">
        <v>24</v>
      </c>
      <c r="H2255" s="3">
        <v>84505.454851108574</v>
      </c>
      <c r="I2255">
        <v>14</v>
      </c>
      <c r="J2255" s="3">
        <v>54898.987910156393</v>
      </c>
      <c r="K2255" s="3">
        <v>29606.466940952181</v>
      </c>
    </row>
    <row r="2256" spans="1:11" x14ac:dyDescent="0.3">
      <c r="A2256" t="s">
        <v>2332</v>
      </c>
      <c r="B2256" s="2">
        <v>45778</v>
      </c>
      <c r="C2256">
        <v>2025</v>
      </c>
      <c r="D2256">
        <v>5</v>
      </c>
      <c r="E2256" t="s">
        <v>62</v>
      </c>
      <c r="F2256" t="s">
        <v>67</v>
      </c>
      <c r="G2256" t="s">
        <v>24</v>
      </c>
      <c r="H2256" s="3">
        <v>44790.055815539621</v>
      </c>
      <c r="I2256">
        <v>7</v>
      </c>
      <c r="J2256" s="3">
        <v>29599.829998609832</v>
      </c>
      <c r="K2256" s="3">
        <v>15190.225816929789</v>
      </c>
    </row>
    <row r="2257" spans="1:11" x14ac:dyDescent="0.3">
      <c r="A2257" t="s">
        <v>2333</v>
      </c>
      <c r="B2257" s="2">
        <v>45778</v>
      </c>
      <c r="C2257">
        <v>2025</v>
      </c>
      <c r="D2257">
        <v>5</v>
      </c>
      <c r="E2257" t="s">
        <v>62</v>
      </c>
      <c r="F2257" t="s">
        <v>48</v>
      </c>
      <c r="G2257" t="s">
        <v>24</v>
      </c>
      <c r="H2257" s="3">
        <v>70289.484930844803</v>
      </c>
      <c r="I2257">
        <v>12</v>
      </c>
      <c r="J2257" s="3">
        <v>47007.51699312235</v>
      </c>
      <c r="K2257" s="3">
        <v>23281.967937722449</v>
      </c>
    </row>
    <row r="2258" spans="1:11" x14ac:dyDescent="0.3">
      <c r="A2258" t="s">
        <v>2334</v>
      </c>
      <c r="B2258" s="2">
        <v>45778</v>
      </c>
      <c r="C2258">
        <v>2025</v>
      </c>
      <c r="D2258">
        <v>5</v>
      </c>
      <c r="E2258" t="s">
        <v>50</v>
      </c>
      <c r="F2258" t="s">
        <v>67</v>
      </c>
      <c r="G2258" t="s">
        <v>29</v>
      </c>
      <c r="H2258" s="3">
        <v>75403.549402961042</v>
      </c>
      <c r="I2258">
        <v>18</v>
      </c>
      <c r="J2258" s="3">
        <v>47265.111473400073</v>
      </c>
      <c r="K2258" s="3">
        <v>28138.437929560969</v>
      </c>
    </row>
    <row r="2259" spans="1:11" x14ac:dyDescent="0.3">
      <c r="A2259" t="s">
        <v>2335</v>
      </c>
      <c r="B2259" s="2">
        <v>45778</v>
      </c>
      <c r="C2259">
        <v>2025</v>
      </c>
      <c r="D2259">
        <v>5</v>
      </c>
      <c r="E2259" t="s">
        <v>50</v>
      </c>
      <c r="F2259" t="s">
        <v>48</v>
      </c>
      <c r="G2259" t="s">
        <v>29</v>
      </c>
      <c r="H2259" s="3">
        <v>117524.6394823298</v>
      </c>
      <c r="I2259">
        <v>27</v>
      </c>
      <c r="J2259" s="3">
        <v>75334.198570821609</v>
      </c>
      <c r="K2259" s="3">
        <v>42190.440911508238</v>
      </c>
    </row>
    <row r="2260" spans="1:11" x14ac:dyDescent="0.3">
      <c r="A2260" t="s">
        <v>2336</v>
      </c>
      <c r="B2260" s="2">
        <v>45778</v>
      </c>
      <c r="C2260">
        <v>2025</v>
      </c>
      <c r="D2260">
        <v>5</v>
      </c>
      <c r="E2260" t="s">
        <v>54</v>
      </c>
      <c r="F2260" t="s">
        <v>67</v>
      </c>
      <c r="G2260" t="s">
        <v>29</v>
      </c>
      <c r="H2260" s="3">
        <v>61765.967132071492</v>
      </c>
      <c r="I2260">
        <v>14</v>
      </c>
      <c r="J2260" s="3">
        <v>39696.039264763553</v>
      </c>
      <c r="K2260" s="3">
        <v>22069.927867307939</v>
      </c>
    </row>
    <row r="2261" spans="1:11" x14ac:dyDescent="0.3">
      <c r="A2261" t="s">
        <v>2337</v>
      </c>
      <c r="B2261" s="2">
        <v>45778</v>
      </c>
      <c r="C2261">
        <v>2025</v>
      </c>
      <c r="D2261">
        <v>5</v>
      </c>
      <c r="E2261" t="s">
        <v>54</v>
      </c>
      <c r="F2261" t="s">
        <v>48</v>
      </c>
      <c r="G2261" t="s">
        <v>29</v>
      </c>
      <c r="H2261" s="3">
        <v>91365.12517917341</v>
      </c>
      <c r="I2261">
        <v>21</v>
      </c>
      <c r="J2261" s="3">
        <v>57717.8980864107</v>
      </c>
      <c r="K2261" s="3">
        <v>33647.227092762711</v>
      </c>
    </row>
    <row r="2262" spans="1:11" x14ac:dyDescent="0.3">
      <c r="A2262" t="s">
        <v>2338</v>
      </c>
      <c r="B2262" s="2">
        <v>45778</v>
      </c>
      <c r="C2262">
        <v>2025</v>
      </c>
      <c r="D2262">
        <v>5</v>
      </c>
      <c r="E2262" t="s">
        <v>58</v>
      </c>
      <c r="F2262" t="s">
        <v>67</v>
      </c>
      <c r="G2262" t="s">
        <v>29</v>
      </c>
      <c r="H2262" s="3">
        <v>41266.833122420947</v>
      </c>
      <c r="I2262">
        <v>10</v>
      </c>
      <c r="J2262" s="3">
        <v>26131.3098865908</v>
      </c>
      <c r="K2262" s="3">
        <v>15135.523235830149</v>
      </c>
    </row>
    <row r="2263" spans="1:11" x14ac:dyDescent="0.3">
      <c r="A2263" t="s">
        <v>2339</v>
      </c>
      <c r="B2263" s="2">
        <v>45778</v>
      </c>
      <c r="C2263">
        <v>2025</v>
      </c>
      <c r="D2263">
        <v>5</v>
      </c>
      <c r="E2263" t="s">
        <v>58</v>
      </c>
      <c r="F2263" t="s">
        <v>48</v>
      </c>
      <c r="G2263" t="s">
        <v>29</v>
      </c>
      <c r="H2263" s="3">
        <v>68597.923677077939</v>
      </c>
      <c r="I2263">
        <v>16</v>
      </c>
      <c r="J2263" s="3">
        <v>44084.910933969797</v>
      </c>
      <c r="K2263" s="3">
        <v>24513.012743108138</v>
      </c>
    </row>
    <row r="2264" spans="1:11" x14ac:dyDescent="0.3">
      <c r="A2264" t="s">
        <v>2340</v>
      </c>
      <c r="B2264" s="2">
        <v>45778</v>
      </c>
      <c r="C2264">
        <v>2025</v>
      </c>
      <c r="D2264">
        <v>5</v>
      </c>
      <c r="E2264" t="s">
        <v>62</v>
      </c>
      <c r="F2264" t="s">
        <v>67</v>
      </c>
      <c r="G2264" t="s">
        <v>29</v>
      </c>
      <c r="H2264" s="3">
        <v>28909.90657606463</v>
      </c>
      <c r="I2264">
        <v>7</v>
      </c>
      <c r="J2264" s="3">
        <v>18124.8632656392</v>
      </c>
      <c r="K2264" s="3">
        <v>10785.04331042543</v>
      </c>
    </row>
    <row r="2265" spans="1:11" x14ac:dyDescent="0.3">
      <c r="A2265" t="s">
        <v>2341</v>
      </c>
      <c r="B2265" s="2">
        <v>45778</v>
      </c>
      <c r="C2265">
        <v>2025</v>
      </c>
      <c r="D2265">
        <v>5</v>
      </c>
      <c r="E2265" t="s">
        <v>62</v>
      </c>
      <c r="F2265" t="s">
        <v>48</v>
      </c>
      <c r="G2265" t="s">
        <v>29</v>
      </c>
      <c r="H2265" s="3">
        <v>46779.335855509293</v>
      </c>
      <c r="I2265">
        <v>11</v>
      </c>
      <c r="J2265" s="3">
        <v>30127.348119999711</v>
      </c>
      <c r="K2265" s="3">
        <v>16651.98773550957</v>
      </c>
    </row>
    <row r="2266" spans="1:11" x14ac:dyDescent="0.3">
      <c r="A2266" t="s">
        <v>2342</v>
      </c>
      <c r="B2266" s="2">
        <v>45778</v>
      </c>
      <c r="C2266">
        <v>2025</v>
      </c>
      <c r="D2266">
        <v>5</v>
      </c>
      <c r="E2266" t="s">
        <v>50</v>
      </c>
      <c r="F2266" t="s">
        <v>67</v>
      </c>
      <c r="G2266" t="s">
        <v>34</v>
      </c>
      <c r="H2266" s="3">
        <v>66450.248980122633</v>
      </c>
      <c r="I2266">
        <v>78</v>
      </c>
      <c r="J2266" s="3">
        <v>31382.06956854284</v>
      </c>
      <c r="K2266" s="3">
        <v>35068.179411579797</v>
      </c>
    </row>
    <row r="2267" spans="1:11" x14ac:dyDescent="0.3">
      <c r="A2267" t="s">
        <v>2343</v>
      </c>
      <c r="B2267" s="2">
        <v>45778</v>
      </c>
      <c r="C2267">
        <v>2025</v>
      </c>
      <c r="D2267">
        <v>5</v>
      </c>
      <c r="E2267" t="s">
        <v>50</v>
      </c>
      <c r="F2267" t="s">
        <v>48</v>
      </c>
      <c r="G2267" t="s">
        <v>34</v>
      </c>
      <c r="H2267" s="3">
        <v>98209.256748996399</v>
      </c>
      <c r="I2267">
        <v>116</v>
      </c>
      <c r="J2267" s="3">
        <v>48042.304334908469</v>
      </c>
      <c r="K2267" s="3">
        <v>50166.952414087929</v>
      </c>
    </row>
    <row r="2268" spans="1:11" x14ac:dyDescent="0.3">
      <c r="A2268" t="s">
        <v>2344</v>
      </c>
      <c r="B2268" s="2">
        <v>45778</v>
      </c>
      <c r="C2268">
        <v>2025</v>
      </c>
      <c r="D2268">
        <v>5</v>
      </c>
      <c r="E2268" t="s">
        <v>54</v>
      </c>
      <c r="F2268" t="s">
        <v>67</v>
      </c>
      <c r="G2268" t="s">
        <v>34</v>
      </c>
      <c r="H2268" s="3">
        <v>50277.901938982963</v>
      </c>
      <c r="I2268">
        <v>59</v>
      </c>
      <c r="J2268" s="3">
        <v>25148.947811219779</v>
      </c>
      <c r="K2268" s="3">
        <v>25128.954127763169</v>
      </c>
    </row>
    <row r="2269" spans="1:11" x14ac:dyDescent="0.3">
      <c r="A2269" t="s">
        <v>2345</v>
      </c>
      <c r="B2269" s="2">
        <v>45778</v>
      </c>
      <c r="C2269">
        <v>2025</v>
      </c>
      <c r="D2269">
        <v>5</v>
      </c>
      <c r="E2269" t="s">
        <v>54</v>
      </c>
      <c r="F2269" t="s">
        <v>48</v>
      </c>
      <c r="G2269" t="s">
        <v>34</v>
      </c>
      <c r="H2269" s="3">
        <v>80532.300571943008</v>
      </c>
      <c r="I2269">
        <v>95</v>
      </c>
      <c r="J2269" s="3">
        <v>38056.590486437322</v>
      </c>
      <c r="K2269" s="3">
        <v>42475.710085505692</v>
      </c>
    </row>
    <row r="2270" spans="1:11" x14ac:dyDescent="0.3">
      <c r="A2270" t="s">
        <v>2346</v>
      </c>
      <c r="B2270" s="2">
        <v>45778</v>
      </c>
      <c r="C2270">
        <v>2025</v>
      </c>
      <c r="D2270">
        <v>5</v>
      </c>
      <c r="E2270" t="s">
        <v>58</v>
      </c>
      <c r="F2270" t="s">
        <v>67</v>
      </c>
      <c r="G2270" t="s">
        <v>34</v>
      </c>
      <c r="H2270" s="3">
        <v>36538.147755538812</v>
      </c>
      <c r="I2270">
        <v>43</v>
      </c>
      <c r="J2270" s="3">
        <v>17706.954787236431</v>
      </c>
      <c r="K2270" s="3">
        <v>18831.192968302381</v>
      </c>
    </row>
    <row r="2271" spans="1:11" x14ac:dyDescent="0.3">
      <c r="A2271" t="s">
        <v>2347</v>
      </c>
      <c r="B2271" s="2">
        <v>45778</v>
      </c>
      <c r="C2271">
        <v>2025</v>
      </c>
      <c r="D2271">
        <v>5</v>
      </c>
      <c r="E2271" t="s">
        <v>58</v>
      </c>
      <c r="F2271" t="s">
        <v>48</v>
      </c>
      <c r="G2271" t="s">
        <v>34</v>
      </c>
      <c r="H2271" s="3">
        <v>55329.382150627876</v>
      </c>
      <c r="I2271">
        <v>65</v>
      </c>
      <c r="J2271" s="3">
        <v>26210.687472089379</v>
      </c>
      <c r="K2271" s="3">
        <v>29118.694678538501</v>
      </c>
    </row>
    <row r="2272" spans="1:11" x14ac:dyDescent="0.3">
      <c r="A2272" t="s">
        <v>2348</v>
      </c>
      <c r="B2272" s="2">
        <v>45778</v>
      </c>
      <c r="C2272">
        <v>2025</v>
      </c>
      <c r="D2272">
        <v>5</v>
      </c>
      <c r="E2272" t="s">
        <v>62</v>
      </c>
      <c r="F2272" t="s">
        <v>67</v>
      </c>
      <c r="G2272" t="s">
        <v>34</v>
      </c>
      <c r="H2272" s="3">
        <v>23814.573028159379</v>
      </c>
      <c r="I2272">
        <v>28</v>
      </c>
      <c r="J2272" s="3">
        <v>11645.179609725659</v>
      </c>
      <c r="K2272" s="3">
        <v>12169.393418433719</v>
      </c>
    </row>
    <row r="2273" spans="1:11" x14ac:dyDescent="0.3">
      <c r="A2273" t="s">
        <v>2349</v>
      </c>
      <c r="B2273" s="2">
        <v>45778</v>
      </c>
      <c r="C2273">
        <v>2025</v>
      </c>
      <c r="D2273">
        <v>5</v>
      </c>
      <c r="E2273" t="s">
        <v>62</v>
      </c>
      <c r="F2273" t="s">
        <v>48</v>
      </c>
      <c r="G2273" t="s">
        <v>34</v>
      </c>
      <c r="H2273" s="3">
        <v>39538.991709957758</v>
      </c>
      <c r="I2273">
        <v>47</v>
      </c>
      <c r="J2273" s="3">
        <v>18546.482380078949</v>
      </c>
      <c r="K2273" s="3">
        <v>20992.509329878809</v>
      </c>
    </row>
    <row r="2274" spans="1:11" x14ac:dyDescent="0.3">
      <c r="A2274" t="s">
        <v>2350</v>
      </c>
      <c r="B2274" s="2">
        <v>45778</v>
      </c>
      <c r="C2274">
        <v>2025</v>
      </c>
      <c r="D2274">
        <v>5</v>
      </c>
      <c r="E2274" t="s">
        <v>50</v>
      </c>
      <c r="F2274" t="s">
        <v>67</v>
      </c>
      <c r="G2274" t="s">
        <v>37</v>
      </c>
      <c r="H2274" s="3">
        <v>55508.573775638783</v>
      </c>
      <c r="I2274">
        <v>77</v>
      </c>
      <c r="J2274" s="3">
        <v>30793.814763405549</v>
      </c>
      <c r="K2274" s="3">
        <v>24714.759012233229</v>
      </c>
    </row>
    <row r="2275" spans="1:11" x14ac:dyDescent="0.3">
      <c r="A2275" t="s">
        <v>2351</v>
      </c>
      <c r="B2275" s="2">
        <v>45778</v>
      </c>
      <c r="C2275">
        <v>2025</v>
      </c>
      <c r="D2275">
        <v>5</v>
      </c>
      <c r="E2275" t="s">
        <v>50</v>
      </c>
      <c r="F2275" t="s">
        <v>48</v>
      </c>
      <c r="G2275" t="s">
        <v>37</v>
      </c>
      <c r="H2275" s="3">
        <v>91486.70899352766</v>
      </c>
      <c r="I2275">
        <v>127</v>
      </c>
      <c r="J2275" s="3">
        <v>49527.007759513377</v>
      </c>
      <c r="K2275" s="3">
        <v>41959.701234014283</v>
      </c>
    </row>
    <row r="2276" spans="1:11" x14ac:dyDescent="0.3">
      <c r="A2276" t="s">
        <v>2352</v>
      </c>
      <c r="B2276" s="2">
        <v>45778</v>
      </c>
      <c r="C2276">
        <v>2025</v>
      </c>
      <c r="D2276">
        <v>5</v>
      </c>
      <c r="E2276" t="s">
        <v>54</v>
      </c>
      <c r="F2276" t="s">
        <v>67</v>
      </c>
      <c r="G2276" t="s">
        <v>37</v>
      </c>
      <c r="H2276" s="3">
        <v>41864.700067586477</v>
      </c>
      <c r="I2276">
        <v>58</v>
      </c>
      <c r="J2276" s="3">
        <v>22939.79809453453</v>
      </c>
      <c r="K2276" s="3">
        <v>18924.90197305195</v>
      </c>
    </row>
    <row r="2277" spans="1:11" x14ac:dyDescent="0.3">
      <c r="A2277" t="s">
        <v>2353</v>
      </c>
      <c r="B2277" s="2">
        <v>45778</v>
      </c>
      <c r="C2277">
        <v>2025</v>
      </c>
      <c r="D2277">
        <v>5</v>
      </c>
      <c r="E2277" t="s">
        <v>54</v>
      </c>
      <c r="F2277" t="s">
        <v>48</v>
      </c>
      <c r="G2277" t="s">
        <v>37</v>
      </c>
      <c r="H2277" s="3">
        <v>64311.205663772751</v>
      </c>
      <c r="I2277">
        <v>89</v>
      </c>
      <c r="J2277" s="3">
        <v>34714.728977781007</v>
      </c>
      <c r="K2277" s="3">
        <v>29596.47668599174</v>
      </c>
    </row>
    <row r="2278" spans="1:11" x14ac:dyDescent="0.3">
      <c r="A2278" t="s">
        <v>2354</v>
      </c>
      <c r="B2278" s="2">
        <v>45778</v>
      </c>
      <c r="C2278">
        <v>2025</v>
      </c>
      <c r="D2278">
        <v>5</v>
      </c>
      <c r="E2278" t="s">
        <v>58</v>
      </c>
      <c r="F2278" t="s">
        <v>67</v>
      </c>
      <c r="G2278" t="s">
        <v>37</v>
      </c>
      <c r="H2278" s="3">
        <v>28134.86039001252</v>
      </c>
      <c r="I2278">
        <v>39</v>
      </c>
      <c r="J2278" s="3">
        <v>15703.22669984099</v>
      </c>
      <c r="K2278" s="3">
        <v>12431.633690171529</v>
      </c>
    </row>
    <row r="2279" spans="1:11" x14ac:dyDescent="0.3">
      <c r="A2279" t="s">
        <v>2355</v>
      </c>
      <c r="B2279" s="2">
        <v>45778</v>
      </c>
      <c r="C2279">
        <v>2025</v>
      </c>
      <c r="D2279">
        <v>5</v>
      </c>
      <c r="E2279" t="s">
        <v>58</v>
      </c>
      <c r="F2279" t="s">
        <v>48</v>
      </c>
      <c r="G2279" t="s">
        <v>37</v>
      </c>
      <c r="H2279" s="3">
        <v>48494.520610665677</v>
      </c>
      <c r="I2279">
        <v>67</v>
      </c>
      <c r="J2279" s="3">
        <v>26270.155621480109</v>
      </c>
      <c r="K2279" s="3">
        <v>22224.364989185571</v>
      </c>
    </row>
    <row r="2280" spans="1:11" x14ac:dyDescent="0.3">
      <c r="A2280" t="s">
        <v>2356</v>
      </c>
      <c r="B2280" s="2">
        <v>45778</v>
      </c>
      <c r="C2280">
        <v>2025</v>
      </c>
      <c r="D2280">
        <v>5</v>
      </c>
      <c r="E2280" t="s">
        <v>62</v>
      </c>
      <c r="F2280" t="s">
        <v>67</v>
      </c>
      <c r="G2280" t="s">
        <v>37</v>
      </c>
      <c r="H2280" s="3">
        <v>21976.321314131452</v>
      </c>
      <c r="I2280">
        <v>31</v>
      </c>
      <c r="J2280" s="3">
        <v>12207.065147550529</v>
      </c>
      <c r="K2280" s="3">
        <v>9769.2561665809226</v>
      </c>
    </row>
    <row r="2281" spans="1:11" x14ac:dyDescent="0.3">
      <c r="A2281" t="s">
        <v>2357</v>
      </c>
      <c r="B2281" s="2">
        <v>45778</v>
      </c>
      <c r="C2281">
        <v>2025</v>
      </c>
      <c r="D2281">
        <v>5</v>
      </c>
      <c r="E2281" t="s">
        <v>62</v>
      </c>
      <c r="F2281" t="s">
        <v>48</v>
      </c>
      <c r="G2281" t="s">
        <v>37</v>
      </c>
      <c r="H2281" s="3">
        <v>35518.3793800637</v>
      </c>
      <c r="I2281">
        <v>49</v>
      </c>
      <c r="J2281" s="3">
        <v>19414.11279634868</v>
      </c>
      <c r="K2281" s="3">
        <v>16104.26658371502</v>
      </c>
    </row>
    <row r="2282" spans="1:11" x14ac:dyDescent="0.3">
      <c r="A2282" t="s">
        <v>2358</v>
      </c>
      <c r="B2282" s="2">
        <v>45778</v>
      </c>
      <c r="C2282">
        <v>2025</v>
      </c>
      <c r="D2282">
        <v>5</v>
      </c>
      <c r="E2282" t="s">
        <v>50</v>
      </c>
      <c r="F2282" t="s">
        <v>67</v>
      </c>
      <c r="G2282" t="s">
        <v>40</v>
      </c>
      <c r="H2282" s="3">
        <v>45736.550799865159</v>
      </c>
      <c r="I2282">
        <v>8</v>
      </c>
      <c r="J2282" s="3">
        <v>31493.1942545233</v>
      </c>
      <c r="K2282" s="3">
        <v>14243.35654534186</v>
      </c>
    </row>
    <row r="2283" spans="1:11" x14ac:dyDescent="0.3">
      <c r="A2283" t="s">
        <v>2359</v>
      </c>
      <c r="B2283" s="2">
        <v>45778</v>
      </c>
      <c r="C2283">
        <v>2025</v>
      </c>
      <c r="D2283">
        <v>5</v>
      </c>
      <c r="E2283" t="s">
        <v>50</v>
      </c>
      <c r="F2283" t="s">
        <v>48</v>
      </c>
      <c r="G2283" t="s">
        <v>40</v>
      </c>
      <c r="H2283" s="3">
        <v>69047.896187295089</v>
      </c>
      <c r="I2283">
        <v>13</v>
      </c>
      <c r="J2283" s="3">
        <v>47769.760122409483</v>
      </c>
      <c r="K2283" s="3">
        <v>21278.13606488561</v>
      </c>
    </row>
    <row r="2284" spans="1:11" x14ac:dyDescent="0.3">
      <c r="A2284" t="s">
        <v>2360</v>
      </c>
      <c r="B2284" s="2">
        <v>45778</v>
      </c>
      <c r="C2284">
        <v>2025</v>
      </c>
      <c r="D2284">
        <v>5</v>
      </c>
      <c r="E2284" t="s">
        <v>54</v>
      </c>
      <c r="F2284" t="s">
        <v>67</v>
      </c>
      <c r="G2284" t="s">
        <v>40</v>
      </c>
      <c r="H2284" s="3">
        <v>41321.337231437923</v>
      </c>
      <c r="I2284">
        <v>8</v>
      </c>
      <c r="J2284" s="3">
        <v>28120.745881715109</v>
      </c>
      <c r="K2284" s="3">
        <v>13200.59134972281</v>
      </c>
    </row>
    <row r="2285" spans="1:11" x14ac:dyDescent="0.3">
      <c r="A2285" t="s">
        <v>2361</v>
      </c>
      <c r="B2285" s="2">
        <v>45778</v>
      </c>
      <c r="C2285">
        <v>2025</v>
      </c>
      <c r="D2285">
        <v>5</v>
      </c>
      <c r="E2285" t="s">
        <v>54</v>
      </c>
      <c r="F2285" t="s">
        <v>48</v>
      </c>
      <c r="G2285" t="s">
        <v>40</v>
      </c>
      <c r="H2285" s="3">
        <v>63349.840987781157</v>
      </c>
      <c r="I2285">
        <v>12</v>
      </c>
      <c r="J2285" s="3">
        <v>43876.908183612068</v>
      </c>
      <c r="K2285" s="3">
        <v>19472.932804169101</v>
      </c>
    </row>
    <row r="2286" spans="1:11" x14ac:dyDescent="0.3">
      <c r="A2286" t="s">
        <v>2362</v>
      </c>
      <c r="B2286" s="2">
        <v>45778</v>
      </c>
      <c r="C2286">
        <v>2025</v>
      </c>
      <c r="D2286">
        <v>5</v>
      </c>
      <c r="E2286" t="s">
        <v>58</v>
      </c>
      <c r="F2286" t="s">
        <v>67</v>
      </c>
      <c r="G2286" t="s">
        <v>40</v>
      </c>
      <c r="H2286" s="3">
        <v>25344.956410375711</v>
      </c>
      <c r="I2286">
        <v>5</v>
      </c>
      <c r="J2286" s="3">
        <v>17969.745307468758</v>
      </c>
      <c r="K2286" s="3">
        <v>7375.2111029069492</v>
      </c>
    </row>
    <row r="2287" spans="1:11" x14ac:dyDescent="0.3">
      <c r="A2287" t="s">
        <v>2363</v>
      </c>
      <c r="B2287" s="2">
        <v>45778</v>
      </c>
      <c r="C2287">
        <v>2025</v>
      </c>
      <c r="D2287">
        <v>5</v>
      </c>
      <c r="E2287" t="s">
        <v>58</v>
      </c>
      <c r="F2287" t="s">
        <v>48</v>
      </c>
      <c r="G2287" t="s">
        <v>40</v>
      </c>
      <c r="H2287" s="3">
        <v>41006.983126090898</v>
      </c>
      <c r="I2287">
        <v>8</v>
      </c>
      <c r="J2287" s="3">
        <v>27898.529445668701</v>
      </c>
      <c r="K2287" s="3">
        <v>13108.453680422201</v>
      </c>
    </row>
    <row r="2288" spans="1:11" x14ac:dyDescent="0.3">
      <c r="A2288" t="s">
        <v>2364</v>
      </c>
      <c r="B2288" s="2">
        <v>45778</v>
      </c>
      <c r="C2288">
        <v>2025</v>
      </c>
      <c r="D2288">
        <v>5</v>
      </c>
      <c r="E2288" t="s">
        <v>62</v>
      </c>
      <c r="F2288" t="s">
        <v>67</v>
      </c>
      <c r="G2288" t="s">
        <v>40</v>
      </c>
      <c r="H2288" s="3">
        <v>20414.50846080418</v>
      </c>
      <c r="I2288">
        <v>4</v>
      </c>
      <c r="J2288" s="3">
        <v>14383.12118476214</v>
      </c>
      <c r="K2288" s="3">
        <v>6031.38727604204</v>
      </c>
    </row>
    <row r="2289" spans="1:11" x14ac:dyDescent="0.3">
      <c r="A2289" t="s">
        <v>2365</v>
      </c>
      <c r="B2289" s="2">
        <v>45778</v>
      </c>
      <c r="C2289">
        <v>2025</v>
      </c>
      <c r="D2289">
        <v>5</v>
      </c>
      <c r="E2289" t="s">
        <v>62</v>
      </c>
      <c r="F2289" t="s">
        <v>48</v>
      </c>
      <c r="G2289" t="s">
        <v>40</v>
      </c>
      <c r="H2289" s="3">
        <v>31401.343079237209</v>
      </c>
      <c r="I2289">
        <v>6</v>
      </c>
      <c r="J2289" s="3">
        <v>22251.191814395039</v>
      </c>
      <c r="K2289" s="3">
        <v>9150.1512648421703</v>
      </c>
    </row>
    <row r="2290" spans="1:11" x14ac:dyDescent="0.3">
      <c r="A2290" t="s">
        <v>2366</v>
      </c>
      <c r="B2290" s="2">
        <v>45778</v>
      </c>
      <c r="C2290">
        <v>2025</v>
      </c>
      <c r="D2290">
        <v>5</v>
      </c>
      <c r="E2290" t="s">
        <v>50</v>
      </c>
      <c r="F2290" t="s">
        <v>67</v>
      </c>
      <c r="G2290" t="s">
        <v>43</v>
      </c>
      <c r="H2290" s="3">
        <v>102008.6545155191</v>
      </c>
      <c r="I2290">
        <v>29</v>
      </c>
      <c r="J2290" s="3">
        <v>59300.939420257208</v>
      </c>
      <c r="K2290" s="3">
        <v>42707.715095261869</v>
      </c>
    </row>
    <row r="2291" spans="1:11" x14ac:dyDescent="0.3">
      <c r="A2291" t="s">
        <v>2367</v>
      </c>
      <c r="B2291" s="2">
        <v>45778</v>
      </c>
      <c r="C2291">
        <v>2025</v>
      </c>
      <c r="D2291">
        <v>5</v>
      </c>
      <c r="E2291" t="s">
        <v>50</v>
      </c>
      <c r="F2291" t="s">
        <v>48</v>
      </c>
      <c r="G2291" t="s">
        <v>43</v>
      </c>
      <c r="H2291" s="3">
        <v>162105.14327260311</v>
      </c>
      <c r="I2291">
        <v>46</v>
      </c>
      <c r="J2291" s="3">
        <v>93137.075640718074</v>
      </c>
      <c r="K2291" s="3">
        <v>68968.06763188506</v>
      </c>
    </row>
    <row r="2292" spans="1:11" x14ac:dyDescent="0.3">
      <c r="A2292" t="s">
        <v>2368</v>
      </c>
      <c r="B2292" s="2">
        <v>45778</v>
      </c>
      <c r="C2292">
        <v>2025</v>
      </c>
      <c r="D2292">
        <v>5</v>
      </c>
      <c r="E2292" t="s">
        <v>54</v>
      </c>
      <c r="F2292" t="s">
        <v>67</v>
      </c>
      <c r="G2292" t="s">
        <v>43</v>
      </c>
      <c r="H2292" s="3">
        <v>90262.779975868092</v>
      </c>
      <c r="I2292">
        <v>26</v>
      </c>
      <c r="J2292" s="3">
        <v>53544.497103479349</v>
      </c>
      <c r="K2292" s="3">
        <v>36718.282872388743</v>
      </c>
    </row>
    <row r="2293" spans="1:11" x14ac:dyDescent="0.3">
      <c r="A2293" t="s">
        <v>2369</v>
      </c>
      <c r="B2293" s="2">
        <v>45778</v>
      </c>
      <c r="C2293">
        <v>2025</v>
      </c>
      <c r="D2293">
        <v>5</v>
      </c>
      <c r="E2293" t="s">
        <v>54</v>
      </c>
      <c r="F2293" t="s">
        <v>48</v>
      </c>
      <c r="G2293" t="s">
        <v>43</v>
      </c>
      <c r="H2293" s="3">
        <v>131601.7645185467</v>
      </c>
      <c r="I2293">
        <v>38</v>
      </c>
      <c r="J2293" s="3">
        <v>76879.97843341183</v>
      </c>
      <c r="K2293" s="3">
        <v>54721.786085134838</v>
      </c>
    </row>
    <row r="2294" spans="1:11" x14ac:dyDescent="0.3">
      <c r="A2294" t="s">
        <v>2370</v>
      </c>
      <c r="B2294" s="2">
        <v>45778</v>
      </c>
      <c r="C2294">
        <v>2025</v>
      </c>
      <c r="D2294">
        <v>5</v>
      </c>
      <c r="E2294" t="s">
        <v>58</v>
      </c>
      <c r="F2294" t="s">
        <v>67</v>
      </c>
      <c r="G2294" t="s">
        <v>43</v>
      </c>
      <c r="H2294" s="3">
        <v>61236.992926907267</v>
      </c>
      <c r="I2294">
        <v>17</v>
      </c>
      <c r="J2294" s="3">
        <v>37345.047386137448</v>
      </c>
      <c r="K2294" s="3">
        <v>23891.945540769819</v>
      </c>
    </row>
    <row r="2295" spans="1:11" x14ac:dyDescent="0.3">
      <c r="A2295" t="s">
        <v>2371</v>
      </c>
      <c r="B2295" s="2">
        <v>45778</v>
      </c>
      <c r="C2295">
        <v>2025</v>
      </c>
      <c r="D2295">
        <v>5</v>
      </c>
      <c r="E2295" t="s">
        <v>58</v>
      </c>
      <c r="F2295" t="s">
        <v>48</v>
      </c>
      <c r="G2295" t="s">
        <v>43</v>
      </c>
      <c r="H2295" s="3">
        <v>93076.164210918199</v>
      </c>
      <c r="I2295">
        <v>27</v>
      </c>
      <c r="J2295" s="3">
        <v>54949.343054455458</v>
      </c>
      <c r="K2295" s="3">
        <v>38126.821156462727</v>
      </c>
    </row>
    <row r="2296" spans="1:11" x14ac:dyDescent="0.3">
      <c r="A2296" t="s">
        <v>2372</v>
      </c>
      <c r="B2296" s="2">
        <v>45778</v>
      </c>
      <c r="C2296">
        <v>2025</v>
      </c>
      <c r="D2296">
        <v>5</v>
      </c>
      <c r="E2296" t="s">
        <v>62</v>
      </c>
      <c r="F2296" t="s">
        <v>67</v>
      </c>
      <c r="G2296" t="s">
        <v>43</v>
      </c>
      <c r="H2296" s="3">
        <v>46009.9272659325</v>
      </c>
      <c r="I2296">
        <v>13</v>
      </c>
      <c r="J2296" s="3">
        <v>26753.88205815724</v>
      </c>
      <c r="K2296" s="3">
        <v>19256.04520777526</v>
      </c>
    </row>
    <row r="2297" spans="1:11" x14ac:dyDescent="0.3">
      <c r="A2297" t="s">
        <v>2373</v>
      </c>
      <c r="B2297" s="2">
        <v>45778</v>
      </c>
      <c r="C2297">
        <v>2025</v>
      </c>
      <c r="D2297">
        <v>5</v>
      </c>
      <c r="E2297" t="s">
        <v>62</v>
      </c>
      <c r="F2297" t="s">
        <v>48</v>
      </c>
      <c r="G2297" t="s">
        <v>43</v>
      </c>
      <c r="H2297" s="3">
        <v>67271.242445619137</v>
      </c>
      <c r="I2297">
        <v>19</v>
      </c>
      <c r="J2297" s="3">
        <v>38870.478662759408</v>
      </c>
      <c r="K2297" s="3">
        <v>28400.763782859729</v>
      </c>
    </row>
    <row r="2298" spans="1:11" x14ac:dyDescent="0.3">
      <c r="A2298" t="s">
        <v>2374</v>
      </c>
      <c r="B2298" s="2">
        <v>45809</v>
      </c>
      <c r="C2298">
        <v>2025</v>
      </c>
      <c r="D2298">
        <v>6</v>
      </c>
      <c r="E2298" t="s">
        <v>50</v>
      </c>
      <c r="F2298" t="s">
        <v>67</v>
      </c>
      <c r="G2298" t="s">
        <v>19</v>
      </c>
      <c r="H2298" s="3">
        <v>112428.9717976262</v>
      </c>
      <c r="I2298">
        <v>22</v>
      </c>
      <c r="J2298" s="3">
        <v>71073.474250538333</v>
      </c>
      <c r="K2298" s="3">
        <v>41355.497547087827</v>
      </c>
    </row>
    <row r="2299" spans="1:11" x14ac:dyDescent="0.3">
      <c r="A2299" t="s">
        <v>2375</v>
      </c>
      <c r="B2299" s="2">
        <v>45809</v>
      </c>
      <c r="C2299">
        <v>2025</v>
      </c>
      <c r="D2299">
        <v>6</v>
      </c>
      <c r="E2299" t="s">
        <v>50</v>
      </c>
      <c r="F2299" t="s">
        <v>48</v>
      </c>
      <c r="G2299" t="s">
        <v>19</v>
      </c>
      <c r="H2299" s="3">
        <v>171864.1080360981</v>
      </c>
      <c r="I2299">
        <v>33</v>
      </c>
      <c r="J2299" s="3">
        <v>105460.2141519685</v>
      </c>
      <c r="K2299" s="3">
        <v>66403.893884129575</v>
      </c>
    </row>
    <row r="2300" spans="1:11" x14ac:dyDescent="0.3">
      <c r="A2300" t="s">
        <v>2376</v>
      </c>
      <c r="B2300" s="2">
        <v>45809</v>
      </c>
      <c r="C2300">
        <v>2025</v>
      </c>
      <c r="D2300">
        <v>6</v>
      </c>
      <c r="E2300" t="s">
        <v>54</v>
      </c>
      <c r="F2300" t="s">
        <v>67</v>
      </c>
      <c r="G2300" t="s">
        <v>19</v>
      </c>
      <c r="H2300" s="3">
        <v>81193.450783398002</v>
      </c>
      <c r="I2300">
        <v>16</v>
      </c>
      <c r="J2300" s="3">
        <v>50379.653589733003</v>
      </c>
      <c r="K2300" s="3">
        <v>30813.79719366501</v>
      </c>
    </row>
    <row r="2301" spans="1:11" x14ac:dyDescent="0.3">
      <c r="A2301" t="s">
        <v>2377</v>
      </c>
      <c r="B2301" s="2">
        <v>45809</v>
      </c>
      <c r="C2301">
        <v>2025</v>
      </c>
      <c r="D2301">
        <v>6</v>
      </c>
      <c r="E2301" t="s">
        <v>54</v>
      </c>
      <c r="F2301" t="s">
        <v>48</v>
      </c>
      <c r="G2301" t="s">
        <v>19</v>
      </c>
      <c r="H2301" s="3">
        <v>133713.4214017347</v>
      </c>
      <c r="I2301">
        <v>26</v>
      </c>
      <c r="J2301" s="3">
        <v>84328.610061488711</v>
      </c>
      <c r="K2301" s="3">
        <v>49384.811340245957</v>
      </c>
    </row>
    <row r="2302" spans="1:11" x14ac:dyDescent="0.3">
      <c r="A2302" t="s">
        <v>2378</v>
      </c>
      <c r="B2302" s="2">
        <v>45809</v>
      </c>
      <c r="C2302">
        <v>2025</v>
      </c>
      <c r="D2302">
        <v>6</v>
      </c>
      <c r="E2302" t="s">
        <v>58</v>
      </c>
      <c r="F2302" t="s">
        <v>67</v>
      </c>
      <c r="G2302" t="s">
        <v>19</v>
      </c>
      <c r="H2302" s="3">
        <v>59618.695468828482</v>
      </c>
      <c r="I2302">
        <v>11</v>
      </c>
      <c r="J2302" s="3">
        <v>36641.392491147722</v>
      </c>
      <c r="K2302" s="3">
        <v>22977.30297768076</v>
      </c>
    </row>
    <row r="2303" spans="1:11" x14ac:dyDescent="0.3">
      <c r="A2303" t="s">
        <v>2379</v>
      </c>
      <c r="B2303" s="2">
        <v>45809</v>
      </c>
      <c r="C2303">
        <v>2025</v>
      </c>
      <c r="D2303">
        <v>6</v>
      </c>
      <c r="E2303" t="s">
        <v>58</v>
      </c>
      <c r="F2303" t="s">
        <v>48</v>
      </c>
      <c r="G2303" t="s">
        <v>19</v>
      </c>
      <c r="H2303" s="3">
        <v>92490.079573847644</v>
      </c>
      <c r="I2303">
        <v>18</v>
      </c>
      <c r="J2303" s="3">
        <v>57296.442090747543</v>
      </c>
      <c r="K2303" s="3">
        <v>35193.637483100109</v>
      </c>
    </row>
    <row r="2304" spans="1:11" x14ac:dyDescent="0.3">
      <c r="A2304" t="s">
        <v>2380</v>
      </c>
      <c r="B2304" s="2">
        <v>45809</v>
      </c>
      <c r="C2304">
        <v>2025</v>
      </c>
      <c r="D2304">
        <v>6</v>
      </c>
      <c r="E2304" t="s">
        <v>62</v>
      </c>
      <c r="F2304" t="s">
        <v>67</v>
      </c>
      <c r="G2304" t="s">
        <v>19</v>
      </c>
      <c r="H2304" s="3">
        <v>44301.240266820329</v>
      </c>
      <c r="I2304">
        <v>9</v>
      </c>
      <c r="J2304" s="3">
        <v>27458.57751310365</v>
      </c>
      <c r="K2304" s="3">
        <v>16842.662753716679</v>
      </c>
    </row>
    <row r="2305" spans="1:11" x14ac:dyDescent="0.3">
      <c r="A2305" t="s">
        <v>2381</v>
      </c>
      <c r="B2305" s="2">
        <v>45809</v>
      </c>
      <c r="C2305">
        <v>2025</v>
      </c>
      <c r="D2305">
        <v>6</v>
      </c>
      <c r="E2305" t="s">
        <v>62</v>
      </c>
      <c r="F2305" t="s">
        <v>48</v>
      </c>
      <c r="G2305" t="s">
        <v>19</v>
      </c>
      <c r="H2305" s="3">
        <v>69387.989903015026</v>
      </c>
      <c r="I2305">
        <v>13</v>
      </c>
      <c r="J2305" s="3">
        <v>43549.699719519384</v>
      </c>
      <c r="K2305" s="3">
        <v>25838.290183495639</v>
      </c>
    </row>
    <row r="2306" spans="1:11" x14ac:dyDescent="0.3">
      <c r="A2306" t="s">
        <v>2382</v>
      </c>
      <c r="B2306" s="2">
        <v>45809</v>
      </c>
      <c r="C2306">
        <v>2025</v>
      </c>
      <c r="D2306">
        <v>6</v>
      </c>
      <c r="E2306" t="s">
        <v>50</v>
      </c>
      <c r="F2306" t="s">
        <v>67</v>
      </c>
      <c r="G2306" t="s">
        <v>24</v>
      </c>
      <c r="H2306" s="3">
        <v>122634.9288599837</v>
      </c>
      <c r="I2306">
        <v>20</v>
      </c>
      <c r="J2306" s="3">
        <v>81799.71021555904</v>
      </c>
      <c r="K2306" s="3">
        <v>40835.218644424647</v>
      </c>
    </row>
    <row r="2307" spans="1:11" x14ac:dyDescent="0.3">
      <c r="A2307" t="s">
        <v>2383</v>
      </c>
      <c r="B2307" s="2">
        <v>45809</v>
      </c>
      <c r="C2307">
        <v>2025</v>
      </c>
      <c r="D2307">
        <v>6</v>
      </c>
      <c r="E2307" t="s">
        <v>50</v>
      </c>
      <c r="F2307" t="s">
        <v>48</v>
      </c>
      <c r="G2307" t="s">
        <v>24</v>
      </c>
      <c r="H2307" s="3">
        <v>193548.94223550311</v>
      </c>
      <c r="I2307">
        <v>32</v>
      </c>
      <c r="J2307" s="3">
        <v>127236.1808507441</v>
      </c>
      <c r="K2307" s="3">
        <v>66312.761384758924</v>
      </c>
    </row>
    <row r="2308" spans="1:11" x14ac:dyDescent="0.3">
      <c r="A2308" t="s">
        <v>2384</v>
      </c>
      <c r="B2308" s="2">
        <v>45809</v>
      </c>
      <c r="C2308">
        <v>2025</v>
      </c>
      <c r="D2308">
        <v>6</v>
      </c>
      <c r="E2308" t="s">
        <v>54</v>
      </c>
      <c r="F2308" t="s">
        <v>67</v>
      </c>
      <c r="G2308" t="s">
        <v>24</v>
      </c>
      <c r="H2308" s="3">
        <v>93702.613049669104</v>
      </c>
      <c r="I2308">
        <v>15</v>
      </c>
      <c r="J2308" s="3">
        <v>61914.577923340563</v>
      </c>
      <c r="K2308" s="3">
        <v>31788.035126328548</v>
      </c>
    </row>
    <row r="2309" spans="1:11" x14ac:dyDescent="0.3">
      <c r="A2309" t="s">
        <v>2385</v>
      </c>
      <c r="B2309" s="2">
        <v>45809</v>
      </c>
      <c r="C2309">
        <v>2025</v>
      </c>
      <c r="D2309">
        <v>6</v>
      </c>
      <c r="E2309" t="s">
        <v>54</v>
      </c>
      <c r="F2309" t="s">
        <v>48</v>
      </c>
      <c r="G2309" t="s">
        <v>24</v>
      </c>
      <c r="H2309" s="3">
        <v>159882.05316105421</v>
      </c>
      <c r="I2309">
        <v>26</v>
      </c>
      <c r="J2309" s="3">
        <v>104815.99848108309</v>
      </c>
      <c r="K2309" s="3">
        <v>55066.054679971028</v>
      </c>
    </row>
    <row r="2310" spans="1:11" x14ac:dyDescent="0.3">
      <c r="A2310" t="s">
        <v>2386</v>
      </c>
      <c r="B2310" s="2">
        <v>45809</v>
      </c>
      <c r="C2310">
        <v>2025</v>
      </c>
      <c r="D2310">
        <v>6</v>
      </c>
      <c r="E2310" t="s">
        <v>58</v>
      </c>
      <c r="F2310" t="s">
        <v>67</v>
      </c>
      <c r="G2310" t="s">
        <v>24</v>
      </c>
      <c r="H2310" s="3">
        <v>70750.35817100179</v>
      </c>
      <c r="I2310">
        <v>12</v>
      </c>
      <c r="J2310" s="3">
        <v>45453.282101374869</v>
      </c>
      <c r="K2310" s="3">
        <v>25297.076069626921</v>
      </c>
    </row>
    <row r="2311" spans="1:11" x14ac:dyDescent="0.3">
      <c r="A2311" t="s">
        <v>2387</v>
      </c>
      <c r="B2311" s="2">
        <v>45809</v>
      </c>
      <c r="C2311">
        <v>2025</v>
      </c>
      <c r="D2311">
        <v>6</v>
      </c>
      <c r="E2311" t="s">
        <v>58</v>
      </c>
      <c r="F2311" t="s">
        <v>48</v>
      </c>
      <c r="G2311" t="s">
        <v>24</v>
      </c>
      <c r="H2311" s="3">
        <v>100915.64768502989</v>
      </c>
      <c r="I2311">
        <v>17</v>
      </c>
      <c r="J2311" s="3">
        <v>66913.159445658137</v>
      </c>
      <c r="K2311" s="3">
        <v>34002.488239371771</v>
      </c>
    </row>
    <row r="2312" spans="1:11" x14ac:dyDescent="0.3">
      <c r="A2312" t="s">
        <v>2388</v>
      </c>
      <c r="B2312" s="2">
        <v>45809</v>
      </c>
      <c r="C2312">
        <v>2025</v>
      </c>
      <c r="D2312">
        <v>6</v>
      </c>
      <c r="E2312" t="s">
        <v>62</v>
      </c>
      <c r="F2312" t="s">
        <v>67</v>
      </c>
      <c r="G2312" t="s">
        <v>24</v>
      </c>
      <c r="H2312" s="3">
        <v>46912.407517893247</v>
      </c>
      <c r="I2312">
        <v>8</v>
      </c>
      <c r="J2312" s="3">
        <v>32016.744141125611</v>
      </c>
      <c r="K2312" s="3">
        <v>14895.663376767639</v>
      </c>
    </row>
    <row r="2313" spans="1:11" x14ac:dyDescent="0.3">
      <c r="A2313" t="s">
        <v>2389</v>
      </c>
      <c r="B2313" s="2">
        <v>45809</v>
      </c>
      <c r="C2313">
        <v>2025</v>
      </c>
      <c r="D2313">
        <v>6</v>
      </c>
      <c r="E2313" t="s">
        <v>62</v>
      </c>
      <c r="F2313" t="s">
        <v>48</v>
      </c>
      <c r="G2313" t="s">
        <v>24</v>
      </c>
      <c r="H2313" s="3">
        <v>79099.507109696904</v>
      </c>
      <c r="I2313">
        <v>13</v>
      </c>
      <c r="J2313" s="3">
        <v>51375.241920789384</v>
      </c>
      <c r="K2313" s="3">
        <v>27724.26518890752</v>
      </c>
    </row>
    <row r="2314" spans="1:11" x14ac:dyDescent="0.3">
      <c r="A2314" t="s">
        <v>2390</v>
      </c>
      <c r="B2314" s="2">
        <v>45809</v>
      </c>
      <c r="C2314">
        <v>2025</v>
      </c>
      <c r="D2314">
        <v>6</v>
      </c>
      <c r="E2314" t="s">
        <v>50</v>
      </c>
      <c r="F2314" t="s">
        <v>67</v>
      </c>
      <c r="G2314" t="s">
        <v>29</v>
      </c>
      <c r="H2314" s="3">
        <v>70633.996752425388</v>
      </c>
      <c r="I2314">
        <v>16</v>
      </c>
      <c r="J2314" s="3">
        <v>44576.74083101983</v>
      </c>
      <c r="K2314" s="3">
        <v>26057.255921405558</v>
      </c>
    </row>
    <row r="2315" spans="1:11" x14ac:dyDescent="0.3">
      <c r="A2315" t="s">
        <v>2391</v>
      </c>
      <c r="B2315" s="2">
        <v>45809</v>
      </c>
      <c r="C2315">
        <v>2025</v>
      </c>
      <c r="D2315">
        <v>6</v>
      </c>
      <c r="E2315" t="s">
        <v>50</v>
      </c>
      <c r="F2315" t="s">
        <v>48</v>
      </c>
      <c r="G2315" t="s">
        <v>29</v>
      </c>
      <c r="H2315" s="3">
        <v>118617.3150954889</v>
      </c>
      <c r="I2315">
        <v>28</v>
      </c>
      <c r="J2315" s="3">
        <v>74725.25700311207</v>
      </c>
      <c r="K2315" s="3">
        <v>43892.058092376777</v>
      </c>
    </row>
    <row r="2316" spans="1:11" x14ac:dyDescent="0.3">
      <c r="A2316" t="s">
        <v>2392</v>
      </c>
      <c r="B2316" s="2">
        <v>45809</v>
      </c>
      <c r="C2316">
        <v>2025</v>
      </c>
      <c r="D2316">
        <v>6</v>
      </c>
      <c r="E2316" t="s">
        <v>54</v>
      </c>
      <c r="F2316" t="s">
        <v>67</v>
      </c>
      <c r="G2316" t="s">
        <v>29</v>
      </c>
      <c r="H2316" s="3">
        <v>56931.721492183337</v>
      </c>
      <c r="I2316">
        <v>13</v>
      </c>
      <c r="J2316" s="3">
        <v>36911.527759574761</v>
      </c>
      <c r="K2316" s="3">
        <v>20020.193732608579</v>
      </c>
    </row>
    <row r="2317" spans="1:11" x14ac:dyDescent="0.3">
      <c r="A2317" t="s">
        <v>2393</v>
      </c>
      <c r="B2317" s="2">
        <v>45809</v>
      </c>
      <c r="C2317">
        <v>2025</v>
      </c>
      <c r="D2317">
        <v>6</v>
      </c>
      <c r="E2317" t="s">
        <v>54</v>
      </c>
      <c r="F2317" t="s">
        <v>48</v>
      </c>
      <c r="G2317" t="s">
        <v>29</v>
      </c>
      <c r="H2317" s="3">
        <v>99509.996097969954</v>
      </c>
      <c r="I2317">
        <v>23</v>
      </c>
      <c r="J2317" s="3">
        <v>64200.521115083167</v>
      </c>
      <c r="K2317" s="3">
        <v>35309.474982886779</v>
      </c>
    </row>
    <row r="2318" spans="1:11" x14ac:dyDescent="0.3">
      <c r="A2318" t="s">
        <v>2394</v>
      </c>
      <c r="B2318" s="2">
        <v>45809</v>
      </c>
      <c r="C2318">
        <v>2025</v>
      </c>
      <c r="D2318">
        <v>6</v>
      </c>
      <c r="E2318" t="s">
        <v>58</v>
      </c>
      <c r="F2318" t="s">
        <v>67</v>
      </c>
      <c r="G2318" t="s">
        <v>29</v>
      </c>
      <c r="H2318" s="3">
        <v>43586.915198211347</v>
      </c>
      <c r="I2318">
        <v>10</v>
      </c>
      <c r="J2318" s="3">
        <v>27816.02058049279</v>
      </c>
      <c r="K2318" s="3">
        <v>15770.894617718561</v>
      </c>
    </row>
    <row r="2319" spans="1:11" x14ac:dyDescent="0.3">
      <c r="A2319" t="s">
        <v>2395</v>
      </c>
      <c r="B2319" s="2">
        <v>45809</v>
      </c>
      <c r="C2319">
        <v>2025</v>
      </c>
      <c r="D2319">
        <v>6</v>
      </c>
      <c r="E2319" t="s">
        <v>58</v>
      </c>
      <c r="F2319" t="s">
        <v>48</v>
      </c>
      <c r="G2319" t="s">
        <v>29</v>
      </c>
      <c r="H2319" s="3">
        <v>65781.163713646718</v>
      </c>
      <c r="I2319">
        <v>15</v>
      </c>
      <c r="J2319" s="3">
        <v>41404.27084435209</v>
      </c>
      <c r="K2319" s="3">
        <v>24376.892869294628</v>
      </c>
    </row>
    <row r="2320" spans="1:11" x14ac:dyDescent="0.3">
      <c r="A2320" t="s">
        <v>2396</v>
      </c>
      <c r="B2320" s="2">
        <v>45809</v>
      </c>
      <c r="C2320">
        <v>2025</v>
      </c>
      <c r="D2320">
        <v>6</v>
      </c>
      <c r="E2320" t="s">
        <v>62</v>
      </c>
      <c r="F2320" t="s">
        <v>67</v>
      </c>
      <c r="G2320" t="s">
        <v>29</v>
      </c>
      <c r="H2320" s="3">
        <v>32368.916916377289</v>
      </c>
      <c r="I2320">
        <v>8</v>
      </c>
      <c r="J2320" s="3">
        <v>20750.553201191669</v>
      </c>
      <c r="K2320" s="3">
        <v>11618.36371518562</v>
      </c>
    </row>
    <row r="2321" spans="1:11" x14ac:dyDescent="0.3">
      <c r="A2321" t="s">
        <v>2397</v>
      </c>
      <c r="B2321" s="2">
        <v>45809</v>
      </c>
      <c r="C2321">
        <v>2025</v>
      </c>
      <c r="D2321">
        <v>6</v>
      </c>
      <c r="E2321" t="s">
        <v>62</v>
      </c>
      <c r="F2321" t="s">
        <v>48</v>
      </c>
      <c r="G2321" t="s">
        <v>29</v>
      </c>
      <c r="H2321" s="3">
        <v>47007.663544062292</v>
      </c>
      <c r="I2321">
        <v>11</v>
      </c>
      <c r="J2321" s="3">
        <v>29237.617532432101</v>
      </c>
      <c r="K2321" s="3">
        <v>17770.046011630191</v>
      </c>
    </row>
    <row r="2322" spans="1:11" x14ac:dyDescent="0.3">
      <c r="A2322" t="s">
        <v>2398</v>
      </c>
      <c r="B2322" s="2">
        <v>45809</v>
      </c>
      <c r="C2322">
        <v>2025</v>
      </c>
      <c r="D2322">
        <v>6</v>
      </c>
      <c r="E2322" t="s">
        <v>50</v>
      </c>
      <c r="F2322" t="s">
        <v>67</v>
      </c>
      <c r="G2322" t="s">
        <v>34</v>
      </c>
      <c r="H2322" s="3">
        <v>72675.261012945281</v>
      </c>
      <c r="I2322">
        <v>86</v>
      </c>
      <c r="J2322" s="3">
        <v>34974.184872111036</v>
      </c>
      <c r="K2322" s="3">
        <v>37701.076140834237</v>
      </c>
    </row>
    <row r="2323" spans="1:11" x14ac:dyDescent="0.3">
      <c r="A2323" t="s">
        <v>2399</v>
      </c>
      <c r="B2323" s="2">
        <v>45809</v>
      </c>
      <c r="C2323">
        <v>2025</v>
      </c>
      <c r="D2323">
        <v>6</v>
      </c>
      <c r="E2323" t="s">
        <v>50</v>
      </c>
      <c r="F2323" t="s">
        <v>48</v>
      </c>
      <c r="G2323" t="s">
        <v>34</v>
      </c>
      <c r="H2323" s="3">
        <v>121056.9924168513</v>
      </c>
      <c r="I2323">
        <v>142</v>
      </c>
      <c r="J2323" s="3">
        <v>59018.911965509149</v>
      </c>
      <c r="K2323" s="3">
        <v>62038.080451342103</v>
      </c>
    </row>
    <row r="2324" spans="1:11" x14ac:dyDescent="0.3">
      <c r="A2324" t="s">
        <v>2400</v>
      </c>
      <c r="B2324" s="2">
        <v>45809</v>
      </c>
      <c r="C2324">
        <v>2025</v>
      </c>
      <c r="D2324">
        <v>6</v>
      </c>
      <c r="E2324" t="s">
        <v>54</v>
      </c>
      <c r="F2324" t="s">
        <v>67</v>
      </c>
      <c r="G2324" t="s">
        <v>34</v>
      </c>
      <c r="H2324" s="3">
        <v>57185.622133140612</v>
      </c>
      <c r="I2324">
        <v>67</v>
      </c>
      <c r="J2324" s="3">
        <v>26830.90143091459</v>
      </c>
      <c r="K2324" s="3">
        <v>30354.720702226019</v>
      </c>
    </row>
    <row r="2325" spans="1:11" x14ac:dyDescent="0.3">
      <c r="A2325" t="s">
        <v>2401</v>
      </c>
      <c r="B2325" s="2">
        <v>45809</v>
      </c>
      <c r="C2325">
        <v>2025</v>
      </c>
      <c r="D2325">
        <v>6</v>
      </c>
      <c r="E2325" t="s">
        <v>54</v>
      </c>
      <c r="F2325" t="s">
        <v>48</v>
      </c>
      <c r="G2325" t="s">
        <v>34</v>
      </c>
      <c r="H2325" s="3">
        <v>97948.305268442287</v>
      </c>
      <c r="I2325">
        <v>115</v>
      </c>
      <c r="J2325" s="3">
        <v>45718.257141259899</v>
      </c>
      <c r="K2325" s="3">
        <v>52230.048127182388</v>
      </c>
    </row>
    <row r="2326" spans="1:11" x14ac:dyDescent="0.3">
      <c r="A2326" t="s">
        <v>2402</v>
      </c>
      <c r="B2326" s="2">
        <v>45809</v>
      </c>
      <c r="C2326">
        <v>2025</v>
      </c>
      <c r="D2326">
        <v>6</v>
      </c>
      <c r="E2326" t="s">
        <v>58</v>
      </c>
      <c r="F2326" t="s">
        <v>67</v>
      </c>
      <c r="G2326" t="s">
        <v>34</v>
      </c>
      <c r="H2326" s="3">
        <v>41516.845179795127</v>
      </c>
      <c r="I2326">
        <v>49</v>
      </c>
      <c r="J2326" s="3">
        <v>20494.638811855621</v>
      </c>
      <c r="K2326" s="3">
        <v>21022.2063679395</v>
      </c>
    </row>
    <row r="2327" spans="1:11" x14ac:dyDescent="0.3">
      <c r="A2327" t="s">
        <v>2403</v>
      </c>
      <c r="B2327" s="2">
        <v>45809</v>
      </c>
      <c r="C2327">
        <v>2025</v>
      </c>
      <c r="D2327">
        <v>6</v>
      </c>
      <c r="E2327" t="s">
        <v>58</v>
      </c>
      <c r="F2327" t="s">
        <v>48</v>
      </c>
      <c r="G2327" t="s">
        <v>34</v>
      </c>
      <c r="H2327" s="3">
        <v>65601.951780098767</v>
      </c>
      <c r="I2327">
        <v>77</v>
      </c>
      <c r="J2327" s="3">
        <v>31142.19096259513</v>
      </c>
      <c r="K2327" s="3">
        <v>34459.760817503629</v>
      </c>
    </row>
    <row r="2328" spans="1:11" x14ac:dyDescent="0.3">
      <c r="A2328" t="s">
        <v>2404</v>
      </c>
      <c r="B2328" s="2">
        <v>45809</v>
      </c>
      <c r="C2328">
        <v>2025</v>
      </c>
      <c r="D2328">
        <v>6</v>
      </c>
      <c r="E2328" t="s">
        <v>62</v>
      </c>
      <c r="F2328" t="s">
        <v>67</v>
      </c>
      <c r="G2328" t="s">
        <v>34</v>
      </c>
      <c r="H2328" s="3">
        <v>29176.26629492607</v>
      </c>
      <c r="I2328">
        <v>34</v>
      </c>
      <c r="J2328" s="3">
        <v>14290.960895152009</v>
      </c>
      <c r="K2328" s="3">
        <v>14885.305399774061</v>
      </c>
    </row>
    <row r="2329" spans="1:11" x14ac:dyDescent="0.3">
      <c r="A2329" t="s">
        <v>2405</v>
      </c>
      <c r="B2329" s="2">
        <v>45809</v>
      </c>
      <c r="C2329">
        <v>2025</v>
      </c>
      <c r="D2329">
        <v>6</v>
      </c>
      <c r="E2329" t="s">
        <v>62</v>
      </c>
      <c r="F2329" t="s">
        <v>48</v>
      </c>
      <c r="G2329" t="s">
        <v>34</v>
      </c>
      <c r="H2329" s="3">
        <v>50243.87565777362</v>
      </c>
      <c r="I2329">
        <v>59</v>
      </c>
      <c r="J2329" s="3">
        <v>24050.20883809029</v>
      </c>
      <c r="K2329" s="3">
        <v>26193.666819683331</v>
      </c>
    </row>
    <row r="2330" spans="1:11" x14ac:dyDescent="0.3">
      <c r="A2330" t="s">
        <v>2406</v>
      </c>
      <c r="B2330" s="2">
        <v>45809</v>
      </c>
      <c r="C2330">
        <v>2025</v>
      </c>
      <c r="D2330">
        <v>6</v>
      </c>
      <c r="E2330" t="s">
        <v>50</v>
      </c>
      <c r="F2330" t="s">
        <v>67</v>
      </c>
      <c r="G2330" t="s">
        <v>37</v>
      </c>
      <c r="H2330" s="3">
        <v>56935.991941746761</v>
      </c>
      <c r="I2330">
        <v>79</v>
      </c>
      <c r="J2330" s="3">
        <v>31223.50709225297</v>
      </c>
      <c r="K2330" s="3">
        <v>25712.484849493791</v>
      </c>
    </row>
    <row r="2331" spans="1:11" x14ac:dyDescent="0.3">
      <c r="A2331" t="s">
        <v>2407</v>
      </c>
      <c r="B2331" s="2">
        <v>45809</v>
      </c>
      <c r="C2331">
        <v>2025</v>
      </c>
      <c r="D2331">
        <v>6</v>
      </c>
      <c r="E2331" t="s">
        <v>50</v>
      </c>
      <c r="F2331" t="s">
        <v>48</v>
      </c>
      <c r="G2331" t="s">
        <v>37</v>
      </c>
      <c r="H2331" s="3">
        <v>96623.51378158413</v>
      </c>
      <c r="I2331">
        <v>134</v>
      </c>
      <c r="J2331" s="3">
        <v>53562.306237438454</v>
      </c>
      <c r="K2331" s="3">
        <v>43061.207544145676</v>
      </c>
    </row>
    <row r="2332" spans="1:11" x14ac:dyDescent="0.3">
      <c r="A2332" t="s">
        <v>2408</v>
      </c>
      <c r="B2332" s="2">
        <v>45809</v>
      </c>
      <c r="C2332">
        <v>2025</v>
      </c>
      <c r="D2332">
        <v>6</v>
      </c>
      <c r="E2332" t="s">
        <v>54</v>
      </c>
      <c r="F2332" t="s">
        <v>67</v>
      </c>
      <c r="G2332" t="s">
        <v>37</v>
      </c>
      <c r="H2332" s="3">
        <v>44880.868585438133</v>
      </c>
      <c r="I2332">
        <v>62</v>
      </c>
      <c r="J2332" s="3">
        <v>24291.698820449761</v>
      </c>
      <c r="K2332" s="3">
        <v>20589.169764988379</v>
      </c>
    </row>
    <row r="2333" spans="1:11" x14ac:dyDescent="0.3">
      <c r="A2333" t="s">
        <v>2409</v>
      </c>
      <c r="B2333" s="2">
        <v>45809</v>
      </c>
      <c r="C2333">
        <v>2025</v>
      </c>
      <c r="D2333">
        <v>6</v>
      </c>
      <c r="E2333" t="s">
        <v>54</v>
      </c>
      <c r="F2333" t="s">
        <v>48</v>
      </c>
      <c r="G2333" t="s">
        <v>37</v>
      </c>
      <c r="H2333" s="3">
        <v>78251.473729056364</v>
      </c>
      <c r="I2333">
        <v>109</v>
      </c>
      <c r="J2333" s="3">
        <v>43140.954708740908</v>
      </c>
      <c r="K2333" s="3">
        <v>35110.519020315463</v>
      </c>
    </row>
    <row r="2334" spans="1:11" x14ac:dyDescent="0.3">
      <c r="A2334" t="s">
        <v>2410</v>
      </c>
      <c r="B2334" s="2">
        <v>45809</v>
      </c>
      <c r="C2334">
        <v>2025</v>
      </c>
      <c r="D2334">
        <v>6</v>
      </c>
      <c r="E2334" t="s">
        <v>58</v>
      </c>
      <c r="F2334" t="s">
        <v>67</v>
      </c>
      <c r="G2334" t="s">
        <v>37</v>
      </c>
      <c r="H2334" s="3">
        <v>31536.460693299461</v>
      </c>
      <c r="I2334">
        <v>44</v>
      </c>
      <c r="J2334" s="3">
        <v>17225.948204553159</v>
      </c>
      <c r="K2334" s="3">
        <v>14310.512488746301</v>
      </c>
    </row>
    <row r="2335" spans="1:11" x14ac:dyDescent="0.3">
      <c r="A2335" t="s">
        <v>2411</v>
      </c>
      <c r="B2335" s="2">
        <v>45809</v>
      </c>
      <c r="C2335">
        <v>2025</v>
      </c>
      <c r="D2335">
        <v>6</v>
      </c>
      <c r="E2335" t="s">
        <v>58</v>
      </c>
      <c r="F2335" t="s">
        <v>48</v>
      </c>
      <c r="G2335" t="s">
        <v>37</v>
      </c>
      <c r="H2335" s="3">
        <v>54508.328461271172</v>
      </c>
      <c r="I2335">
        <v>76</v>
      </c>
      <c r="J2335" s="3">
        <v>29266.999539292789</v>
      </c>
      <c r="K2335" s="3">
        <v>25241.32892197838</v>
      </c>
    </row>
    <row r="2336" spans="1:11" x14ac:dyDescent="0.3">
      <c r="A2336" t="s">
        <v>2412</v>
      </c>
      <c r="B2336" s="2">
        <v>45809</v>
      </c>
      <c r="C2336">
        <v>2025</v>
      </c>
      <c r="D2336">
        <v>6</v>
      </c>
      <c r="E2336" t="s">
        <v>62</v>
      </c>
      <c r="F2336" t="s">
        <v>67</v>
      </c>
      <c r="G2336" t="s">
        <v>37</v>
      </c>
      <c r="H2336" s="3">
        <v>25195.083717927992</v>
      </c>
      <c r="I2336">
        <v>35</v>
      </c>
      <c r="J2336" s="3">
        <v>13941.47464720811</v>
      </c>
      <c r="K2336" s="3">
        <v>11253.60907071988</v>
      </c>
    </row>
    <row r="2337" spans="1:11" x14ac:dyDescent="0.3">
      <c r="A2337" t="s">
        <v>2413</v>
      </c>
      <c r="B2337" s="2">
        <v>45809</v>
      </c>
      <c r="C2337">
        <v>2025</v>
      </c>
      <c r="D2337">
        <v>6</v>
      </c>
      <c r="E2337" t="s">
        <v>62</v>
      </c>
      <c r="F2337" t="s">
        <v>48</v>
      </c>
      <c r="G2337" t="s">
        <v>37</v>
      </c>
      <c r="H2337" s="3">
        <v>38689.490897638942</v>
      </c>
      <c r="I2337">
        <v>54</v>
      </c>
      <c r="J2337" s="3">
        <v>21178.36626822636</v>
      </c>
      <c r="K2337" s="3">
        <v>17511.124629412581</v>
      </c>
    </row>
    <row r="2338" spans="1:11" x14ac:dyDescent="0.3">
      <c r="A2338" t="s">
        <v>2414</v>
      </c>
      <c r="B2338" s="2">
        <v>45809</v>
      </c>
      <c r="C2338">
        <v>2025</v>
      </c>
      <c r="D2338">
        <v>6</v>
      </c>
      <c r="E2338" t="s">
        <v>50</v>
      </c>
      <c r="F2338" t="s">
        <v>67</v>
      </c>
      <c r="G2338" t="s">
        <v>40</v>
      </c>
      <c r="H2338" s="3">
        <v>53992.679021199459</v>
      </c>
      <c r="I2338">
        <v>10</v>
      </c>
      <c r="J2338" s="3">
        <v>37149.649390413288</v>
      </c>
      <c r="K2338" s="3">
        <v>16843.029630786161</v>
      </c>
    </row>
    <row r="2339" spans="1:11" x14ac:dyDescent="0.3">
      <c r="A2339" t="s">
        <v>2415</v>
      </c>
      <c r="B2339" s="2">
        <v>45809</v>
      </c>
      <c r="C2339">
        <v>2025</v>
      </c>
      <c r="D2339">
        <v>6</v>
      </c>
      <c r="E2339" t="s">
        <v>50</v>
      </c>
      <c r="F2339" t="s">
        <v>48</v>
      </c>
      <c r="G2339" t="s">
        <v>40</v>
      </c>
      <c r="H2339" s="3">
        <v>84839.303536703097</v>
      </c>
      <c r="I2339">
        <v>16</v>
      </c>
      <c r="J2339" s="3">
        <v>57263.967832171453</v>
      </c>
      <c r="K2339" s="3">
        <v>27575.335704531641</v>
      </c>
    </row>
    <row r="2340" spans="1:11" x14ac:dyDescent="0.3">
      <c r="A2340" t="s">
        <v>2416</v>
      </c>
      <c r="B2340" s="2">
        <v>45809</v>
      </c>
      <c r="C2340">
        <v>2025</v>
      </c>
      <c r="D2340">
        <v>6</v>
      </c>
      <c r="E2340" t="s">
        <v>54</v>
      </c>
      <c r="F2340" t="s">
        <v>67</v>
      </c>
      <c r="G2340" t="s">
        <v>40</v>
      </c>
      <c r="H2340" s="3">
        <v>39774.913491233383</v>
      </c>
      <c r="I2340">
        <v>7</v>
      </c>
      <c r="J2340" s="3">
        <v>28230.849133465439</v>
      </c>
      <c r="K2340" s="3">
        <v>11544.064357767929</v>
      </c>
    </row>
    <row r="2341" spans="1:11" x14ac:dyDescent="0.3">
      <c r="A2341" t="s">
        <v>2417</v>
      </c>
      <c r="B2341" s="2">
        <v>45809</v>
      </c>
      <c r="C2341">
        <v>2025</v>
      </c>
      <c r="D2341">
        <v>6</v>
      </c>
      <c r="E2341" t="s">
        <v>54</v>
      </c>
      <c r="F2341" t="s">
        <v>48</v>
      </c>
      <c r="G2341" t="s">
        <v>40</v>
      </c>
      <c r="H2341" s="3">
        <v>67762.147792604155</v>
      </c>
      <c r="I2341">
        <v>13</v>
      </c>
      <c r="J2341" s="3">
        <v>47493.729787367389</v>
      </c>
      <c r="K2341" s="3">
        <v>20268.41800523677</v>
      </c>
    </row>
    <row r="2342" spans="1:11" x14ac:dyDescent="0.3">
      <c r="A2342" t="s">
        <v>2418</v>
      </c>
      <c r="B2342" s="2">
        <v>45809</v>
      </c>
      <c r="C2342">
        <v>2025</v>
      </c>
      <c r="D2342">
        <v>6</v>
      </c>
      <c r="E2342" t="s">
        <v>58</v>
      </c>
      <c r="F2342" t="s">
        <v>67</v>
      </c>
      <c r="G2342" t="s">
        <v>40</v>
      </c>
      <c r="H2342" s="3">
        <v>27471.94408244397</v>
      </c>
      <c r="I2342">
        <v>5</v>
      </c>
      <c r="J2342" s="3">
        <v>19284.612894672551</v>
      </c>
      <c r="K2342" s="3">
        <v>8187.3311877714223</v>
      </c>
    </row>
    <row r="2343" spans="1:11" x14ac:dyDescent="0.3">
      <c r="A2343" t="s">
        <v>2419</v>
      </c>
      <c r="B2343" s="2">
        <v>45809</v>
      </c>
      <c r="C2343">
        <v>2025</v>
      </c>
      <c r="D2343">
        <v>6</v>
      </c>
      <c r="E2343" t="s">
        <v>58</v>
      </c>
      <c r="F2343" t="s">
        <v>48</v>
      </c>
      <c r="G2343" t="s">
        <v>40</v>
      </c>
      <c r="H2343" s="3">
        <v>42924.759607990891</v>
      </c>
      <c r="I2343">
        <v>8</v>
      </c>
      <c r="J2343" s="3">
        <v>29455.243765424741</v>
      </c>
      <c r="K2343" s="3">
        <v>13469.51584256615</v>
      </c>
    </row>
    <row r="2344" spans="1:11" x14ac:dyDescent="0.3">
      <c r="A2344" t="s">
        <v>2420</v>
      </c>
      <c r="B2344" s="2">
        <v>45809</v>
      </c>
      <c r="C2344">
        <v>2025</v>
      </c>
      <c r="D2344">
        <v>6</v>
      </c>
      <c r="E2344" t="s">
        <v>62</v>
      </c>
      <c r="F2344" t="s">
        <v>67</v>
      </c>
      <c r="G2344" t="s">
        <v>40</v>
      </c>
      <c r="H2344" s="3">
        <v>20707.591837139829</v>
      </c>
      <c r="I2344">
        <v>4</v>
      </c>
      <c r="J2344" s="3">
        <v>13843.51277611045</v>
      </c>
      <c r="K2344" s="3">
        <v>6864.0790610293752</v>
      </c>
    </row>
    <row r="2345" spans="1:11" x14ac:dyDescent="0.3">
      <c r="A2345" t="s">
        <v>2421</v>
      </c>
      <c r="B2345" s="2">
        <v>45809</v>
      </c>
      <c r="C2345">
        <v>2025</v>
      </c>
      <c r="D2345">
        <v>6</v>
      </c>
      <c r="E2345" t="s">
        <v>62</v>
      </c>
      <c r="F2345" t="s">
        <v>48</v>
      </c>
      <c r="G2345" t="s">
        <v>40</v>
      </c>
      <c r="H2345" s="3">
        <v>32879.301268792253</v>
      </c>
      <c r="I2345">
        <v>6</v>
      </c>
      <c r="J2345" s="3">
        <v>23484.21301789807</v>
      </c>
      <c r="K2345" s="3">
        <v>9395.0882508941795</v>
      </c>
    </row>
    <row r="2346" spans="1:11" x14ac:dyDescent="0.3">
      <c r="A2346" t="s">
        <v>2422</v>
      </c>
      <c r="B2346" s="2">
        <v>45809</v>
      </c>
      <c r="C2346">
        <v>2025</v>
      </c>
      <c r="D2346">
        <v>6</v>
      </c>
      <c r="E2346" t="s">
        <v>50</v>
      </c>
      <c r="F2346" t="s">
        <v>67</v>
      </c>
      <c r="G2346" t="s">
        <v>43</v>
      </c>
      <c r="H2346" s="3">
        <v>113116.6492785242</v>
      </c>
      <c r="I2346">
        <v>32</v>
      </c>
      <c r="J2346" s="3">
        <v>66665.426710341766</v>
      </c>
      <c r="K2346" s="3">
        <v>46451.222568182478</v>
      </c>
    </row>
    <row r="2347" spans="1:11" x14ac:dyDescent="0.3">
      <c r="A2347" t="s">
        <v>2423</v>
      </c>
      <c r="B2347" s="2">
        <v>45809</v>
      </c>
      <c r="C2347">
        <v>2025</v>
      </c>
      <c r="D2347">
        <v>6</v>
      </c>
      <c r="E2347" t="s">
        <v>50</v>
      </c>
      <c r="F2347" t="s">
        <v>48</v>
      </c>
      <c r="G2347" t="s">
        <v>43</v>
      </c>
      <c r="H2347" s="3">
        <v>184191.5542305517</v>
      </c>
      <c r="I2347">
        <v>53</v>
      </c>
      <c r="J2347" s="3">
        <v>107208.2790027544</v>
      </c>
      <c r="K2347" s="3">
        <v>76983.27522779732</v>
      </c>
    </row>
    <row r="2348" spans="1:11" x14ac:dyDescent="0.3">
      <c r="A2348" t="s">
        <v>2424</v>
      </c>
      <c r="B2348" s="2">
        <v>45809</v>
      </c>
      <c r="C2348">
        <v>2025</v>
      </c>
      <c r="D2348">
        <v>6</v>
      </c>
      <c r="E2348" t="s">
        <v>54</v>
      </c>
      <c r="F2348" t="s">
        <v>67</v>
      </c>
      <c r="G2348" t="s">
        <v>43</v>
      </c>
      <c r="H2348" s="3">
        <v>91566.014968888965</v>
      </c>
      <c r="I2348">
        <v>26</v>
      </c>
      <c r="J2348" s="3">
        <v>54429.259636435338</v>
      </c>
      <c r="K2348" s="3">
        <v>37136.75533245362</v>
      </c>
    </row>
    <row r="2349" spans="1:11" x14ac:dyDescent="0.3">
      <c r="A2349" t="s">
        <v>2425</v>
      </c>
      <c r="B2349" s="2">
        <v>45809</v>
      </c>
      <c r="C2349">
        <v>2025</v>
      </c>
      <c r="D2349">
        <v>6</v>
      </c>
      <c r="E2349" t="s">
        <v>54</v>
      </c>
      <c r="F2349" t="s">
        <v>48</v>
      </c>
      <c r="G2349" t="s">
        <v>43</v>
      </c>
      <c r="H2349" s="3">
        <v>139674.1068661302</v>
      </c>
      <c r="I2349">
        <v>40</v>
      </c>
      <c r="J2349" s="3">
        <v>84138.958850984302</v>
      </c>
      <c r="K2349" s="3">
        <v>55535.148015145867</v>
      </c>
    </row>
    <row r="2350" spans="1:11" x14ac:dyDescent="0.3">
      <c r="A2350" t="s">
        <v>2426</v>
      </c>
      <c r="B2350" s="2">
        <v>45809</v>
      </c>
      <c r="C2350">
        <v>2025</v>
      </c>
      <c r="D2350">
        <v>6</v>
      </c>
      <c r="E2350" t="s">
        <v>58</v>
      </c>
      <c r="F2350" t="s">
        <v>67</v>
      </c>
      <c r="G2350" t="s">
        <v>43</v>
      </c>
      <c r="H2350" s="3">
        <v>63616.962747210957</v>
      </c>
      <c r="I2350">
        <v>18</v>
      </c>
      <c r="J2350" s="3">
        <v>37518.434785228521</v>
      </c>
      <c r="K2350" s="3">
        <v>26098.52796198244</v>
      </c>
    </row>
    <row r="2351" spans="1:11" x14ac:dyDescent="0.3">
      <c r="A2351" t="s">
        <v>2427</v>
      </c>
      <c r="B2351" s="2">
        <v>45809</v>
      </c>
      <c r="C2351">
        <v>2025</v>
      </c>
      <c r="D2351">
        <v>6</v>
      </c>
      <c r="E2351" t="s">
        <v>58</v>
      </c>
      <c r="F2351" t="s">
        <v>48</v>
      </c>
      <c r="G2351" t="s">
        <v>43</v>
      </c>
      <c r="H2351" s="3">
        <v>99611.294290619888</v>
      </c>
      <c r="I2351">
        <v>28</v>
      </c>
      <c r="J2351" s="3">
        <v>60123.23243167092</v>
      </c>
      <c r="K2351" s="3">
        <v>39488.061858948968</v>
      </c>
    </row>
    <row r="2352" spans="1:11" x14ac:dyDescent="0.3">
      <c r="A2352" t="s">
        <v>2428</v>
      </c>
      <c r="B2352" s="2">
        <v>45809</v>
      </c>
      <c r="C2352">
        <v>2025</v>
      </c>
      <c r="D2352">
        <v>6</v>
      </c>
      <c r="E2352" t="s">
        <v>62</v>
      </c>
      <c r="F2352" t="s">
        <v>67</v>
      </c>
      <c r="G2352" t="s">
        <v>43</v>
      </c>
      <c r="H2352" s="3">
        <v>44518.097954230761</v>
      </c>
      <c r="I2352">
        <v>13</v>
      </c>
      <c r="J2352" s="3">
        <v>26777.700886824688</v>
      </c>
      <c r="K2352" s="3">
        <v>17740.397067406069</v>
      </c>
    </row>
    <row r="2353" spans="1:11" x14ac:dyDescent="0.3">
      <c r="A2353" t="s">
        <v>2429</v>
      </c>
      <c r="B2353" s="2">
        <v>45809</v>
      </c>
      <c r="C2353">
        <v>2025</v>
      </c>
      <c r="D2353">
        <v>6</v>
      </c>
      <c r="E2353" t="s">
        <v>62</v>
      </c>
      <c r="F2353" t="s">
        <v>48</v>
      </c>
      <c r="G2353" t="s">
        <v>43</v>
      </c>
      <c r="H2353" s="3">
        <v>78471.482630422979</v>
      </c>
      <c r="I2353">
        <v>22</v>
      </c>
      <c r="J2353" s="3">
        <v>45401.154034296633</v>
      </c>
      <c r="K2353" s="3">
        <v>33070.328596126346</v>
      </c>
    </row>
    <row r="2354" spans="1:11" x14ac:dyDescent="0.3">
      <c r="A2354" t="s">
        <v>2430</v>
      </c>
      <c r="B2354" s="2">
        <v>45839</v>
      </c>
      <c r="C2354">
        <v>2025</v>
      </c>
      <c r="D2354">
        <v>7</v>
      </c>
      <c r="E2354" t="s">
        <v>50</v>
      </c>
      <c r="F2354" t="s">
        <v>67</v>
      </c>
      <c r="G2354" t="s">
        <v>19</v>
      </c>
      <c r="H2354" s="3">
        <v>106785.28263947459</v>
      </c>
      <c r="I2354">
        <v>21</v>
      </c>
      <c r="J2354" s="3">
        <v>65403.903562176827</v>
      </c>
      <c r="K2354" s="3">
        <v>41381.379077297774</v>
      </c>
    </row>
    <row r="2355" spans="1:11" x14ac:dyDescent="0.3">
      <c r="A2355" t="s">
        <v>2431</v>
      </c>
      <c r="B2355" s="2">
        <v>45839</v>
      </c>
      <c r="C2355">
        <v>2025</v>
      </c>
      <c r="D2355">
        <v>7</v>
      </c>
      <c r="E2355" t="s">
        <v>50</v>
      </c>
      <c r="F2355" t="s">
        <v>48</v>
      </c>
      <c r="G2355" t="s">
        <v>19</v>
      </c>
      <c r="H2355" s="3">
        <v>173242.04379334679</v>
      </c>
      <c r="I2355">
        <v>33</v>
      </c>
      <c r="J2355" s="3">
        <v>109261.3515100244</v>
      </c>
      <c r="K2355" s="3">
        <v>63980.692283322467</v>
      </c>
    </row>
    <row r="2356" spans="1:11" x14ac:dyDescent="0.3">
      <c r="A2356" t="s">
        <v>2432</v>
      </c>
      <c r="B2356" s="2">
        <v>45839</v>
      </c>
      <c r="C2356">
        <v>2025</v>
      </c>
      <c r="D2356">
        <v>7</v>
      </c>
      <c r="E2356" t="s">
        <v>54</v>
      </c>
      <c r="F2356" t="s">
        <v>67</v>
      </c>
      <c r="G2356" t="s">
        <v>19</v>
      </c>
      <c r="H2356" s="3">
        <v>89456.634183427232</v>
      </c>
      <c r="I2356">
        <v>17</v>
      </c>
      <c r="J2356" s="3">
        <v>52755.01431553279</v>
      </c>
      <c r="K2356" s="3">
        <v>36701.619867894442</v>
      </c>
    </row>
    <row r="2357" spans="1:11" x14ac:dyDescent="0.3">
      <c r="A2357" t="s">
        <v>2433</v>
      </c>
      <c r="B2357" s="2">
        <v>45839</v>
      </c>
      <c r="C2357">
        <v>2025</v>
      </c>
      <c r="D2357">
        <v>7</v>
      </c>
      <c r="E2357" t="s">
        <v>54</v>
      </c>
      <c r="F2357" t="s">
        <v>48</v>
      </c>
      <c r="G2357" t="s">
        <v>19</v>
      </c>
      <c r="H2357" s="3">
        <v>144122.24453032509</v>
      </c>
      <c r="I2357">
        <v>28</v>
      </c>
      <c r="J2357" s="3">
        <v>89115.406436883975</v>
      </c>
      <c r="K2357" s="3">
        <v>55006.83809344114</v>
      </c>
    </row>
    <row r="2358" spans="1:11" x14ac:dyDescent="0.3">
      <c r="A2358" t="s">
        <v>2434</v>
      </c>
      <c r="B2358" s="2">
        <v>45839</v>
      </c>
      <c r="C2358">
        <v>2025</v>
      </c>
      <c r="D2358">
        <v>7</v>
      </c>
      <c r="E2358" t="s">
        <v>58</v>
      </c>
      <c r="F2358" t="s">
        <v>67</v>
      </c>
      <c r="G2358" t="s">
        <v>19</v>
      </c>
      <c r="H2358" s="3">
        <v>66334.253805880013</v>
      </c>
      <c r="I2358">
        <v>13</v>
      </c>
      <c r="J2358" s="3">
        <v>40068.006939531122</v>
      </c>
      <c r="K2358" s="3">
        <v>26266.246866348891</v>
      </c>
    </row>
    <row r="2359" spans="1:11" x14ac:dyDescent="0.3">
      <c r="A2359" t="s">
        <v>2435</v>
      </c>
      <c r="B2359" s="2">
        <v>45839</v>
      </c>
      <c r="C2359">
        <v>2025</v>
      </c>
      <c r="D2359">
        <v>7</v>
      </c>
      <c r="E2359" t="s">
        <v>58</v>
      </c>
      <c r="F2359" t="s">
        <v>48</v>
      </c>
      <c r="G2359" t="s">
        <v>19</v>
      </c>
      <c r="H2359" s="3">
        <v>96861.484935220855</v>
      </c>
      <c r="I2359">
        <v>19</v>
      </c>
      <c r="J2359" s="3">
        <v>59538.978308977457</v>
      </c>
      <c r="K2359" s="3">
        <v>37322.506626243397</v>
      </c>
    </row>
    <row r="2360" spans="1:11" x14ac:dyDescent="0.3">
      <c r="A2360" t="s">
        <v>2436</v>
      </c>
      <c r="B2360" s="2">
        <v>45839</v>
      </c>
      <c r="C2360">
        <v>2025</v>
      </c>
      <c r="D2360">
        <v>7</v>
      </c>
      <c r="E2360" t="s">
        <v>62</v>
      </c>
      <c r="F2360" t="s">
        <v>67</v>
      </c>
      <c r="G2360" t="s">
        <v>19</v>
      </c>
      <c r="H2360" s="3">
        <v>45870.535183821237</v>
      </c>
      <c r="I2360">
        <v>9</v>
      </c>
      <c r="J2360" s="3">
        <v>28286.76127650206</v>
      </c>
      <c r="K2360" s="3">
        <v>17583.773907319181</v>
      </c>
    </row>
    <row r="2361" spans="1:11" x14ac:dyDescent="0.3">
      <c r="A2361" t="s">
        <v>2437</v>
      </c>
      <c r="B2361" s="2">
        <v>45839</v>
      </c>
      <c r="C2361">
        <v>2025</v>
      </c>
      <c r="D2361">
        <v>7</v>
      </c>
      <c r="E2361" t="s">
        <v>62</v>
      </c>
      <c r="F2361" t="s">
        <v>48</v>
      </c>
      <c r="G2361" t="s">
        <v>19</v>
      </c>
      <c r="H2361" s="3">
        <v>79693.211736822181</v>
      </c>
      <c r="I2361">
        <v>15</v>
      </c>
      <c r="J2361" s="3">
        <v>49091.177237936623</v>
      </c>
      <c r="K2361" s="3">
        <v>30602.034498885561</v>
      </c>
    </row>
    <row r="2362" spans="1:11" x14ac:dyDescent="0.3">
      <c r="A2362" t="s">
        <v>2438</v>
      </c>
      <c r="B2362" s="2">
        <v>45839</v>
      </c>
      <c r="C2362">
        <v>2025</v>
      </c>
      <c r="D2362">
        <v>7</v>
      </c>
      <c r="E2362" t="s">
        <v>50</v>
      </c>
      <c r="F2362" t="s">
        <v>67</v>
      </c>
      <c r="G2362" t="s">
        <v>24</v>
      </c>
      <c r="H2362" s="3">
        <v>125377.9401286596</v>
      </c>
      <c r="I2362">
        <v>21</v>
      </c>
      <c r="J2362" s="3">
        <v>81926.852911866619</v>
      </c>
      <c r="K2362" s="3">
        <v>43451.087216792977</v>
      </c>
    </row>
    <row r="2363" spans="1:11" x14ac:dyDescent="0.3">
      <c r="A2363" t="s">
        <v>2439</v>
      </c>
      <c r="B2363" s="2">
        <v>45839</v>
      </c>
      <c r="C2363">
        <v>2025</v>
      </c>
      <c r="D2363">
        <v>7</v>
      </c>
      <c r="E2363" t="s">
        <v>50</v>
      </c>
      <c r="F2363" t="s">
        <v>48</v>
      </c>
      <c r="G2363" t="s">
        <v>24</v>
      </c>
      <c r="H2363" s="3">
        <v>195444.11074181911</v>
      </c>
      <c r="I2363">
        <v>32</v>
      </c>
      <c r="J2363" s="3">
        <v>126445.6815419027</v>
      </c>
      <c r="K2363" s="3">
        <v>68998.429199916412</v>
      </c>
    </row>
    <row r="2364" spans="1:11" x14ac:dyDescent="0.3">
      <c r="A2364" t="s">
        <v>2440</v>
      </c>
      <c r="B2364" s="2">
        <v>45839</v>
      </c>
      <c r="C2364">
        <v>2025</v>
      </c>
      <c r="D2364">
        <v>7</v>
      </c>
      <c r="E2364" t="s">
        <v>54</v>
      </c>
      <c r="F2364" t="s">
        <v>67</v>
      </c>
      <c r="G2364" t="s">
        <v>24</v>
      </c>
      <c r="H2364" s="3">
        <v>106446.2460065935</v>
      </c>
      <c r="I2364">
        <v>17</v>
      </c>
      <c r="J2364" s="3">
        <v>73152.830728684537</v>
      </c>
      <c r="K2364" s="3">
        <v>33293.415277908993</v>
      </c>
    </row>
    <row r="2365" spans="1:11" x14ac:dyDescent="0.3">
      <c r="A2365" t="s">
        <v>2441</v>
      </c>
      <c r="B2365" s="2">
        <v>45839</v>
      </c>
      <c r="C2365">
        <v>2025</v>
      </c>
      <c r="D2365">
        <v>7</v>
      </c>
      <c r="E2365" t="s">
        <v>54</v>
      </c>
      <c r="F2365" t="s">
        <v>48</v>
      </c>
      <c r="G2365" t="s">
        <v>24</v>
      </c>
      <c r="H2365" s="3">
        <v>149937.0237566361</v>
      </c>
      <c r="I2365">
        <v>25</v>
      </c>
      <c r="J2365" s="3">
        <v>102284.8558145846</v>
      </c>
      <c r="K2365" s="3">
        <v>47652.167942051543</v>
      </c>
    </row>
    <row r="2366" spans="1:11" x14ac:dyDescent="0.3">
      <c r="A2366" t="s">
        <v>2442</v>
      </c>
      <c r="B2366" s="2">
        <v>45839</v>
      </c>
      <c r="C2366">
        <v>2025</v>
      </c>
      <c r="D2366">
        <v>7</v>
      </c>
      <c r="E2366" t="s">
        <v>58</v>
      </c>
      <c r="F2366" t="s">
        <v>67</v>
      </c>
      <c r="G2366" t="s">
        <v>24</v>
      </c>
      <c r="H2366" s="3">
        <v>68579.521062773565</v>
      </c>
      <c r="I2366">
        <v>11</v>
      </c>
      <c r="J2366" s="3">
        <v>44315.720162758997</v>
      </c>
      <c r="K2366" s="3">
        <v>24263.800900014568</v>
      </c>
    </row>
    <row r="2367" spans="1:11" x14ac:dyDescent="0.3">
      <c r="A2367" t="s">
        <v>2443</v>
      </c>
      <c r="B2367" s="2">
        <v>45839</v>
      </c>
      <c r="C2367">
        <v>2025</v>
      </c>
      <c r="D2367">
        <v>7</v>
      </c>
      <c r="E2367" t="s">
        <v>58</v>
      </c>
      <c r="F2367" t="s">
        <v>48</v>
      </c>
      <c r="G2367" t="s">
        <v>24</v>
      </c>
      <c r="H2367" s="3">
        <v>107835.5289045313</v>
      </c>
      <c r="I2367">
        <v>18</v>
      </c>
      <c r="J2367" s="3">
        <v>73198.276829377224</v>
      </c>
      <c r="K2367" s="3">
        <v>34637.252075154029</v>
      </c>
    </row>
    <row r="2368" spans="1:11" x14ac:dyDescent="0.3">
      <c r="A2368" t="s">
        <v>2444</v>
      </c>
      <c r="B2368" s="2">
        <v>45839</v>
      </c>
      <c r="C2368">
        <v>2025</v>
      </c>
      <c r="D2368">
        <v>7</v>
      </c>
      <c r="E2368" t="s">
        <v>62</v>
      </c>
      <c r="F2368" t="s">
        <v>67</v>
      </c>
      <c r="G2368" t="s">
        <v>24</v>
      </c>
      <c r="H2368" s="3">
        <v>51264.405749735663</v>
      </c>
      <c r="I2368">
        <v>8</v>
      </c>
      <c r="J2368" s="3">
        <v>33591.22486630451</v>
      </c>
      <c r="K2368" s="3">
        <v>17673.180883431149</v>
      </c>
    </row>
    <row r="2369" spans="1:11" x14ac:dyDescent="0.3">
      <c r="A2369" t="s">
        <v>2445</v>
      </c>
      <c r="B2369" s="2">
        <v>45839</v>
      </c>
      <c r="C2369">
        <v>2025</v>
      </c>
      <c r="D2369">
        <v>7</v>
      </c>
      <c r="E2369" t="s">
        <v>62</v>
      </c>
      <c r="F2369" t="s">
        <v>48</v>
      </c>
      <c r="G2369" t="s">
        <v>24</v>
      </c>
      <c r="H2369" s="3">
        <v>81142.460718290647</v>
      </c>
      <c r="I2369">
        <v>13</v>
      </c>
      <c r="J2369" s="3">
        <v>53678.557237095571</v>
      </c>
      <c r="K2369" s="3">
        <v>27463.903481195081</v>
      </c>
    </row>
    <row r="2370" spans="1:11" x14ac:dyDescent="0.3">
      <c r="A2370" t="s">
        <v>2446</v>
      </c>
      <c r="B2370" s="2">
        <v>45839</v>
      </c>
      <c r="C2370">
        <v>2025</v>
      </c>
      <c r="D2370">
        <v>7</v>
      </c>
      <c r="E2370" t="s">
        <v>50</v>
      </c>
      <c r="F2370" t="s">
        <v>67</v>
      </c>
      <c r="G2370" t="s">
        <v>29</v>
      </c>
      <c r="H2370" s="3">
        <v>83374.321346836907</v>
      </c>
      <c r="I2370">
        <v>19</v>
      </c>
      <c r="J2370" s="3">
        <v>53298.792783654993</v>
      </c>
      <c r="K2370" s="3">
        <v>30075.52856318191</v>
      </c>
    </row>
    <row r="2371" spans="1:11" x14ac:dyDescent="0.3">
      <c r="A2371" t="s">
        <v>2447</v>
      </c>
      <c r="B2371" s="2">
        <v>45839</v>
      </c>
      <c r="C2371">
        <v>2025</v>
      </c>
      <c r="D2371">
        <v>7</v>
      </c>
      <c r="E2371" t="s">
        <v>50</v>
      </c>
      <c r="F2371" t="s">
        <v>48</v>
      </c>
      <c r="G2371" t="s">
        <v>29</v>
      </c>
      <c r="H2371" s="3">
        <v>120748.7691686606</v>
      </c>
      <c r="I2371">
        <v>28</v>
      </c>
      <c r="J2371" s="3">
        <v>76361.484872705667</v>
      </c>
      <c r="K2371" s="3">
        <v>44387.284295954953</v>
      </c>
    </row>
    <row r="2372" spans="1:11" x14ac:dyDescent="0.3">
      <c r="A2372" t="s">
        <v>2448</v>
      </c>
      <c r="B2372" s="2">
        <v>45839</v>
      </c>
      <c r="C2372">
        <v>2025</v>
      </c>
      <c r="D2372">
        <v>7</v>
      </c>
      <c r="E2372" t="s">
        <v>54</v>
      </c>
      <c r="F2372" t="s">
        <v>67</v>
      </c>
      <c r="G2372" t="s">
        <v>29</v>
      </c>
      <c r="H2372" s="3">
        <v>65975.86328879463</v>
      </c>
      <c r="I2372">
        <v>15</v>
      </c>
      <c r="J2372" s="3">
        <v>42972.321553741298</v>
      </c>
      <c r="K2372" s="3">
        <v>23003.541735053332</v>
      </c>
    </row>
    <row r="2373" spans="1:11" x14ac:dyDescent="0.3">
      <c r="A2373" t="s">
        <v>2449</v>
      </c>
      <c r="B2373" s="2">
        <v>45839</v>
      </c>
      <c r="C2373">
        <v>2025</v>
      </c>
      <c r="D2373">
        <v>7</v>
      </c>
      <c r="E2373" t="s">
        <v>54</v>
      </c>
      <c r="F2373" t="s">
        <v>48</v>
      </c>
      <c r="G2373" t="s">
        <v>29</v>
      </c>
      <c r="H2373" s="3">
        <v>95735.42478984718</v>
      </c>
      <c r="I2373">
        <v>22</v>
      </c>
      <c r="J2373" s="3">
        <v>61409.50860703268</v>
      </c>
      <c r="K2373" s="3">
        <v>34325.916182814501</v>
      </c>
    </row>
    <row r="2374" spans="1:11" x14ac:dyDescent="0.3">
      <c r="A2374" t="s">
        <v>2450</v>
      </c>
      <c r="B2374" s="2">
        <v>45839</v>
      </c>
      <c r="C2374">
        <v>2025</v>
      </c>
      <c r="D2374">
        <v>7</v>
      </c>
      <c r="E2374" t="s">
        <v>58</v>
      </c>
      <c r="F2374" t="s">
        <v>67</v>
      </c>
      <c r="G2374" t="s">
        <v>29</v>
      </c>
      <c r="H2374" s="3">
        <v>42524.63007822488</v>
      </c>
      <c r="I2374">
        <v>10</v>
      </c>
      <c r="J2374" s="3">
        <v>26982.308457269239</v>
      </c>
      <c r="K2374" s="3">
        <v>15542.321620955639</v>
      </c>
    </row>
    <row r="2375" spans="1:11" x14ac:dyDescent="0.3">
      <c r="A2375" t="s">
        <v>2451</v>
      </c>
      <c r="B2375" s="2">
        <v>45839</v>
      </c>
      <c r="C2375">
        <v>2025</v>
      </c>
      <c r="D2375">
        <v>7</v>
      </c>
      <c r="E2375" t="s">
        <v>58</v>
      </c>
      <c r="F2375" t="s">
        <v>48</v>
      </c>
      <c r="G2375" t="s">
        <v>29</v>
      </c>
      <c r="H2375" s="3">
        <v>74297.936574572363</v>
      </c>
      <c r="I2375">
        <v>17</v>
      </c>
      <c r="J2375" s="3">
        <v>46434.065348510827</v>
      </c>
      <c r="K2375" s="3">
        <v>27863.871226061539</v>
      </c>
    </row>
    <row r="2376" spans="1:11" x14ac:dyDescent="0.3">
      <c r="A2376" t="s">
        <v>2452</v>
      </c>
      <c r="B2376" s="2">
        <v>45839</v>
      </c>
      <c r="C2376">
        <v>2025</v>
      </c>
      <c r="D2376">
        <v>7</v>
      </c>
      <c r="E2376" t="s">
        <v>62</v>
      </c>
      <c r="F2376" t="s">
        <v>67</v>
      </c>
      <c r="G2376" t="s">
        <v>29</v>
      </c>
      <c r="H2376" s="3">
        <v>30831.68649761039</v>
      </c>
      <c r="I2376">
        <v>7</v>
      </c>
      <c r="J2376" s="3">
        <v>19414.891362477891</v>
      </c>
      <c r="K2376" s="3">
        <v>11416.795135132499</v>
      </c>
    </row>
    <row r="2377" spans="1:11" x14ac:dyDescent="0.3">
      <c r="A2377" t="s">
        <v>2453</v>
      </c>
      <c r="B2377" s="2">
        <v>45839</v>
      </c>
      <c r="C2377">
        <v>2025</v>
      </c>
      <c r="D2377">
        <v>7</v>
      </c>
      <c r="E2377" t="s">
        <v>62</v>
      </c>
      <c r="F2377" t="s">
        <v>48</v>
      </c>
      <c r="G2377" t="s">
        <v>29</v>
      </c>
      <c r="H2377" s="3">
        <v>56386.760961947439</v>
      </c>
      <c r="I2377">
        <v>13</v>
      </c>
      <c r="J2377" s="3">
        <v>35021.326728881118</v>
      </c>
      <c r="K2377" s="3">
        <v>21365.43423306632</v>
      </c>
    </row>
    <row r="2378" spans="1:11" x14ac:dyDescent="0.3">
      <c r="A2378" t="s">
        <v>2454</v>
      </c>
      <c r="B2378" s="2">
        <v>45839</v>
      </c>
      <c r="C2378">
        <v>2025</v>
      </c>
      <c r="D2378">
        <v>7</v>
      </c>
      <c r="E2378" t="s">
        <v>50</v>
      </c>
      <c r="F2378" t="s">
        <v>67</v>
      </c>
      <c r="G2378" t="s">
        <v>34</v>
      </c>
      <c r="H2378" s="3">
        <v>75085.474711460571</v>
      </c>
      <c r="I2378">
        <v>88</v>
      </c>
      <c r="J2378" s="3">
        <v>36048.957747983033</v>
      </c>
      <c r="K2378" s="3">
        <v>39036.516963477538</v>
      </c>
    </row>
    <row r="2379" spans="1:11" x14ac:dyDescent="0.3">
      <c r="A2379" t="s">
        <v>2455</v>
      </c>
      <c r="B2379" s="2">
        <v>45839</v>
      </c>
      <c r="C2379">
        <v>2025</v>
      </c>
      <c r="D2379">
        <v>7</v>
      </c>
      <c r="E2379" t="s">
        <v>50</v>
      </c>
      <c r="F2379" t="s">
        <v>48</v>
      </c>
      <c r="G2379" t="s">
        <v>34</v>
      </c>
      <c r="H2379" s="3">
        <v>124549.05848822869</v>
      </c>
      <c r="I2379">
        <v>147</v>
      </c>
      <c r="J2379" s="3">
        <v>58495.811604975177</v>
      </c>
      <c r="K2379" s="3">
        <v>66053.246883253509</v>
      </c>
    </row>
    <row r="2380" spans="1:11" x14ac:dyDescent="0.3">
      <c r="A2380" t="s">
        <v>2456</v>
      </c>
      <c r="B2380" s="2">
        <v>45839</v>
      </c>
      <c r="C2380">
        <v>2025</v>
      </c>
      <c r="D2380">
        <v>7</v>
      </c>
      <c r="E2380" t="s">
        <v>54</v>
      </c>
      <c r="F2380" t="s">
        <v>67</v>
      </c>
      <c r="G2380" t="s">
        <v>34</v>
      </c>
      <c r="H2380" s="3">
        <v>64905.488669875427</v>
      </c>
      <c r="I2380">
        <v>76</v>
      </c>
      <c r="J2380" s="3">
        <v>31005.71262855337</v>
      </c>
      <c r="K2380" s="3">
        <v>33899.77604132206</v>
      </c>
    </row>
    <row r="2381" spans="1:11" x14ac:dyDescent="0.3">
      <c r="A2381" t="s">
        <v>2457</v>
      </c>
      <c r="B2381" s="2">
        <v>45839</v>
      </c>
      <c r="C2381">
        <v>2025</v>
      </c>
      <c r="D2381">
        <v>7</v>
      </c>
      <c r="E2381" t="s">
        <v>54</v>
      </c>
      <c r="F2381" t="s">
        <v>48</v>
      </c>
      <c r="G2381" t="s">
        <v>34</v>
      </c>
      <c r="H2381" s="3">
        <v>91752.855855274945</v>
      </c>
      <c r="I2381">
        <v>108</v>
      </c>
      <c r="J2381" s="3">
        <v>45127.511758626897</v>
      </c>
      <c r="K2381" s="3">
        <v>46625.344096648048</v>
      </c>
    </row>
    <row r="2382" spans="1:11" x14ac:dyDescent="0.3">
      <c r="A2382" t="s">
        <v>2458</v>
      </c>
      <c r="B2382" s="2">
        <v>45839</v>
      </c>
      <c r="C2382">
        <v>2025</v>
      </c>
      <c r="D2382">
        <v>7</v>
      </c>
      <c r="E2382" t="s">
        <v>58</v>
      </c>
      <c r="F2382" t="s">
        <v>67</v>
      </c>
      <c r="G2382" t="s">
        <v>34</v>
      </c>
      <c r="H2382" s="3">
        <v>39004.847481716482</v>
      </c>
      <c r="I2382">
        <v>46</v>
      </c>
      <c r="J2382" s="3">
        <v>19126.493004670541</v>
      </c>
      <c r="K2382" s="3">
        <v>19878.35447704593</v>
      </c>
    </row>
    <row r="2383" spans="1:11" x14ac:dyDescent="0.3">
      <c r="A2383" t="s">
        <v>2459</v>
      </c>
      <c r="B2383" s="2">
        <v>45839</v>
      </c>
      <c r="C2383">
        <v>2025</v>
      </c>
      <c r="D2383">
        <v>7</v>
      </c>
      <c r="E2383" t="s">
        <v>58</v>
      </c>
      <c r="F2383" t="s">
        <v>48</v>
      </c>
      <c r="G2383" t="s">
        <v>34</v>
      </c>
      <c r="H2383" s="3">
        <v>66666.016615875691</v>
      </c>
      <c r="I2383">
        <v>78</v>
      </c>
      <c r="J2383" s="3">
        <v>31981.096665898429</v>
      </c>
      <c r="K2383" s="3">
        <v>34684.919949977273</v>
      </c>
    </row>
    <row r="2384" spans="1:11" x14ac:dyDescent="0.3">
      <c r="A2384" t="s">
        <v>2460</v>
      </c>
      <c r="B2384" s="2">
        <v>45839</v>
      </c>
      <c r="C2384">
        <v>2025</v>
      </c>
      <c r="D2384">
        <v>7</v>
      </c>
      <c r="E2384" t="s">
        <v>62</v>
      </c>
      <c r="F2384" t="s">
        <v>67</v>
      </c>
      <c r="G2384" t="s">
        <v>34</v>
      </c>
      <c r="H2384" s="3">
        <v>35171.468398739024</v>
      </c>
      <c r="I2384">
        <v>41</v>
      </c>
      <c r="J2384" s="3">
        <v>16855.841395322401</v>
      </c>
      <c r="K2384" s="3">
        <v>18315.627003416619</v>
      </c>
    </row>
    <row r="2385" spans="1:11" x14ac:dyDescent="0.3">
      <c r="A2385" t="s">
        <v>2461</v>
      </c>
      <c r="B2385" s="2">
        <v>45839</v>
      </c>
      <c r="C2385">
        <v>2025</v>
      </c>
      <c r="D2385">
        <v>7</v>
      </c>
      <c r="E2385" t="s">
        <v>62</v>
      </c>
      <c r="F2385" t="s">
        <v>48</v>
      </c>
      <c r="G2385" t="s">
        <v>34</v>
      </c>
      <c r="H2385" s="3">
        <v>49693.818663840117</v>
      </c>
      <c r="I2385">
        <v>58</v>
      </c>
      <c r="J2385" s="3">
        <v>24660.165731181431</v>
      </c>
      <c r="K2385" s="3">
        <v>25033.65293265869</v>
      </c>
    </row>
    <row r="2386" spans="1:11" x14ac:dyDescent="0.3">
      <c r="A2386" t="s">
        <v>2462</v>
      </c>
      <c r="B2386" s="2">
        <v>45839</v>
      </c>
      <c r="C2386">
        <v>2025</v>
      </c>
      <c r="D2386">
        <v>7</v>
      </c>
      <c r="E2386" t="s">
        <v>50</v>
      </c>
      <c r="F2386" t="s">
        <v>67</v>
      </c>
      <c r="G2386" t="s">
        <v>37</v>
      </c>
      <c r="H2386" s="3">
        <v>66649.79664601793</v>
      </c>
      <c r="I2386">
        <v>93</v>
      </c>
      <c r="J2386" s="3">
        <v>37001.000221598217</v>
      </c>
      <c r="K2386" s="3">
        <v>29648.79642441971</v>
      </c>
    </row>
    <row r="2387" spans="1:11" x14ac:dyDescent="0.3">
      <c r="A2387" t="s">
        <v>2463</v>
      </c>
      <c r="B2387" s="2">
        <v>45839</v>
      </c>
      <c r="C2387">
        <v>2025</v>
      </c>
      <c r="D2387">
        <v>7</v>
      </c>
      <c r="E2387" t="s">
        <v>50</v>
      </c>
      <c r="F2387" t="s">
        <v>48</v>
      </c>
      <c r="G2387" t="s">
        <v>37</v>
      </c>
      <c r="H2387" s="3">
        <v>97867.987680624938</v>
      </c>
      <c r="I2387">
        <v>136</v>
      </c>
      <c r="J2387" s="3">
        <v>53509.783814433147</v>
      </c>
      <c r="K2387" s="3">
        <v>44358.203866191783</v>
      </c>
    </row>
    <row r="2388" spans="1:11" x14ac:dyDescent="0.3">
      <c r="A2388" t="s">
        <v>2464</v>
      </c>
      <c r="B2388" s="2">
        <v>45839</v>
      </c>
      <c r="C2388">
        <v>2025</v>
      </c>
      <c r="D2388">
        <v>7</v>
      </c>
      <c r="E2388" t="s">
        <v>54</v>
      </c>
      <c r="F2388" t="s">
        <v>67</v>
      </c>
      <c r="G2388" t="s">
        <v>37</v>
      </c>
      <c r="H2388" s="3">
        <v>47090.674842697663</v>
      </c>
      <c r="I2388">
        <v>65</v>
      </c>
      <c r="J2388" s="3">
        <v>25235.064824299869</v>
      </c>
      <c r="K2388" s="3">
        <v>21855.61001839778</v>
      </c>
    </row>
    <row r="2389" spans="1:11" x14ac:dyDescent="0.3">
      <c r="A2389" t="s">
        <v>2465</v>
      </c>
      <c r="B2389" s="2">
        <v>45839</v>
      </c>
      <c r="C2389">
        <v>2025</v>
      </c>
      <c r="D2389">
        <v>7</v>
      </c>
      <c r="E2389" t="s">
        <v>54</v>
      </c>
      <c r="F2389" t="s">
        <v>48</v>
      </c>
      <c r="G2389" t="s">
        <v>37</v>
      </c>
      <c r="H2389" s="3">
        <v>77580.042672475989</v>
      </c>
      <c r="I2389">
        <v>108</v>
      </c>
      <c r="J2389" s="3">
        <v>42971.534810482182</v>
      </c>
      <c r="K2389" s="3">
        <v>34608.507861993807</v>
      </c>
    </row>
    <row r="2390" spans="1:11" x14ac:dyDescent="0.3">
      <c r="A2390" t="s">
        <v>2466</v>
      </c>
      <c r="B2390" s="2">
        <v>45839</v>
      </c>
      <c r="C2390">
        <v>2025</v>
      </c>
      <c r="D2390">
        <v>7</v>
      </c>
      <c r="E2390" t="s">
        <v>58</v>
      </c>
      <c r="F2390" t="s">
        <v>67</v>
      </c>
      <c r="G2390" t="s">
        <v>37</v>
      </c>
      <c r="H2390" s="3">
        <v>37776.770918423957</v>
      </c>
      <c r="I2390">
        <v>52</v>
      </c>
      <c r="J2390" s="3">
        <v>21087.38282945643</v>
      </c>
      <c r="K2390" s="3">
        <v>16689.388088967531</v>
      </c>
    </row>
    <row r="2391" spans="1:11" x14ac:dyDescent="0.3">
      <c r="A2391" t="s">
        <v>2467</v>
      </c>
      <c r="B2391" s="2">
        <v>45839</v>
      </c>
      <c r="C2391">
        <v>2025</v>
      </c>
      <c r="D2391">
        <v>7</v>
      </c>
      <c r="E2391" t="s">
        <v>58</v>
      </c>
      <c r="F2391" t="s">
        <v>48</v>
      </c>
      <c r="G2391" t="s">
        <v>37</v>
      </c>
      <c r="H2391" s="3">
        <v>54299.88790160502</v>
      </c>
      <c r="I2391">
        <v>75</v>
      </c>
      <c r="J2391" s="3">
        <v>29525.382136840472</v>
      </c>
      <c r="K2391" s="3">
        <v>24774.505764764552</v>
      </c>
    </row>
    <row r="2392" spans="1:11" x14ac:dyDescent="0.3">
      <c r="A2392" t="s">
        <v>2468</v>
      </c>
      <c r="B2392" s="2">
        <v>45839</v>
      </c>
      <c r="C2392">
        <v>2025</v>
      </c>
      <c r="D2392">
        <v>7</v>
      </c>
      <c r="E2392" t="s">
        <v>62</v>
      </c>
      <c r="F2392" t="s">
        <v>67</v>
      </c>
      <c r="G2392" t="s">
        <v>37</v>
      </c>
      <c r="H2392" s="3">
        <v>25100.267775794931</v>
      </c>
      <c r="I2392">
        <v>35</v>
      </c>
      <c r="J2392" s="3">
        <v>13877.50902128425</v>
      </c>
      <c r="K2392" s="3">
        <v>11222.75875451068</v>
      </c>
    </row>
    <row r="2393" spans="1:11" x14ac:dyDescent="0.3">
      <c r="A2393" t="s">
        <v>2469</v>
      </c>
      <c r="B2393" s="2">
        <v>45839</v>
      </c>
      <c r="C2393">
        <v>2025</v>
      </c>
      <c r="D2393">
        <v>7</v>
      </c>
      <c r="E2393" t="s">
        <v>62</v>
      </c>
      <c r="F2393" t="s">
        <v>48</v>
      </c>
      <c r="G2393" t="s">
        <v>37</v>
      </c>
      <c r="H2393" s="3">
        <v>42409.360470315893</v>
      </c>
      <c r="I2393">
        <v>59</v>
      </c>
      <c r="J2393" s="3">
        <v>23172.501040551571</v>
      </c>
      <c r="K2393" s="3">
        <v>19236.859429764321</v>
      </c>
    </row>
    <row r="2394" spans="1:11" x14ac:dyDescent="0.3">
      <c r="A2394" t="s">
        <v>2470</v>
      </c>
      <c r="B2394" s="2">
        <v>45839</v>
      </c>
      <c r="C2394">
        <v>2025</v>
      </c>
      <c r="D2394">
        <v>7</v>
      </c>
      <c r="E2394" t="s">
        <v>50</v>
      </c>
      <c r="F2394" t="s">
        <v>67</v>
      </c>
      <c r="G2394" t="s">
        <v>40</v>
      </c>
      <c r="H2394" s="3">
        <v>55971.617939294323</v>
      </c>
      <c r="I2394">
        <v>10</v>
      </c>
      <c r="J2394" s="3">
        <v>38492.483036198762</v>
      </c>
      <c r="K2394" s="3">
        <v>17479.13490309555</v>
      </c>
    </row>
    <row r="2395" spans="1:11" x14ac:dyDescent="0.3">
      <c r="A2395" t="s">
        <v>2471</v>
      </c>
      <c r="B2395" s="2">
        <v>45839</v>
      </c>
      <c r="C2395">
        <v>2025</v>
      </c>
      <c r="D2395">
        <v>7</v>
      </c>
      <c r="E2395" t="s">
        <v>50</v>
      </c>
      <c r="F2395" t="s">
        <v>48</v>
      </c>
      <c r="G2395" t="s">
        <v>40</v>
      </c>
      <c r="H2395" s="3">
        <v>91332.605695212435</v>
      </c>
      <c r="I2395">
        <v>17</v>
      </c>
      <c r="J2395" s="3">
        <v>60197.434583588532</v>
      </c>
      <c r="K2395" s="3">
        <v>31135.171111623909</v>
      </c>
    </row>
    <row r="2396" spans="1:11" x14ac:dyDescent="0.3">
      <c r="A2396" t="s">
        <v>2472</v>
      </c>
      <c r="B2396" s="2">
        <v>45839</v>
      </c>
      <c r="C2396">
        <v>2025</v>
      </c>
      <c r="D2396">
        <v>7</v>
      </c>
      <c r="E2396" t="s">
        <v>54</v>
      </c>
      <c r="F2396" t="s">
        <v>67</v>
      </c>
      <c r="G2396" t="s">
        <v>40</v>
      </c>
      <c r="H2396" s="3">
        <v>49960.047507447547</v>
      </c>
      <c r="I2396">
        <v>9</v>
      </c>
      <c r="J2396" s="3">
        <v>34334.816578571998</v>
      </c>
      <c r="K2396" s="3">
        <v>15625.23092887555</v>
      </c>
    </row>
    <row r="2397" spans="1:11" x14ac:dyDescent="0.3">
      <c r="A2397" t="s">
        <v>2473</v>
      </c>
      <c r="B2397" s="2">
        <v>45839</v>
      </c>
      <c r="C2397">
        <v>2025</v>
      </c>
      <c r="D2397">
        <v>7</v>
      </c>
      <c r="E2397" t="s">
        <v>54</v>
      </c>
      <c r="F2397" t="s">
        <v>48</v>
      </c>
      <c r="G2397" t="s">
        <v>40</v>
      </c>
      <c r="H2397" s="3">
        <v>72397.360044426969</v>
      </c>
      <c r="I2397">
        <v>13</v>
      </c>
      <c r="J2397" s="3">
        <v>50825.81127841305</v>
      </c>
      <c r="K2397" s="3">
        <v>21571.548766013919</v>
      </c>
    </row>
    <row r="2398" spans="1:11" x14ac:dyDescent="0.3">
      <c r="A2398" t="s">
        <v>2474</v>
      </c>
      <c r="B2398" s="2">
        <v>45839</v>
      </c>
      <c r="C2398">
        <v>2025</v>
      </c>
      <c r="D2398">
        <v>7</v>
      </c>
      <c r="E2398" t="s">
        <v>58</v>
      </c>
      <c r="F2398" t="s">
        <v>67</v>
      </c>
      <c r="G2398" t="s">
        <v>40</v>
      </c>
      <c r="H2398" s="3">
        <v>33597.301637216617</v>
      </c>
      <c r="I2398">
        <v>6</v>
      </c>
      <c r="J2398" s="3">
        <v>22918.667427025091</v>
      </c>
      <c r="K2398" s="3">
        <v>10678.63421019154</v>
      </c>
    </row>
    <row r="2399" spans="1:11" x14ac:dyDescent="0.3">
      <c r="A2399" t="s">
        <v>2475</v>
      </c>
      <c r="B2399" s="2">
        <v>45839</v>
      </c>
      <c r="C2399">
        <v>2025</v>
      </c>
      <c r="D2399">
        <v>7</v>
      </c>
      <c r="E2399" t="s">
        <v>58</v>
      </c>
      <c r="F2399" t="s">
        <v>48</v>
      </c>
      <c r="G2399" t="s">
        <v>40</v>
      </c>
      <c r="H2399" s="3">
        <v>52280.326057496903</v>
      </c>
      <c r="I2399">
        <v>10</v>
      </c>
      <c r="J2399" s="3">
        <v>36107.531487731707</v>
      </c>
      <c r="K2399" s="3">
        <v>16172.794569765179</v>
      </c>
    </row>
    <row r="2400" spans="1:11" x14ac:dyDescent="0.3">
      <c r="A2400" t="s">
        <v>2476</v>
      </c>
      <c r="B2400" s="2">
        <v>45839</v>
      </c>
      <c r="C2400">
        <v>2025</v>
      </c>
      <c r="D2400">
        <v>7</v>
      </c>
      <c r="E2400" t="s">
        <v>62</v>
      </c>
      <c r="F2400" t="s">
        <v>67</v>
      </c>
      <c r="G2400" t="s">
        <v>40</v>
      </c>
      <c r="H2400" s="3">
        <v>24509.410040253289</v>
      </c>
      <c r="I2400">
        <v>5</v>
      </c>
      <c r="J2400" s="3">
        <v>16681.376337235371</v>
      </c>
      <c r="K2400" s="3">
        <v>7828.0337030179217</v>
      </c>
    </row>
    <row r="2401" spans="1:11" x14ac:dyDescent="0.3">
      <c r="A2401" t="s">
        <v>2477</v>
      </c>
      <c r="B2401" s="2">
        <v>45839</v>
      </c>
      <c r="C2401">
        <v>2025</v>
      </c>
      <c r="D2401">
        <v>7</v>
      </c>
      <c r="E2401" t="s">
        <v>62</v>
      </c>
      <c r="F2401" t="s">
        <v>48</v>
      </c>
      <c r="G2401" t="s">
        <v>40</v>
      </c>
      <c r="H2401" s="3">
        <v>39043.64888376731</v>
      </c>
      <c r="I2401">
        <v>7</v>
      </c>
      <c r="J2401" s="3">
        <v>27114.903871292401</v>
      </c>
      <c r="K2401" s="3">
        <v>11928.745012474899</v>
      </c>
    </row>
    <row r="2402" spans="1:11" x14ac:dyDescent="0.3">
      <c r="A2402" t="s">
        <v>2478</v>
      </c>
      <c r="B2402" s="2">
        <v>45839</v>
      </c>
      <c r="C2402">
        <v>2025</v>
      </c>
      <c r="D2402">
        <v>7</v>
      </c>
      <c r="E2402" t="s">
        <v>50</v>
      </c>
      <c r="F2402" t="s">
        <v>67</v>
      </c>
      <c r="G2402" t="s">
        <v>43</v>
      </c>
      <c r="H2402" s="3">
        <v>106166.7742415495</v>
      </c>
      <c r="I2402">
        <v>30</v>
      </c>
      <c r="J2402" s="3">
        <v>62394.268815158277</v>
      </c>
      <c r="K2402" s="3">
        <v>43772.505426391268</v>
      </c>
    </row>
    <row r="2403" spans="1:11" x14ac:dyDescent="0.3">
      <c r="A2403" t="s">
        <v>2479</v>
      </c>
      <c r="B2403" s="2">
        <v>45839</v>
      </c>
      <c r="C2403">
        <v>2025</v>
      </c>
      <c r="D2403">
        <v>7</v>
      </c>
      <c r="E2403" t="s">
        <v>50</v>
      </c>
      <c r="F2403" t="s">
        <v>48</v>
      </c>
      <c r="G2403" t="s">
        <v>43</v>
      </c>
      <c r="H2403" s="3">
        <v>172815.0322856204</v>
      </c>
      <c r="I2403">
        <v>49</v>
      </c>
      <c r="J2403" s="3">
        <v>100237.0831412968</v>
      </c>
      <c r="K2403" s="3">
        <v>72577.949144323647</v>
      </c>
    </row>
    <row r="2404" spans="1:11" x14ac:dyDescent="0.3">
      <c r="A2404" t="s">
        <v>2480</v>
      </c>
      <c r="B2404" s="2">
        <v>45839</v>
      </c>
      <c r="C2404">
        <v>2025</v>
      </c>
      <c r="D2404">
        <v>7</v>
      </c>
      <c r="E2404" t="s">
        <v>54</v>
      </c>
      <c r="F2404" t="s">
        <v>67</v>
      </c>
      <c r="G2404" t="s">
        <v>43</v>
      </c>
      <c r="H2404" s="3">
        <v>91436.306295222515</v>
      </c>
      <c r="I2404">
        <v>26</v>
      </c>
      <c r="J2404" s="3">
        <v>55241.399577871038</v>
      </c>
      <c r="K2404" s="3">
        <v>36194.906717351478</v>
      </c>
    </row>
    <row r="2405" spans="1:11" x14ac:dyDescent="0.3">
      <c r="A2405" t="s">
        <v>2481</v>
      </c>
      <c r="B2405" s="2">
        <v>45839</v>
      </c>
      <c r="C2405">
        <v>2025</v>
      </c>
      <c r="D2405">
        <v>7</v>
      </c>
      <c r="E2405" t="s">
        <v>54</v>
      </c>
      <c r="F2405" t="s">
        <v>48</v>
      </c>
      <c r="G2405" t="s">
        <v>43</v>
      </c>
      <c r="H2405" s="3">
        <v>157211.11324074009</v>
      </c>
      <c r="I2405">
        <v>45</v>
      </c>
      <c r="J2405" s="3">
        <v>94305.485002063186</v>
      </c>
      <c r="K2405" s="3">
        <v>62905.62823867696</v>
      </c>
    </row>
    <row r="2406" spans="1:11" x14ac:dyDescent="0.3">
      <c r="A2406" t="s">
        <v>2482</v>
      </c>
      <c r="B2406" s="2">
        <v>45839</v>
      </c>
      <c r="C2406">
        <v>2025</v>
      </c>
      <c r="D2406">
        <v>7</v>
      </c>
      <c r="E2406" t="s">
        <v>58</v>
      </c>
      <c r="F2406" t="s">
        <v>67</v>
      </c>
      <c r="G2406" t="s">
        <v>43</v>
      </c>
      <c r="H2406" s="3">
        <v>65823.835525789662</v>
      </c>
      <c r="I2406">
        <v>19</v>
      </c>
      <c r="J2406" s="3">
        <v>38413.203411174349</v>
      </c>
      <c r="K2406" s="3">
        <v>27410.63211461531</v>
      </c>
    </row>
    <row r="2407" spans="1:11" x14ac:dyDescent="0.3">
      <c r="A2407" t="s">
        <v>2483</v>
      </c>
      <c r="B2407" s="2">
        <v>45839</v>
      </c>
      <c r="C2407">
        <v>2025</v>
      </c>
      <c r="D2407">
        <v>7</v>
      </c>
      <c r="E2407" t="s">
        <v>58</v>
      </c>
      <c r="F2407" t="s">
        <v>48</v>
      </c>
      <c r="G2407" t="s">
        <v>43</v>
      </c>
      <c r="H2407" s="3">
        <v>106520.1287282331</v>
      </c>
      <c r="I2407">
        <v>30</v>
      </c>
      <c r="J2407" s="3">
        <v>63409.995872018597</v>
      </c>
      <c r="K2407" s="3">
        <v>43110.132856214543</v>
      </c>
    </row>
    <row r="2408" spans="1:11" x14ac:dyDescent="0.3">
      <c r="A2408" t="s">
        <v>2484</v>
      </c>
      <c r="B2408" s="2">
        <v>45839</v>
      </c>
      <c r="C2408">
        <v>2025</v>
      </c>
      <c r="D2408">
        <v>7</v>
      </c>
      <c r="E2408" t="s">
        <v>62</v>
      </c>
      <c r="F2408" t="s">
        <v>67</v>
      </c>
      <c r="G2408" t="s">
        <v>43</v>
      </c>
      <c r="H2408" s="3">
        <v>55311.30964710594</v>
      </c>
      <c r="I2408">
        <v>16</v>
      </c>
      <c r="J2408" s="3">
        <v>32949.351785004757</v>
      </c>
      <c r="K2408" s="3">
        <v>22361.957862101179</v>
      </c>
    </row>
    <row r="2409" spans="1:11" x14ac:dyDescent="0.3">
      <c r="A2409" t="s">
        <v>2485</v>
      </c>
      <c r="B2409" s="2">
        <v>45839</v>
      </c>
      <c r="C2409">
        <v>2025</v>
      </c>
      <c r="D2409">
        <v>7</v>
      </c>
      <c r="E2409" t="s">
        <v>62</v>
      </c>
      <c r="F2409" t="s">
        <v>48</v>
      </c>
      <c r="G2409" t="s">
        <v>43</v>
      </c>
      <c r="H2409" s="3">
        <v>80058.113851080489</v>
      </c>
      <c r="I2409">
        <v>23</v>
      </c>
      <c r="J2409" s="3">
        <v>47780.382709877158</v>
      </c>
      <c r="K2409" s="3">
        <v>32277.73114120333</v>
      </c>
    </row>
    <row r="2410" spans="1:11" x14ac:dyDescent="0.3">
      <c r="A2410" t="s">
        <v>2486</v>
      </c>
      <c r="B2410" s="2">
        <v>45870</v>
      </c>
      <c r="C2410">
        <v>2025</v>
      </c>
      <c r="D2410">
        <v>8</v>
      </c>
      <c r="E2410" t="s">
        <v>50</v>
      </c>
      <c r="F2410" t="s">
        <v>67</v>
      </c>
      <c r="G2410" t="s">
        <v>19</v>
      </c>
      <c r="H2410" s="3">
        <v>98877.944414255631</v>
      </c>
      <c r="I2410">
        <v>19</v>
      </c>
      <c r="J2410" s="3">
        <v>59434.751667004268</v>
      </c>
      <c r="K2410" s="3">
        <v>39443.192747251363</v>
      </c>
    </row>
    <row r="2411" spans="1:11" x14ac:dyDescent="0.3">
      <c r="A2411" t="s">
        <v>2487</v>
      </c>
      <c r="B2411" s="2">
        <v>45870</v>
      </c>
      <c r="C2411">
        <v>2025</v>
      </c>
      <c r="D2411">
        <v>8</v>
      </c>
      <c r="E2411" t="s">
        <v>50</v>
      </c>
      <c r="F2411" t="s">
        <v>48</v>
      </c>
      <c r="G2411" t="s">
        <v>19</v>
      </c>
      <c r="H2411" s="3">
        <v>162548.2337005015</v>
      </c>
      <c r="I2411">
        <v>31</v>
      </c>
      <c r="J2411" s="3">
        <v>102605.9277007936</v>
      </c>
      <c r="K2411" s="3">
        <v>59942.305999707904</v>
      </c>
    </row>
    <row r="2412" spans="1:11" x14ac:dyDescent="0.3">
      <c r="A2412" t="s">
        <v>2488</v>
      </c>
      <c r="B2412" s="2">
        <v>45870</v>
      </c>
      <c r="C2412">
        <v>2025</v>
      </c>
      <c r="D2412">
        <v>8</v>
      </c>
      <c r="E2412" t="s">
        <v>54</v>
      </c>
      <c r="F2412" t="s">
        <v>67</v>
      </c>
      <c r="G2412" t="s">
        <v>19</v>
      </c>
      <c r="H2412" s="3">
        <v>79425.735210594547</v>
      </c>
      <c r="I2412">
        <v>15</v>
      </c>
      <c r="J2412" s="3">
        <v>48738.979680361983</v>
      </c>
      <c r="K2412" s="3">
        <v>30686.755530232571</v>
      </c>
    </row>
    <row r="2413" spans="1:11" x14ac:dyDescent="0.3">
      <c r="A2413" t="s">
        <v>2489</v>
      </c>
      <c r="B2413" s="2">
        <v>45870</v>
      </c>
      <c r="C2413">
        <v>2025</v>
      </c>
      <c r="D2413">
        <v>8</v>
      </c>
      <c r="E2413" t="s">
        <v>54</v>
      </c>
      <c r="F2413" t="s">
        <v>48</v>
      </c>
      <c r="G2413" t="s">
        <v>19</v>
      </c>
      <c r="H2413" s="3">
        <v>133155.25306079109</v>
      </c>
      <c r="I2413">
        <v>26</v>
      </c>
      <c r="J2413" s="3">
        <v>82024.520071320236</v>
      </c>
      <c r="K2413" s="3">
        <v>51130.732989470853</v>
      </c>
    </row>
    <row r="2414" spans="1:11" x14ac:dyDescent="0.3">
      <c r="A2414" t="s">
        <v>2490</v>
      </c>
      <c r="B2414" s="2">
        <v>45870</v>
      </c>
      <c r="C2414">
        <v>2025</v>
      </c>
      <c r="D2414">
        <v>8</v>
      </c>
      <c r="E2414" t="s">
        <v>58</v>
      </c>
      <c r="F2414" t="s">
        <v>67</v>
      </c>
      <c r="G2414" t="s">
        <v>19</v>
      </c>
      <c r="H2414" s="3">
        <v>55149.127000437657</v>
      </c>
      <c r="I2414">
        <v>11</v>
      </c>
      <c r="J2414" s="3">
        <v>35815.980673837039</v>
      </c>
      <c r="K2414" s="3">
        <v>19333.146326600621</v>
      </c>
    </row>
    <row r="2415" spans="1:11" x14ac:dyDescent="0.3">
      <c r="A2415" t="s">
        <v>2491</v>
      </c>
      <c r="B2415" s="2">
        <v>45870</v>
      </c>
      <c r="C2415">
        <v>2025</v>
      </c>
      <c r="D2415">
        <v>8</v>
      </c>
      <c r="E2415" t="s">
        <v>58</v>
      </c>
      <c r="F2415" t="s">
        <v>48</v>
      </c>
      <c r="G2415" t="s">
        <v>19</v>
      </c>
      <c r="H2415" s="3">
        <v>84702.355297858652</v>
      </c>
      <c r="I2415">
        <v>16</v>
      </c>
      <c r="J2415" s="3">
        <v>52800.81463632494</v>
      </c>
      <c r="K2415" s="3">
        <v>31901.540661533709</v>
      </c>
    </row>
    <row r="2416" spans="1:11" x14ac:dyDescent="0.3">
      <c r="A2416" t="s">
        <v>2492</v>
      </c>
      <c r="B2416" s="2">
        <v>45870</v>
      </c>
      <c r="C2416">
        <v>2025</v>
      </c>
      <c r="D2416">
        <v>8</v>
      </c>
      <c r="E2416" t="s">
        <v>62</v>
      </c>
      <c r="F2416" t="s">
        <v>67</v>
      </c>
      <c r="G2416" t="s">
        <v>19</v>
      </c>
      <c r="H2416" s="3">
        <v>41625.734712290003</v>
      </c>
      <c r="I2416">
        <v>8</v>
      </c>
      <c r="J2416" s="3">
        <v>25628.492042879629</v>
      </c>
      <c r="K2416" s="3">
        <v>15997.242669410371</v>
      </c>
    </row>
    <row r="2417" spans="1:11" x14ac:dyDescent="0.3">
      <c r="A2417" t="s">
        <v>2493</v>
      </c>
      <c r="B2417" s="2">
        <v>45870</v>
      </c>
      <c r="C2417">
        <v>2025</v>
      </c>
      <c r="D2417">
        <v>8</v>
      </c>
      <c r="E2417" t="s">
        <v>62</v>
      </c>
      <c r="F2417" t="s">
        <v>48</v>
      </c>
      <c r="G2417" t="s">
        <v>19</v>
      </c>
      <c r="H2417" s="3">
        <v>69990.781006554302</v>
      </c>
      <c r="I2417">
        <v>13</v>
      </c>
      <c r="J2417" s="3">
        <v>41671.735149499902</v>
      </c>
      <c r="K2417" s="3">
        <v>28319.0458570544</v>
      </c>
    </row>
    <row r="2418" spans="1:11" x14ac:dyDescent="0.3">
      <c r="A2418" t="s">
        <v>2494</v>
      </c>
      <c r="B2418" s="2">
        <v>45870</v>
      </c>
      <c r="C2418">
        <v>2025</v>
      </c>
      <c r="D2418">
        <v>8</v>
      </c>
      <c r="E2418" t="s">
        <v>50</v>
      </c>
      <c r="F2418" t="s">
        <v>67</v>
      </c>
      <c r="G2418" t="s">
        <v>24</v>
      </c>
      <c r="H2418" s="3">
        <v>107950.8362358749</v>
      </c>
      <c r="I2418">
        <v>18</v>
      </c>
      <c r="J2418" s="3">
        <v>73029.863176787432</v>
      </c>
      <c r="K2418" s="3">
        <v>34920.973059087468</v>
      </c>
    </row>
    <row r="2419" spans="1:11" x14ac:dyDescent="0.3">
      <c r="A2419" t="s">
        <v>2495</v>
      </c>
      <c r="B2419" s="2">
        <v>45870</v>
      </c>
      <c r="C2419">
        <v>2025</v>
      </c>
      <c r="D2419">
        <v>8</v>
      </c>
      <c r="E2419" t="s">
        <v>50</v>
      </c>
      <c r="F2419" t="s">
        <v>48</v>
      </c>
      <c r="G2419" t="s">
        <v>24</v>
      </c>
      <c r="H2419" s="3">
        <v>169702.2921556998</v>
      </c>
      <c r="I2419">
        <v>28</v>
      </c>
      <c r="J2419" s="3">
        <v>109291.485067715</v>
      </c>
      <c r="K2419" s="3">
        <v>60410.807087984787</v>
      </c>
    </row>
    <row r="2420" spans="1:11" x14ac:dyDescent="0.3">
      <c r="A2420" t="s">
        <v>2496</v>
      </c>
      <c r="B2420" s="2">
        <v>45870</v>
      </c>
      <c r="C2420">
        <v>2025</v>
      </c>
      <c r="D2420">
        <v>8</v>
      </c>
      <c r="E2420" t="s">
        <v>54</v>
      </c>
      <c r="F2420" t="s">
        <v>67</v>
      </c>
      <c r="G2420" t="s">
        <v>24</v>
      </c>
      <c r="H2420" s="3">
        <v>90467.247483995627</v>
      </c>
      <c r="I2420">
        <v>15</v>
      </c>
      <c r="J2420" s="3">
        <v>58629.936474695751</v>
      </c>
      <c r="K2420" s="3">
        <v>31837.31100929988</v>
      </c>
    </row>
    <row r="2421" spans="1:11" x14ac:dyDescent="0.3">
      <c r="A2421" t="s">
        <v>2497</v>
      </c>
      <c r="B2421" s="2">
        <v>45870</v>
      </c>
      <c r="C2421">
        <v>2025</v>
      </c>
      <c r="D2421">
        <v>8</v>
      </c>
      <c r="E2421" t="s">
        <v>54</v>
      </c>
      <c r="F2421" t="s">
        <v>48</v>
      </c>
      <c r="G2421" t="s">
        <v>24</v>
      </c>
      <c r="H2421" s="3">
        <v>144820.74466378809</v>
      </c>
      <c r="I2421">
        <v>24</v>
      </c>
      <c r="J2421" s="3">
        <v>95011.609640104623</v>
      </c>
      <c r="K2421" s="3">
        <v>49809.135023683499</v>
      </c>
    </row>
    <row r="2422" spans="1:11" x14ac:dyDescent="0.3">
      <c r="A2422" t="s">
        <v>2498</v>
      </c>
      <c r="B2422" s="2">
        <v>45870</v>
      </c>
      <c r="C2422">
        <v>2025</v>
      </c>
      <c r="D2422">
        <v>8</v>
      </c>
      <c r="E2422" t="s">
        <v>58</v>
      </c>
      <c r="F2422" t="s">
        <v>67</v>
      </c>
      <c r="G2422" t="s">
        <v>24</v>
      </c>
      <c r="H2422" s="3">
        <v>60454.558088812868</v>
      </c>
      <c r="I2422">
        <v>10</v>
      </c>
      <c r="J2422" s="3">
        <v>40917.275500012103</v>
      </c>
      <c r="K2422" s="3">
        <v>19537.282588800761</v>
      </c>
    </row>
    <row r="2423" spans="1:11" x14ac:dyDescent="0.3">
      <c r="A2423" t="s">
        <v>2499</v>
      </c>
      <c r="B2423" s="2">
        <v>45870</v>
      </c>
      <c r="C2423">
        <v>2025</v>
      </c>
      <c r="D2423">
        <v>8</v>
      </c>
      <c r="E2423" t="s">
        <v>58</v>
      </c>
      <c r="F2423" t="s">
        <v>48</v>
      </c>
      <c r="G2423" t="s">
        <v>24</v>
      </c>
      <c r="H2423" s="3">
        <v>99794.582662313813</v>
      </c>
      <c r="I2423">
        <v>16</v>
      </c>
      <c r="J2423" s="3">
        <v>66781.146678920515</v>
      </c>
      <c r="K2423" s="3">
        <v>33013.435983393298</v>
      </c>
    </row>
    <row r="2424" spans="1:11" x14ac:dyDescent="0.3">
      <c r="A2424" t="s">
        <v>2500</v>
      </c>
      <c r="B2424" s="2">
        <v>45870</v>
      </c>
      <c r="C2424">
        <v>2025</v>
      </c>
      <c r="D2424">
        <v>8</v>
      </c>
      <c r="E2424" t="s">
        <v>62</v>
      </c>
      <c r="F2424" t="s">
        <v>67</v>
      </c>
      <c r="G2424" t="s">
        <v>24</v>
      </c>
      <c r="H2424" s="3">
        <v>44871.022119724301</v>
      </c>
      <c r="I2424">
        <v>7</v>
      </c>
      <c r="J2424" s="3">
        <v>29530.7365139211</v>
      </c>
      <c r="K2424" s="3">
        <v>15340.285605803199</v>
      </c>
    </row>
    <row r="2425" spans="1:11" x14ac:dyDescent="0.3">
      <c r="A2425" t="s">
        <v>2501</v>
      </c>
      <c r="B2425" s="2">
        <v>45870</v>
      </c>
      <c r="C2425">
        <v>2025</v>
      </c>
      <c r="D2425">
        <v>8</v>
      </c>
      <c r="E2425" t="s">
        <v>62</v>
      </c>
      <c r="F2425" t="s">
        <v>48</v>
      </c>
      <c r="G2425" t="s">
        <v>24</v>
      </c>
      <c r="H2425" s="3">
        <v>72619.419049153308</v>
      </c>
      <c r="I2425">
        <v>12</v>
      </c>
      <c r="J2425" s="3">
        <v>48194.785900281087</v>
      </c>
      <c r="K2425" s="3">
        <v>24424.63314887221</v>
      </c>
    </row>
    <row r="2426" spans="1:11" x14ac:dyDescent="0.3">
      <c r="A2426" t="s">
        <v>2502</v>
      </c>
      <c r="B2426" s="2">
        <v>45870</v>
      </c>
      <c r="C2426">
        <v>2025</v>
      </c>
      <c r="D2426">
        <v>8</v>
      </c>
      <c r="E2426" t="s">
        <v>50</v>
      </c>
      <c r="F2426" t="s">
        <v>67</v>
      </c>
      <c r="G2426" t="s">
        <v>29</v>
      </c>
      <c r="H2426" s="3">
        <v>67041.200049771302</v>
      </c>
      <c r="I2426">
        <v>16</v>
      </c>
      <c r="J2426" s="3">
        <v>42442.681380864669</v>
      </c>
      <c r="K2426" s="3">
        <v>24598.518668906629</v>
      </c>
    </row>
    <row r="2427" spans="1:11" x14ac:dyDescent="0.3">
      <c r="A2427" t="s">
        <v>2503</v>
      </c>
      <c r="B2427" s="2">
        <v>45870</v>
      </c>
      <c r="C2427">
        <v>2025</v>
      </c>
      <c r="D2427">
        <v>8</v>
      </c>
      <c r="E2427" t="s">
        <v>50</v>
      </c>
      <c r="F2427" t="s">
        <v>48</v>
      </c>
      <c r="G2427" t="s">
        <v>29</v>
      </c>
      <c r="H2427" s="3">
        <v>118272.8547399185</v>
      </c>
      <c r="I2427">
        <v>28</v>
      </c>
      <c r="J2427" s="3">
        <v>75884.905644567014</v>
      </c>
      <c r="K2427" s="3">
        <v>42387.94909535152</v>
      </c>
    </row>
    <row r="2428" spans="1:11" x14ac:dyDescent="0.3">
      <c r="A2428" t="s">
        <v>2504</v>
      </c>
      <c r="B2428" s="2">
        <v>45870</v>
      </c>
      <c r="C2428">
        <v>2025</v>
      </c>
      <c r="D2428">
        <v>8</v>
      </c>
      <c r="E2428" t="s">
        <v>54</v>
      </c>
      <c r="F2428" t="s">
        <v>67</v>
      </c>
      <c r="G2428" t="s">
        <v>29</v>
      </c>
      <c r="H2428" s="3">
        <v>56205.931318824623</v>
      </c>
      <c r="I2428">
        <v>13</v>
      </c>
      <c r="J2428" s="3">
        <v>36019.281023710253</v>
      </c>
      <c r="K2428" s="3">
        <v>20186.650295114381</v>
      </c>
    </row>
    <row r="2429" spans="1:11" x14ac:dyDescent="0.3">
      <c r="A2429" t="s">
        <v>2505</v>
      </c>
      <c r="B2429" s="2">
        <v>45870</v>
      </c>
      <c r="C2429">
        <v>2025</v>
      </c>
      <c r="D2429">
        <v>8</v>
      </c>
      <c r="E2429" t="s">
        <v>54</v>
      </c>
      <c r="F2429" t="s">
        <v>48</v>
      </c>
      <c r="G2429" t="s">
        <v>29</v>
      </c>
      <c r="H2429" s="3">
        <v>91422.030094070127</v>
      </c>
      <c r="I2429">
        <v>21</v>
      </c>
      <c r="J2429" s="3">
        <v>59530.39006982393</v>
      </c>
      <c r="K2429" s="3">
        <v>31891.6400242462</v>
      </c>
    </row>
    <row r="2430" spans="1:11" x14ac:dyDescent="0.3">
      <c r="A2430" t="s">
        <v>2506</v>
      </c>
      <c r="B2430" s="2">
        <v>45870</v>
      </c>
      <c r="C2430">
        <v>2025</v>
      </c>
      <c r="D2430">
        <v>8</v>
      </c>
      <c r="E2430" t="s">
        <v>58</v>
      </c>
      <c r="F2430" t="s">
        <v>67</v>
      </c>
      <c r="G2430" t="s">
        <v>29</v>
      </c>
      <c r="H2430" s="3">
        <v>39153.875896932943</v>
      </c>
      <c r="I2430">
        <v>9</v>
      </c>
      <c r="J2430" s="3">
        <v>25494.728829506941</v>
      </c>
      <c r="K2430" s="3">
        <v>13659.147067425991</v>
      </c>
    </row>
    <row r="2431" spans="1:11" x14ac:dyDescent="0.3">
      <c r="A2431" t="s">
        <v>2507</v>
      </c>
      <c r="B2431" s="2">
        <v>45870</v>
      </c>
      <c r="C2431">
        <v>2025</v>
      </c>
      <c r="D2431">
        <v>8</v>
      </c>
      <c r="E2431" t="s">
        <v>58</v>
      </c>
      <c r="F2431" t="s">
        <v>48</v>
      </c>
      <c r="G2431" t="s">
        <v>29</v>
      </c>
      <c r="H2431" s="3">
        <v>63510.471013052069</v>
      </c>
      <c r="I2431">
        <v>15</v>
      </c>
      <c r="J2431" s="3">
        <v>41008.115369534862</v>
      </c>
      <c r="K2431" s="3">
        <v>22502.35564351721</v>
      </c>
    </row>
    <row r="2432" spans="1:11" x14ac:dyDescent="0.3">
      <c r="A2432" t="s">
        <v>2508</v>
      </c>
      <c r="B2432" s="2">
        <v>45870</v>
      </c>
      <c r="C2432">
        <v>2025</v>
      </c>
      <c r="D2432">
        <v>8</v>
      </c>
      <c r="E2432" t="s">
        <v>62</v>
      </c>
      <c r="F2432" t="s">
        <v>67</v>
      </c>
      <c r="G2432" t="s">
        <v>29</v>
      </c>
      <c r="H2432" s="3">
        <v>30405.41583542373</v>
      </c>
      <c r="I2432">
        <v>7</v>
      </c>
      <c r="J2432" s="3">
        <v>19332.546514220299</v>
      </c>
      <c r="K2432" s="3">
        <v>11072.86932120343</v>
      </c>
    </row>
    <row r="2433" spans="1:11" x14ac:dyDescent="0.3">
      <c r="A2433" t="s">
        <v>2509</v>
      </c>
      <c r="B2433" s="2">
        <v>45870</v>
      </c>
      <c r="C2433">
        <v>2025</v>
      </c>
      <c r="D2433">
        <v>8</v>
      </c>
      <c r="E2433" t="s">
        <v>62</v>
      </c>
      <c r="F2433" t="s">
        <v>48</v>
      </c>
      <c r="G2433" t="s">
        <v>29</v>
      </c>
      <c r="H2433" s="3">
        <v>47121.522706950083</v>
      </c>
      <c r="I2433">
        <v>11</v>
      </c>
      <c r="J2433" s="3">
        <v>30560.46530340055</v>
      </c>
      <c r="K2433" s="3">
        <v>16561.057403549541</v>
      </c>
    </row>
    <row r="2434" spans="1:11" x14ac:dyDescent="0.3">
      <c r="A2434" t="s">
        <v>2510</v>
      </c>
      <c r="B2434" s="2">
        <v>45870</v>
      </c>
      <c r="C2434">
        <v>2025</v>
      </c>
      <c r="D2434">
        <v>8</v>
      </c>
      <c r="E2434" t="s">
        <v>50</v>
      </c>
      <c r="F2434" t="s">
        <v>67</v>
      </c>
      <c r="G2434" t="s">
        <v>34</v>
      </c>
      <c r="H2434" s="3">
        <v>64273.997384098213</v>
      </c>
      <c r="I2434">
        <v>76</v>
      </c>
      <c r="J2434" s="3">
        <v>30800.44614090597</v>
      </c>
      <c r="K2434" s="3">
        <v>33473.55124319224</v>
      </c>
    </row>
    <row r="2435" spans="1:11" x14ac:dyDescent="0.3">
      <c r="A2435" t="s">
        <v>2511</v>
      </c>
      <c r="B2435" s="2">
        <v>45870</v>
      </c>
      <c r="C2435">
        <v>2025</v>
      </c>
      <c r="D2435">
        <v>8</v>
      </c>
      <c r="E2435" t="s">
        <v>50</v>
      </c>
      <c r="F2435" t="s">
        <v>48</v>
      </c>
      <c r="G2435" t="s">
        <v>34</v>
      </c>
      <c r="H2435" s="3">
        <v>110882.4253401321</v>
      </c>
      <c r="I2435">
        <v>130</v>
      </c>
      <c r="J2435" s="3">
        <v>52187.064064460901</v>
      </c>
      <c r="K2435" s="3">
        <v>58695.361275671159</v>
      </c>
    </row>
    <row r="2436" spans="1:11" x14ac:dyDescent="0.3">
      <c r="A2436" t="s">
        <v>2512</v>
      </c>
      <c r="B2436" s="2">
        <v>45870</v>
      </c>
      <c r="C2436">
        <v>2025</v>
      </c>
      <c r="D2436">
        <v>8</v>
      </c>
      <c r="E2436" t="s">
        <v>54</v>
      </c>
      <c r="F2436" t="s">
        <v>67</v>
      </c>
      <c r="G2436" t="s">
        <v>34</v>
      </c>
      <c r="H2436" s="3">
        <v>52542.956895566211</v>
      </c>
      <c r="I2436">
        <v>62</v>
      </c>
      <c r="J2436" s="3">
        <v>25037.538288173899</v>
      </c>
      <c r="K2436" s="3">
        <v>27505.418607392308</v>
      </c>
    </row>
    <row r="2437" spans="1:11" x14ac:dyDescent="0.3">
      <c r="A2437" t="s">
        <v>2513</v>
      </c>
      <c r="B2437" s="2">
        <v>45870</v>
      </c>
      <c r="C2437">
        <v>2025</v>
      </c>
      <c r="D2437">
        <v>8</v>
      </c>
      <c r="E2437" t="s">
        <v>54</v>
      </c>
      <c r="F2437" t="s">
        <v>48</v>
      </c>
      <c r="G2437" t="s">
        <v>34</v>
      </c>
      <c r="H2437" s="3">
        <v>86572.944397911488</v>
      </c>
      <c r="I2437">
        <v>102</v>
      </c>
      <c r="J2437" s="3">
        <v>41618.238669850842</v>
      </c>
      <c r="K2437" s="3">
        <v>44954.705728060653</v>
      </c>
    </row>
    <row r="2438" spans="1:11" x14ac:dyDescent="0.3">
      <c r="A2438" t="s">
        <v>2514</v>
      </c>
      <c r="B2438" s="2">
        <v>45870</v>
      </c>
      <c r="C2438">
        <v>2025</v>
      </c>
      <c r="D2438">
        <v>8</v>
      </c>
      <c r="E2438" t="s">
        <v>58</v>
      </c>
      <c r="F2438" t="s">
        <v>67</v>
      </c>
      <c r="G2438" t="s">
        <v>34</v>
      </c>
      <c r="H2438" s="3">
        <v>36727.742415662557</v>
      </c>
      <c r="I2438">
        <v>43</v>
      </c>
      <c r="J2438" s="3">
        <v>17918.153035619769</v>
      </c>
      <c r="K2438" s="3">
        <v>18809.589380042791</v>
      </c>
    </row>
    <row r="2439" spans="1:11" x14ac:dyDescent="0.3">
      <c r="A2439" t="s">
        <v>2515</v>
      </c>
      <c r="B2439" s="2">
        <v>45870</v>
      </c>
      <c r="C2439">
        <v>2025</v>
      </c>
      <c r="D2439">
        <v>8</v>
      </c>
      <c r="E2439" t="s">
        <v>58</v>
      </c>
      <c r="F2439" t="s">
        <v>48</v>
      </c>
      <c r="G2439" t="s">
        <v>34</v>
      </c>
      <c r="H2439" s="3">
        <v>61619.390031758943</v>
      </c>
      <c r="I2439">
        <v>72</v>
      </c>
      <c r="J2439" s="3">
        <v>29479.598370894491</v>
      </c>
      <c r="K2439" s="3">
        <v>32139.791660864448</v>
      </c>
    </row>
    <row r="2440" spans="1:11" x14ac:dyDescent="0.3">
      <c r="A2440" t="s">
        <v>2516</v>
      </c>
      <c r="B2440" s="2">
        <v>45870</v>
      </c>
      <c r="C2440">
        <v>2025</v>
      </c>
      <c r="D2440">
        <v>8</v>
      </c>
      <c r="E2440" t="s">
        <v>62</v>
      </c>
      <c r="F2440" t="s">
        <v>67</v>
      </c>
      <c r="G2440" t="s">
        <v>34</v>
      </c>
      <c r="H2440" s="3">
        <v>26959.80658967837</v>
      </c>
      <c r="I2440">
        <v>32</v>
      </c>
      <c r="J2440" s="3">
        <v>12659.045207412109</v>
      </c>
      <c r="K2440" s="3">
        <v>14300.761382266261</v>
      </c>
    </row>
    <row r="2441" spans="1:11" x14ac:dyDescent="0.3">
      <c r="A2441" t="s">
        <v>2517</v>
      </c>
      <c r="B2441" s="2">
        <v>45870</v>
      </c>
      <c r="C2441">
        <v>2025</v>
      </c>
      <c r="D2441">
        <v>8</v>
      </c>
      <c r="E2441" t="s">
        <v>62</v>
      </c>
      <c r="F2441" t="s">
        <v>48</v>
      </c>
      <c r="G2441" t="s">
        <v>34</v>
      </c>
      <c r="H2441" s="3">
        <v>44332.598214892161</v>
      </c>
      <c r="I2441">
        <v>52</v>
      </c>
      <c r="J2441" s="3">
        <v>21301.381117127799</v>
      </c>
      <c r="K2441" s="3">
        <v>23031.217097764358</v>
      </c>
    </row>
    <row r="2442" spans="1:11" x14ac:dyDescent="0.3">
      <c r="A2442" t="s">
        <v>2518</v>
      </c>
      <c r="B2442" s="2">
        <v>45870</v>
      </c>
      <c r="C2442">
        <v>2025</v>
      </c>
      <c r="D2442">
        <v>8</v>
      </c>
      <c r="E2442" t="s">
        <v>50</v>
      </c>
      <c r="F2442" t="s">
        <v>67</v>
      </c>
      <c r="G2442" t="s">
        <v>37</v>
      </c>
      <c r="H2442" s="3">
        <v>56452.714946174427</v>
      </c>
      <c r="I2442">
        <v>78</v>
      </c>
      <c r="J2442" s="3">
        <v>31112.40174512946</v>
      </c>
      <c r="K2442" s="3">
        <v>25340.313201044981</v>
      </c>
    </row>
    <row r="2443" spans="1:11" x14ac:dyDescent="0.3">
      <c r="A2443" t="s">
        <v>2519</v>
      </c>
      <c r="B2443" s="2">
        <v>45870</v>
      </c>
      <c r="C2443">
        <v>2025</v>
      </c>
      <c r="D2443">
        <v>8</v>
      </c>
      <c r="E2443" t="s">
        <v>50</v>
      </c>
      <c r="F2443" t="s">
        <v>48</v>
      </c>
      <c r="G2443" t="s">
        <v>37</v>
      </c>
      <c r="H2443" s="3">
        <v>93432.896411419846</v>
      </c>
      <c r="I2443">
        <v>130</v>
      </c>
      <c r="J2443" s="3">
        <v>51559.990170794001</v>
      </c>
      <c r="K2443" s="3">
        <v>41872.906240625853</v>
      </c>
    </row>
    <row r="2444" spans="1:11" x14ac:dyDescent="0.3">
      <c r="A2444" t="s">
        <v>2520</v>
      </c>
      <c r="B2444" s="2">
        <v>45870</v>
      </c>
      <c r="C2444">
        <v>2025</v>
      </c>
      <c r="D2444">
        <v>8</v>
      </c>
      <c r="E2444" t="s">
        <v>54</v>
      </c>
      <c r="F2444" t="s">
        <v>67</v>
      </c>
      <c r="G2444" t="s">
        <v>37</v>
      </c>
      <c r="H2444" s="3">
        <v>43258.414341087322</v>
      </c>
      <c r="I2444">
        <v>60</v>
      </c>
      <c r="J2444" s="3">
        <v>24186.07050105746</v>
      </c>
      <c r="K2444" s="3">
        <v>19072.343840029858</v>
      </c>
    </row>
    <row r="2445" spans="1:11" x14ac:dyDescent="0.3">
      <c r="A2445" t="s">
        <v>2521</v>
      </c>
      <c r="B2445" s="2">
        <v>45870</v>
      </c>
      <c r="C2445">
        <v>2025</v>
      </c>
      <c r="D2445">
        <v>8</v>
      </c>
      <c r="E2445" t="s">
        <v>54</v>
      </c>
      <c r="F2445" t="s">
        <v>48</v>
      </c>
      <c r="G2445" t="s">
        <v>37</v>
      </c>
      <c r="H2445" s="3">
        <v>73309.814352476576</v>
      </c>
      <c r="I2445">
        <v>102</v>
      </c>
      <c r="J2445" s="3">
        <v>41059.89892220922</v>
      </c>
      <c r="K2445" s="3">
        <v>32249.91543026736</v>
      </c>
    </row>
    <row r="2446" spans="1:11" x14ac:dyDescent="0.3">
      <c r="A2446" t="s">
        <v>2522</v>
      </c>
      <c r="B2446" s="2">
        <v>45870</v>
      </c>
      <c r="C2446">
        <v>2025</v>
      </c>
      <c r="D2446">
        <v>8</v>
      </c>
      <c r="E2446" t="s">
        <v>58</v>
      </c>
      <c r="F2446" t="s">
        <v>67</v>
      </c>
      <c r="G2446" t="s">
        <v>37</v>
      </c>
      <c r="H2446" s="3">
        <v>30333.306883884041</v>
      </c>
      <c r="I2446">
        <v>42</v>
      </c>
      <c r="J2446" s="3">
        <v>16504.877416753861</v>
      </c>
      <c r="K2446" s="3">
        <v>13828.42946713018</v>
      </c>
    </row>
    <row r="2447" spans="1:11" x14ac:dyDescent="0.3">
      <c r="A2447" t="s">
        <v>2523</v>
      </c>
      <c r="B2447" s="2">
        <v>45870</v>
      </c>
      <c r="C2447">
        <v>2025</v>
      </c>
      <c r="D2447">
        <v>8</v>
      </c>
      <c r="E2447" t="s">
        <v>58</v>
      </c>
      <c r="F2447" t="s">
        <v>48</v>
      </c>
      <c r="G2447" t="s">
        <v>37</v>
      </c>
      <c r="H2447" s="3">
        <v>51147.918990387552</v>
      </c>
      <c r="I2447">
        <v>71</v>
      </c>
      <c r="J2447" s="3">
        <v>27819.36233349358</v>
      </c>
      <c r="K2447" s="3">
        <v>23328.556656893968</v>
      </c>
    </row>
    <row r="2448" spans="1:11" x14ac:dyDescent="0.3">
      <c r="A2448" t="s">
        <v>2524</v>
      </c>
      <c r="B2448" s="2">
        <v>45870</v>
      </c>
      <c r="C2448">
        <v>2025</v>
      </c>
      <c r="D2448">
        <v>8</v>
      </c>
      <c r="E2448" t="s">
        <v>62</v>
      </c>
      <c r="F2448" t="s">
        <v>67</v>
      </c>
      <c r="G2448" t="s">
        <v>37</v>
      </c>
      <c r="H2448" s="3">
        <v>22354.378141032441</v>
      </c>
      <c r="I2448">
        <v>31</v>
      </c>
      <c r="J2448" s="3">
        <v>12064.703323835371</v>
      </c>
      <c r="K2448" s="3">
        <v>10289.674817197079</v>
      </c>
    </row>
    <row r="2449" spans="1:11" x14ac:dyDescent="0.3">
      <c r="A2449" t="s">
        <v>2525</v>
      </c>
      <c r="B2449" s="2">
        <v>45870</v>
      </c>
      <c r="C2449">
        <v>2025</v>
      </c>
      <c r="D2449">
        <v>8</v>
      </c>
      <c r="E2449" t="s">
        <v>62</v>
      </c>
      <c r="F2449" t="s">
        <v>48</v>
      </c>
      <c r="G2449" t="s">
        <v>37</v>
      </c>
      <c r="H2449" s="3">
        <v>40051.063266481848</v>
      </c>
      <c r="I2449">
        <v>56</v>
      </c>
      <c r="J2449" s="3">
        <v>22305.169071722939</v>
      </c>
      <c r="K2449" s="3">
        <v>17745.894194758908</v>
      </c>
    </row>
    <row r="2450" spans="1:11" x14ac:dyDescent="0.3">
      <c r="A2450" t="s">
        <v>2526</v>
      </c>
      <c r="B2450" s="2">
        <v>45870</v>
      </c>
      <c r="C2450">
        <v>2025</v>
      </c>
      <c r="D2450">
        <v>8</v>
      </c>
      <c r="E2450" t="s">
        <v>50</v>
      </c>
      <c r="F2450" t="s">
        <v>67</v>
      </c>
      <c r="G2450" t="s">
        <v>40</v>
      </c>
      <c r="H2450" s="3">
        <v>51082.98523961757</v>
      </c>
      <c r="I2450">
        <v>9</v>
      </c>
      <c r="J2450" s="3">
        <v>36166.46471345285</v>
      </c>
      <c r="K2450" s="3">
        <v>14916.520526164721</v>
      </c>
    </row>
    <row r="2451" spans="1:11" x14ac:dyDescent="0.3">
      <c r="A2451" t="s">
        <v>2527</v>
      </c>
      <c r="B2451" s="2">
        <v>45870</v>
      </c>
      <c r="C2451">
        <v>2025</v>
      </c>
      <c r="D2451">
        <v>8</v>
      </c>
      <c r="E2451" t="s">
        <v>50</v>
      </c>
      <c r="F2451" t="s">
        <v>48</v>
      </c>
      <c r="G2451" t="s">
        <v>40</v>
      </c>
      <c r="H2451" s="3">
        <v>80656.524381528041</v>
      </c>
      <c r="I2451">
        <v>15</v>
      </c>
      <c r="J2451" s="3">
        <v>55337.367231303331</v>
      </c>
      <c r="K2451" s="3">
        <v>25319.15715022471</v>
      </c>
    </row>
    <row r="2452" spans="1:11" x14ac:dyDescent="0.3">
      <c r="A2452" t="s">
        <v>2528</v>
      </c>
      <c r="B2452" s="2">
        <v>45870</v>
      </c>
      <c r="C2452">
        <v>2025</v>
      </c>
      <c r="D2452">
        <v>8</v>
      </c>
      <c r="E2452" t="s">
        <v>54</v>
      </c>
      <c r="F2452" t="s">
        <v>67</v>
      </c>
      <c r="G2452" t="s">
        <v>40</v>
      </c>
      <c r="H2452" s="3">
        <v>44845.321929051301</v>
      </c>
      <c r="I2452">
        <v>8</v>
      </c>
      <c r="J2452" s="3">
        <v>30808.800401074721</v>
      </c>
      <c r="K2452" s="3">
        <v>14036.52152797658</v>
      </c>
    </row>
    <row r="2453" spans="1:11" x14ac:dyDescent="0.3">
      <c r="A2453" t="s">
        <v>2529</v>
      </c>
      <c r="B2453" s="2">
        <v>45870</v>
      </c>
      <c r="C2453">
        <v>2025</v>
      </c>
      <c r="D2453">
        <v>8</v>
      </c>
      <c r="E2453" t="s">
        <v>54</v>
      </c>
      <c r="F2453" t="s">
        <v>48</v>
      </c>
      <c r="G2453" t="s">
        <v>40</v>
      </c>
      <c r="H2453" s="3">
        <v>70069.903266024907</v>
      </c>
      <c r="I2453">
        <v>13</v>
      </c>
      <c r="J2453" s="3">
        <v>49624.727467034798</v>
      </c>
      <c r="K2453" s="3">
        <v>20445.175798990109</v>
      </c>
    </row>
    <row r="2454" spans="1:11" x14ac:dyDescent="0.3">
      <c r="A2454" t="s">
        <v>2530</v>
      </c>
      <c r="B2454" s="2">
        <v>45870</v>
      </c>
      <c r="C2454">
        <v>2025</v>
      </c>
      <c r="D2454">
        <v>8</v>
      </c>
      <c r="E2454" t="s">
        <v>58</v>
      </c>
      <c r="F2454" t="s">
        <v>67</v>
      </c>
      <c r="G2454" t="s">
        <v>40</v>
      </c>
      <c r="H2454" s="3">
        <v>26803.802807872431</v>
      </c>
      <c r="I2454">
        <v>5</v>
      </c>
      <c r="J2454" s="3">
        <v>18662.925780160858</v>
      </c>
      <c r="K2454" s="3">
        <v>8140.8770277115727</v>
      </c>
    </row>
    <row r="2455" spans="1:11" x14ac:dyDescent="0.3">
      <c r="A2455" t="s">
        <v>2531</v>
      </c>
      <c r="B2455" s="2">
        <v>45870</v>
      </c>
      <c r="C2455">
        <v>2025</v>
      </c>
      <c r="D2455">
        <v>8</v>
      </c>
      <c r="E2455" t="s">
        <v>58</v>
      </c>
      <c r="F2455" t="s">
        <v>48</v>
      </c>
      <c r="G2455" t="s">
        <v>40</v>
      </c>
      <c r="H2455" s="3">
        <v>43076.375600296968</v>
      </c>
      <c r="I2455">
        <v>8</v>
      </c>
      <c r="J2455" s="3">
        <v>29956.08901133767</v>
      </c>
      <c r="K2455" s="3">
        <v>13120.286588959299</v>
      </c>
    </row>
    <row r="2456" spans="1:11" x14ac:dyDescent="0.3">
      <c r="A2456" t="s">
        <v>2532</v>
      </c>
      <c r="B2456" s="2">
        <v>45870</v>
      </c>
      <c r="C2456">
        <v>2025</v>
      </c>
      <c r="D2456">
        <v>8</v>
      </c>
      <c r="E2456" t="s">
        <v>62</v>
      </c>
      <c r="F2456" t="s">
        <v>67</v>
      </c>
      <c r="G2456" t="s">
        <v>40</v>
      </c>
      <c r="H2456" s="3">
        <v>19551.108063688651</v>
      </c>
      <c r="I2456">
        <v>4</v>
      </c>
      <c r="J2456" s="3">
        <v>13201.080546640391</v>
      </c>
      <c r="K2456" s="3">
        <v>6350.0275170482691</v>
      </c>
    </row>
    <row r="2457" spans="1:11" x14ac:dyDescent="0.3">
      <c r="A2457" t="s">
        <v>2533</v>
      </c>
      <c r="B2457" s="2">
        <v>45870</v>
      </c>
      <c r="C2457">
        <v>2025</v>
      </c>
      <c r="D2457">
        <v>8</v>
      </c>
      <c r="E2457" t="s">
        <v>62</v>
      </c>
      <c r="F2457" t="s">
        <v>48</v>
      </c>
      <c r="G2457" t="s">
        <v>40</v>
      </c>
      <c r="H2457" s="3">
        <v>31390.961636013861</v>
      </c>
      <c r="I2457">
        <v>6</v>
      </c>
      <c r="J2457" s="3">
        <v>21924.383139507281</v>
      </c>
      <c r="K2457" s="3">
        <v>9466.5784965065723</v>
      </c>
    </row>
    <row r="2458" spans="1:11" x14ac:dyDescent="0.3">
      <c r="A2458" t="s">
        <v>2534</v>
      </c>
      <c r="B2458" s="2">
        <v>45870</v>
      </c>
      <c r="C2458">
        <v>2025</v>
      </c>
      <c r="D2458">
        <v>8</v>
      </c>
      <c r="E2458" t="s">
        <v>50</v>
      </c>
      <c r="F2458" t="s">
        <v>67</v>
      </c>
      <c r="G2458" t="s">
        <v>43</v>
      </c>
      <c r="H2458" s="3">
        <v>105733.6729652545</v>
      </c>
      <c r="I2458">
        <v>30</v>
      </c>
      <c r="J2458" s="3">
        <v>61339.547651084329</v>
      </c>
      <c r="K2458" s="3">
        <v>44394.12531417016</v>
      </c>
    </row>
    <row r="2459" spans="1:11" x14ac:dyDescent="0.3">
      <c r="A2459" t="s">
        <v>2535</v>
      </c>
      <c r="B2459" s="2">
        <v>45870</v>
      </c>
      <c r="C2459">
        <v>2025</v>
      </c>
      <c r="D2459">
        <v>8</v>
      </c>
      <c r="E2459" t="s">
        <v>50</v>
      </c>
      <c r="F2459" t="s">
        <v>48</v>
      </c>
      <c r="G2459" t="s">
        <v>43</v>
      </c>
      <c r="H2459" s="3">
        <v>174907.9665672892</v>
      </c>
      <c r="I2459">
        <v>50</v>
      </c>
      <c r="J2459" s="3">
        <v>101089.23214486289</v>
      </c>
      <c r="K2459" s="3">
        <v>73818.734422426234</v>
      </c>
    </row>
    <row r="2460" spans="1:11" x14ac:dyDescent="0.3">
      <c r="A2460" t="s">
        <v>2536</v>
      </c>
      <c r="B2460" s="2">
        <v>45870</v>
      </c>
      <c r="C2460">
        <v>2025</v>
      </c>
      <c r="D2460">
        <v>8</v>
      </c>
      <c r="E2460" t="s">
        <v>54</v>
      </c>
      <c r="F2460" t="s">
        <v>67</v>
      </c>
      <c r="G2460" t="s">
        <v>43</v>
      </c>
      <c r="H2460" s="3">
        <v>81911.423411400217</v>
      </c>
      <c r="I2460">
        <v>23</v>
      </c>
      <c r="J2460" s="3">
        <v>48026.08345507038</v>
      </c>
      <c r="K2460" s="3">
        <v>33885.339956329837</v>
      </c>
    </row>
    <row r="2461" spans="1:11" x14ac:dyDescent="0.3">
      <c r="A2461" t="s">
        <v>2537</v>
      </c>
      <c r="B2461" s="2">
        <v>45870</v>
      </c>
      <c r="C2461">
        <v>2025</v>
      </c>
      <c r="D2461">
        <v>8</v>
      </c>
      <c r="E2461" t="s">
        <v>54</v>
      </c>
      <c r="F2461" t="s">
        <v>48</v>
      </c>
      <c r="G2461" t="s">
        <v>43</v>
      </c>
      <c r="H2461" s="3">
        <v>136247.57221602579</v>
      </c>
      <c r="I2461">
        <v>39</v>
      </c>
      <c r="J2461" s="3">
        <v>79538.455284975396</v>
      </c>
      <c r="K2461" s="3">
        <v>56709.11693105039</v>
      </c>
    </row>
    <row r="2462" spans="1:11" x14ac:dyDescent="0.3">
      <c r="A2462" t="s">
        <v>2538</v>
      </c>
      <c r="B2462" s="2">
        <v>45870</v>
      </c>
      <c r="C2462">
        <v>2025</v>
      </c>
      <c r="D2462">
        <v>8</v>
      </c>
      <c r="E2462" t="s">
        <v>58</v>
      </c>
      <c r="F2462" t="s">
        <v>67</v>
      </c>
      <c r="G2462" t="s">
        <v>43</v>
      </c>
      <c r="H2462" s="3">
        <v>60930.178090580332</v>
      </c>
      <c r="I2462">
        <v>17</v>
      </c>
      <c r="J2462" s="3">
        <v>35805.412677522319</v>
      </c>
      <c r="K2462" s="3">
        <v>25124.765413058009</v>
      </c>
    </row>
    <row r="2463" spans="1:11" x14ac:dyDescent="0.3">
      <c r="A2463" t="s">
        <v>2539</v>
      </c>
      <c r="B2463" s="2">
        <v>45870</v>
      </c>
      <c r="C2463">
        <v>2025</v>
      </c>
      <c r="D2463">
        <v>8</v>
      </c>
      <c r="E2463" t="s">
        <v>58</v>
      </c>
      <c r="F2463" t="s">
        <v>48</v>
      </c>
      <c r="G2463" t="s">
        <v>43</v>
      </c>
      <c r="H2463" s="3">
        <v>99335.907363110135</v>
      </c>
      <c r="I2463">
        <v>28</v>
      </c>
      <c r="J2463" s="3">
        <v>57088.025607385243</v>
      </c>
      <c r="K2463" s="3">
        <v>42247.881755724891</v>
      </c>
    </row>
    <row r="2464" spans="1:11" x14ac:dyDescent="0.3">
      <c r="A2464" t="s">
        <v>2540</v>
      </c>
      <c r="B2464" s="2">
        <v>45870</v>
      </c>
      <c r="C2464">
        <v>2025</v>
      </c>
      <c r="D2464">
        <v>8</v>
      </c>
      <c r="E2464" t="s">
        <v>62</v>
      </c>
      <c r="F2464" t="s">
        <v>67</v>
      </c>
      <c r="G2464" t="s">
        <v>43</v>
      </c>
      <c r="H2464" s="3">
        <v>47892.347651523727</v>
      </c>
      <c r="I2464">
        <v>14</v>
      </c>
      <c r="J2464" s="3">
        <v>28744.155130839641</v>
      </c>
      <c r="K2464" s="3">
        <v>19148.192520684079</v>
      </c>
    </row>
    <row r="2465" spans="1:11" x14ac:dyDescent="0.3">
      <c r="A2465" t="s">
        <v>2541</v>
      </c>
      <c r="B2465" s="2">
        <v>45870</v>
      </c>
      <c r="C2465">
        <v>2025</v>
      </c>
      <c r="D2465">
        <v>8</v>
      </c>
      <c r="E2465" t="s">
        <v>62</v>
      </c>
      <c r="F2465" t="s">
        <v>48</v>
      </c>
      <c r="G2465" t="s">
        <v>43</v>
      </c>
      <c r="H2465" s="3">
        <v>72678.819185888497</v>
      </c>
      <c r="I2465">
        <v>21</v>
      </c>
      <c r="J2465" s="3">
        <v>43750.906925794348</v>
      </c>
      <c r="K2465" s="3">
        <v>28927.912260094148</v>
      </c>
    </row>
    <row r="2466" spans="1:11" x14ac:dyDescent="0.3">
      <c r="A2466" t="s">
        <v>2542</v>
      </c>
      <c r="B2466" s="2">
        <v>45901</v>
      </c>
      <c r="C2466">
        <v>2025</v>
      </c>
      <c r="D2466">
        <v>9</v>
      </c>
      <c r="E2466" t="s">
        <v>50</v>
      </c>
      <c r="F2466" t="s">
        <v>67</v>
      </c>
      <c r="G2466" t="s">
        <v>19</v>
      </c>
      <c r="H2466" s="3">
        <v>105276.90927998901</v>
      </c>
      <c r="I2466">
        <v>20</v>
      </c>
      <c r="J2466" s="3">
        <v>62983.769955216128</v>
      </c>
      <c r="K2466" s="3">
        <v>42293.139324772892</v>
      </c>
    </row>
    <row r="2467" spans="1:11" x14ac:dyDescent="0.3">
      <c r="A2467" t="s">
        <v>2543</v>
      </c>
      <c r="B2467" s="2">
        <v>45901</v>
      </c>
      <c r="C2467">
        <v>2025</v>
      </c>
      <c r="D2467">
        <v>9</v>
      </c>
      <c r="E2467" t="s">
        <v>50</v>
      </c>
      <c r="F2467" t="s">
        <v>48</v>
      </c>
      <c r="G2467" t="s">
        <v>19</v>
      </c>
      <c r="H2467" s="3">
        <v>190374.22879474849</v>
      </c>
      <c r="I2467">
        <v>37</v>
      </c>
      <c r="J2467" s="3">
        <v>120110.8302085516</v>
      </c>
      <c r="K2467" s="3">
        <v>70263.398586196825</v>
      </c>
    </row>
    <row r="2468" spans="1:11" x14ac:dyDescent="0.3">
      <c r="A2468" t="s">
        <v>2544</v>
      </c>
      <c r="B2468" s="2">
        <v>45901</v>
      </c>
      <c r="C2468">
        <v>2025</v>
      </c>
      <c r="D2468">
        <v>9</v>
      </c>
      <c r="E2468" t="s">
        <v>54</v>
      </c>
      <c r="F2468" t="s">
        <v>67</v>
      </c>
      <c r="G2468" t="s">
        <v>19</v>
      </c>
      <c r="H2468" s="3">
        <v>92512.630175823942</v>
      </c>
      <c r="I2468">
        <v>18</v>
      </c>
      <c r="J2468" s="3">
        <v>56521.007758196763</v>
      </c>
      <c r="K2468" s="3">
        <v>35991.622417627179</v>
      </c>
    </row>
    <row r="2469" spans="1:11" x14ac:dyDescent="0.3">
      <c r="A2469" t="s">
        <v>2545</v>
      </c>
      <c r="B2469" s="2">
        <v>45901</v>
      </c>
      <c r="C2469">
        <v>2025</v>
      </c>
      <c r="D2469">
        <v>9</v>
      </c>
      <c r="E2469" t="s">
        <v>54</v>
      </c>
      <c r="F2469" t="s">
        <v>48</v>
      </c>
      <c r="G2469" t="s">
        <v>19</v>
      </c>
      <c r="H2469" s="3">
        <v>140119.74283643931</v>
      </c>
      <c r="I2469">
        <v>27</v>
      </c>
      <c r="J2469" s="3">
        <v>88214.324339740459</v>
      </c>
      <c r="K2469" s="3">
        <v>51905.418496698847</v>
      </c>
    </row>
    <row r="2470" spans="1:11" x14ac:dyDescent="0.3">
      <c r="A2470" t="s">
        <v>2546</v>
      </c>
      <c r="B2470" s="2">
        <v>45901</v>
      </c>
      <c r="C2470">
        <v>2025</v>
      </c>
      <c r="D2470">
        <v>9</v>
      </c>
      <c r="E2470" t="s">
        <v>58</v>
      </c>
      <c r="F2470" t="s">
        <v>67</v>
      </c>
      <c r="G2470" t="s">
        <v>19</v>
      </c>
      <c r="H2470" s="3">
        <v>58860.871713155953</v>
      </c>
      <c r="I2470">
        <v>11</v>
      </c>
      <c r="J2470" s="3">
        <v>36448.778828456263</v>
      </c>
      <c r="K2470" s="3">
        <v>22412.092884699701</v>
      </c>
    </row>
    <row r="2471" spans="1:11" x14ac:dyDescent="0.3">
      <c r="A2471" t="s">
        <v>2547</v>
      </c>
      <c r="B2471" s="2">
        <v>45901</v>
      </c>
      <c r="C2471">
        <v>2025</v>
      </c>
      <c r="D2471">
        <v>9</v>
      </c>
      <c r="E2471" t="s">
        <v>58</v>
      </c>
      <c r="F2471" t="s">
        <v>48</v>
      </c>
      <c r="G2471" t="s">
        <v>19</v>
      </c>
      <c r="H2471" s="3">
        <v>102879.410766175</v>
      </c>
      <c r="I2471">
        <v>20</v>
      </c>
      <c r="J2471" s="3">
        <v>63818.272884969127</v>
      </c>
      <c r="K2471" s="3">
        <v>39061.137881205883</v>
      </c>
    </row>
    <row r="2472" spans="1:11" x14ac:dyDescent="0.3">
      <c r="A2472" t="s">
        <v>2548</v>
      </c>
      <c r="B2472" s="2">
        <v>45901</v>
      </c>
      <c r="C2472">
        <v>2025</v>
      </c>
      <c r="D2472">
        <v>9</v>
      </c>
      <c r="E2472" t="s">
        <v>62</v>
      </c>
      <c r="F2472" t="s">
        <v>67</v>
      </c>
      <c r="G2472" t="s">
        <v>19</v>
      </c>
      <c r="H2472" s="3">
        <v>49797.135728695168</v>
      </c>
      <c r="I2472">
        <v>10</v>
      </c>
      <c r="J2472" s="3">
        <v>30771.358718063399</v>
      </c>
      <c r="K2472" s="3">
        <v>19025.777010631769</v>
      </c>
    </row>
    <row r="2473" spans="1:11" x14ac:dyDescent="0.3">
      <c r="A2473" t="s">
        <v>2549</v>
      </c>
      <c r="B2473" s="2">
        <v>45901</v>
      </c>
      <c r="C2473">
        <v>2025</v>
      </c>
      <c r="D2473">
        <v>9</v>
      </c>
      <c r="E2473" t="s">
        <v>62</v>
      </c>
      <c r="F2473" t="s">
        <v>48</v>
      </c>
      <c r="G2473" t="s">
        <v>19</v>
      </c>
      <c r="H2473" s="3">
        <v>71493.159860811604</v>
      </c>
      <c r="I2473">
        <v>14</v>
      </c>
      <c r="J2473" s="3">
        <v>45292.872961890876</v>
      </c>
      <c r="K2473" s="3">
        <v>26200.28689892072</v>
      </c>
    </row>
    <row r="2474" spans="1:11" x14ac:dyDescent="0.3">
      <c r="A2474" t="s">
        <v>2550</v>
      </c>
      <c r="B2474" s="2">
        <v>45901</v>
      </c>
      <c r="C2474">
        <v>2025</v>
      </c>
      <c r="D2474">
        <v>9</v>
      </c>
      <c r="E2474" t="s">
        <v>50</v>
      </c>
      <c r="F2474" t="s">
        <v>67</v>
      </c>
      <c r="G2474" t="s">
        <v>24</v>
      </c>
      <c r="H2474" s="3">
        <v>125310.3261931539</v>
      </c>
      <c r="I2474">
        <v>21</v>
      </c>
      <c r="J2474" s="3">
        <v>80859.457130529321</v>
      </c>
      <c r="K2474" s="3">
        <v>44450.869062624603</v>
      </c>
    </row>
    <row r="2475" spans="1:11" x14ac:dyDescent="0.3">
      <c r="A2475" t="s">
        <v>2551</v>
      </c>
      <c r="B2475" s="2">
        <v>45901</v>
      </c>
      <c r="C2475">
        <v>2025</v>
      </c>
      <c r="D2475">
        <v>9</v>
      </c>
      <c r="E2475" t="s">
        <v>50</v>
      </c>
      <c r="F2475" t="s">
        <v>48</v>
      </c>
      <c r="G2475" t="s">
        <v>24</v>
      </c>
      <c r="H2475" s="3">
        <v>188536.8958969478</v>
      </c>
      <c r="I2475">
        <v>31</v>
      </c>
      <c r="J2475" s="3">
        <v>125795.8032202982</v>
      </c>
      <c r="K2475" s="3">
        <v>62741.092676649627</v>
      </c>
    </row>
    <row r="2476" spans="1:11" x14ac:dyDescent="0.3">
      <c r="A2476" t="s">
        <v>2552</v>
      </c>
      <c r="B2476" s="2">
        <v>45901</v>
      </c>
      <c r="C2476">
        <v>2025</v>
      </c>
      <c r="D2476">
        <v>9</v>
      </c>
      <c r="E2476" t="s">
        <v>54</v>
      </c>
      <c r="F2476" t="s">
        <v>67</v>
      </c>
      <c r="G2476" t="s">
        <v>24</v>
      </c>
      <c r="H2476" s="3">
        <v>89903.98941524906</v>
      </c>
      <c r="I2476">
        <v>15</v>
      </c>
      <c r="J2476" s="3">
        <v>60512.919042849033</v>
      </c>
      <c r="K2476" s="3">
        <v>29391.07037240003</v>
      </c>
    </row>
    <row r="2477" spans="1:11" x14ac:dyDescent="0.3">
      <c r="A2477" t="s">
        <v>2553</v>
      </c>
      <c r="B2477" s="2">
        <v>45901</v>
      </c>
      <c r="C2477">
        <v>2025</v>
      </c>
      <c r="D2477">
        <v>9</v>
      </c>
      <c r="E2477" t="s">
        <v>54</v>
      </c>
      <c r="F2477" t="s">
        <v>48</v>
      </c>
      <c r="G2477" t="s">
        <v>24</v>
      </c>
      <c r="H2477" s="3">
        <v>160217.05340885749</v>
      </c>
      <c r="I2477">
        <v>26</v>
      </c>
      <c r="J2477" s="3">
        <v>107106.721625527</v>
      </c>
      <c r="K2477" s="3">
        <v>53110.331783330526</v>
      </c>
    </row>
    <row r="2478" spans="1:11" x14ac:dyDescent="0.3">
      <c r="A2478" t="s">
        <v>2554</v>
      </c>
      <c r="B2478" s="2">
        <v>45901</v>
      </c>
      <c r="C2478">
        <v>2025</v>
      </c>
      <c r="D2478">
        <v>9</v>
      </c>
      <c r="E2478" t="s">
        <v>58</v>
      </c>
      <c r="F2478" t="s">
        <v>67</v>
      </c>
      <c r="G2478" t="s">
        <v>24</v>
      </c>
      <c r="H2478" s="3">
        <v>69061.589073956944</v>
      </c>
      <c r="I2478">
        <v>11</v>
      </c>
      <c r="J2478" s="3">
        <v>47487.951914374717</v>
      </c>
      <c r="K2478" s="3">
        <v>21573.637159582231</v>
      </c>
    </row>
    <row r="2479" spans="1:11" x14ac:dyDescent="0.3">
      <c r="A2479" t="s">
        <v>2555</v>
      </c>
      <c r="B2479" s="2">
        <v>45901</v>
      </c>
      <c r="C2479">
        <v>2025</v>
      </c>
      <c r="D2479">
        <v>9</v>
      </c>
      <c r="E2479" t="s">
        <v>58</v>
      </c>
      <c r="F2479" t="s">
        <v>48</v>
      </c>
      <c r="G2479" t="s">
        <v>24</v>
      </c>
      <c r="H2479" s="3">
        <v>100023.2845011826</v>
      </c>
      <c r="I2479">
        <v>16</v>
      </c>
      <c r="J2479" s="3">
        <v>65386.832699476683</v>
      </c>
      <c r="K2479" s="3">
        <v>34636.451801705924</v>
      </c>
    </row>
    <row r="2480" spans="1:11" x14ac:dyDescent="0.3">
      <c r="A2480" t="s">
        <v>2556</v>
      </c>
      <c r="B2480" s="2">
        <v>45901</v>
      </c>
      <c r="C2480">
        <v>2025</v>
      </c>
      <c r="D2480">
        <v>9</v>
      </c>
      <c r="E2480" t="s">
        <v>62</v>
      </c>
      <c r="F2480" t="s">
        <v>67</v>
      </c>
      <c r="G2480" t="s">
        <v>24</v>
      </c>
      <c r="H2480" s="3">
        <v>49498.103544869649</v>
      </c>
      <c r="I2480">
        <v>8</v>
      </c>
      <c r="J2480" s="3">
        <v>33231.679445618887</v>
      </c>
      <c r="K2480" s="3">
        <v>16266.42409925076</v>
      </c>
    </row>
    <row r="2481" spans="1:11" x14ac:dyDescent="0.3">
      <c r="A2481" t="s">
        <v>2557</v>
      </c>
      <c r="B2481" s="2">
        <v>45901</v>
      </c>
      <c r="C2481">
        <v>2025</v>
      </c>
      <c r="D2481">
        <v>9</v>
      </c>
      <c r="E2481" t="s">
        <v>62</v>
      </c>
      <c r="F2481" t="s">
        <v>48</v>
      </c>
      <c r="G2481" t="s">
        <v>24</v>
      </c>
      <c r="H2481" s="3">
        <v>80299.201163836842</v>
      </c>
      <c r="I2481">
        <v>13</v>
      </c>
      <c r="J2481" s="3">
        <v>52896.267128098021</v>
      </c>
      <c r="K2481" s="3">
        <v>27402.934035738821</v>
      </c>
    </row>
    <row r="2482" spans="1:11" x14ac:dyDescent="0.3">
      <c r="A2482" t="s">
        <v>2558</v>
      </c>
      <c r="B2482" s="2">
        <v>45901</v>
      </c>
      <c r="C2482">
        <v>2025</v>
      </c>
      <c r="D2482">
        <v>9</v>
      </c>
      <c r="E2482" t="s">
        <v>50</v>
      </c>
      <c r="F2482" t="s">
        <v>67</v>
      </c>
      <c r="G2482" t="s">
        <v>29</v>
      </c>
      <c r="H2482" s="3">
        <v>90450.08590447114</v>
      </c>
      <c r="I2482">
        <v>21</v>
      </c>
      <c r="J2482" s="3">
        <v>59173.245596526504</v>
      </c>
      <c r="K2482" s="3">
        <v>31276.84030794464</v>
      </c>
    </row>
    <row r="2483" spans="1:11" x14ac:dyDescent="0.3">
      <c r="A2483" t="s">
        <v>2559</v>
      </c>
      <c r="B2483" s="2">
        <v>45901</v>
      </c>
      <c r="C2483">
        <v>2025</v>
      </c>
      <c r="D2483">
        <v>9</v>
      </c>
      <c r="E2483" t="s">
        <v>50</v>
      </c>
      <c r="F2483" t="s">
        <v>48</v>
      </c>
      <c r="G2483" t="s">
        <v>29</v>
      </c>
      <c r="H2483" s="3">
        <v>130488.9259484338</v>
      </c>
      <c r="I2483">
        <v>30</v>
      </c>
      <c r="J2483" s="3">
        <v>83501.35425929878</v>
      </c>
      <c r="K2483" s="3">
        <v>46987.571689135031</v>
      </c>
    </row>
    <row r="2484" spans="1:11" x14ac:dyDescent="0.3">
      <c r="A2484" t="s">
        <v>2560</v>
      </c>
      <c r="B2484" s="2">
        <v>45901</v>
      </c>
      <c r="C2484">
        <v>2025</v>
      </c>
      <c r="D2484">
        <v>9</v>
      </c>
      <c r="E2484" t="s">
        <v>54</v>
      </c>
      <c r="F2484" t="s">
        <v>67</v>
      </c>
      <c r="G2484" t="s">
        <v>29</v>
      </c>
      <c r="H2484" s="3">
        <v>68800.246239269589</v>
      </c>
      <c r="I2484">
        <v>16</v>
      </c>
      <c r="J2484" s="3">
        <v>43724.735457169038</v>
      </c>
      <c r="K2484" s="3">
        <v>25075.510782100551</v>
      </c>
    </row>
    <row r="2485" spans="1:11" x14ac:dyDescent="0.3">
      <c r="A2485" t="s">
        <v>2561</v>
      </c>
      <c r="B2485" s="2">
        <v>45901</v>
      </c>
      <c r="C2485">
        <v>2025</v>
      </c>
      <c r="D2485">
        <v>9</v>
      </c>
      <c r="E2485" t="s">
        <v>54</v>
      </c>
      <c r="F2485" t="s">
        <v>48</v>
      </c>
      <c r="G2485" t="s">
        <v>29</v>
      </c>
      <c r="H2485" s="3">
        <v>111015.93499432541</v>
      </c>
      <c r="I2485">
        <v>26</v>
      </c>
      <c r="J2485" s="3">
        <v>72720.538802059324</v>
      </c>
      <c r="K2485" s="3">
        <v>38295.396192266038</v>
      </c>
    </row>
    <row r="2486" spans="1:11" x14ac:dyDescent="0.3">
      <c r="A2486" t="s">
        <v>2562</v>
      </c>
      <c r="B2486" s="2">
        <v>45901</v>
      </c>
      <c r="C2486">
        <v>2025</v>
      </c>
      <c r="D2486">
        <v>9</v>
      </c>
      <c r="E2486" t="s">
        <v>58</v>
      </c>
      <c r="F2486" t="s">
        <v>67</v>
      </c>
      <c r="G2486" t="s">
        <v>29</v>
      </c>
      <c r="H2486" s="3">
        <v>42117.192360144079</v>
      </c>
      <c r="I2486">
        <v>10</v>
      </c>
      <c r="J2486" s="3">
        <v>26716.502145777631</v>
      </c>
      <c r="K2486" s="3">
        <v>15400.69021436645</v>
      </c>
    </row>
    <row r="2487" spans="1:11" x14ac:dyDescent="0.3">
      <c r="A2487" t="s">
        <v>2563</v>
      </c>
      <c r="B2487" s="2">
        <v>45901</v>
      </c>
      <c r="C2487">
        <v>2025</v>
      </c>
      <c r="D2487">
        <v>9</v>
      </c>
      <c r="E2487" t="s">
        <v>58</v>
      </c>
      <c r="F2487" t="s">
        <v>48</v>
      </c>
      <c r="G2487" t="s">
        <v>29</v>
      </c>
      <c r="H2487" s="3">
        <v>74148.232898976319</v>
      </c>
      <c r="I2487">
        <v>17</v>
      </c>
      <c r="J2487" s="3">
        <v>46248.136169149548</v>
      </c>
      <c r="K2487" s="3">
        <v>27900.096729826761</v>
      </c>
    </row>
    <row r="2488" spans="1:11" x14ac:dyDescent="0.3">
      <c r="A2488" t="s">
        <v>2564</v>
      </c>
      <c r="B2488" s="2">
        <v>45901</v>
      </c>
      <c r="C2488">
        <v>2025</v>
      </c>
      <c r="D2488">
        <v>9</v>
      </c>
      <c r="E2488" t="s">
        <v>62</v>
      </c>
      <c r="F2488" t="s">
        <v>67</v>
      </c>
      <c r="G2488" t="s">
        <v>29</v>
      </c>
      <c r="H2488" s="3">
        <v>33355.528797866697</v>
      </c>
      <c r="I2488">
        <v>8</v>
      </c>
      <c r="J2488" s="3">
        <v>21148.937074011159</v>
      </c>
      <c r="K2488" s="3">
        <v>12206.591723855539</v>
      </c>
    </row>
    <row r="2489" spans="1:11" x14ac:dyDescent="0.3">
      <c r="A2489" t="s">
        <v>2565</v>
      </c>
      <c r="B2489" s="2">
        <v>45901</v>
      </c>
      <c r="C2489">
        <v>2025</v>
      </c>
      <c r="D2489">
        <v>9</v>
      </c>
      <c r="E2489" t="s">
        <v>62</v>
      </c>
      <c r="F2489" t="s">
        <v>48</v>
      </c>
      <c r="G2489" t="s">
        <v>29</v>
      </c>
      <c r="H2489" s="3">
        <v>57411.937878612487</v>
      </c>
      <c r="I2489">
        <v>13</v>
      </c>
      <c r="J2489" s="3">
        <v>37153.059672288568</v>
      </c>
      <c r="K2489" s="3">
        <v>20258.87820632392</v>
      </c>
    </row>
    <row r="2490" spans="1:11" x14ac:dyDescent="0.3">
      <c r="A2490" t="s">
        <v>2566</v>
      </c>
      <c r="B2490" s="2">
        <v>45901</v>
      </c>
      <c r="C2490">
        <v>2025</v>
      </c>
      <c r="D2490">
        <v>9</v>
      </c>
      <c r="E2490" t="s">
        <v>50</v>
      </c>
      <c r="F2490" t="s">
        <v>67</v>
      </c>
      <c r="G2490" t="s">
        <v>34</v>
      </c>
      <c r="H2490" s="3">
        <v>70061.282114561909</v>
      </c>
      <c r="I2490">
        <v>82</v>
      </c>
      <c r="J2490" s="3">
        <v>34472.057505105658</v>
      </c>
      <c r="K2490" s="3">
        <v>35589.224609456251</v>
      </c>
    </row>
    <row r="2491" spans="1:11" x14ac:dyDescent="0.3">
      <c r="A2491" t="s">
        <v>2567</v>
      </c>
      <c r="B2491" s="2">
        <v>45901</v>
      </c>
      <c r="C2491">
        <v>2025</v>
      </c>
      <c r="D2491">
        <v>9</v>
      </c>
      <c r="E2491" t="s">
        <v>50</v>
      </c>
      <c r="F2491" t="s">
        <v>48</v>
      </c>
      <c r="G2491" t="s">
        <v>34</v>
      </c>
      <c r="H2491" s="3">
        <v>116189.1932375138</v>
      </c>
      <c r="I2491">
        <v>137</v>
      </c>
      <c r="J2491" s="3">
        <v>55882.372714466997</v>
      </c>
      <c r="K2491" s="3">
        <v>60306.82052304683</v>
      </c>
    </row>
    <row r="2492" spans="1:11" x14ac:dyDescent="0.3">
      <c r="A2492" t="s">
        <v>2568</v>
      </c>
      <c r="B2492" s="2">
        <v>45901</v>
      </c>
      <c r="C2492">
        <v>2025</v>
      </c>
      <c r="D2492">
        <v>9</v>
      </c>
      <c r="E2492" t="s">
        <v>54</v>
      </c>
      <c r="F2492" t="s">
        <v>67</v>
      </c>
      <c r="G2492" t="s">
        <v>34</v>
      </c>
      <c r="H2492" s="3">
        <v>56929.254086916168</v>
      </c>
      <c r="I2492">
        <v>67</v>
      </c>
      <c r="J2492" s="3">
        <v>27974.421912434718</v>
      </c>
      <c r="K2492" s="3">
        <v>28954.83217448146</v>
      </c>
    </row>
    <row r="2493" spans="1:11" x14ac:dyDescent="0.3">
      <c r="A2493" t="s">
        <v>2569</v>
      </c>
      <c r="B2493" s="2">
        <v>45901</v>
      </c>
      <c r="C2493">
        <v>2025</v>
      </c>
      <c r="D2493">
        <v>9</v>
      </c>
      <c r="E2493" t="s">
        <v>54</v>
      </c>
      <c r="F2493" t="s">
        <v>48</v>
      </c>
      <c r="G2493" t="s">
        <v>34</v>
      </c>
      <c r="H2493" s="3">
        <v>94525.919640539258</v>
      </c>
      <c r="I2493">
        <v>111</v>
      </c>
      <c r="J2493" s="3">
        <v>44263.2146101451</v>
      </c>
      <c r="K2493" s="3">
        <v>50262.705030394158</v>
      </c>
    </row>
    <row r="2494" spans="1:11" x14ac:dyDescent="0.3">
      <c r="A2494" t="s">
        <v>2570</v>
      </c>
      <c r="B2494" s="2">
        <v>45901</v>
      </c>
      <c r="C2494">
        <v>2025</v>
      </c>
      <c r="D2494">
        <v>9</v>
      </c>
      <c r="E2494" t="s">
        <v>58</v>
      </c>
      <c r="F2494" t="s">
        <v>67</v>
      </c>
      <c r="G2494" t="s">
        <v>34</v>
      </c>
      <c r="H2494" s="3">
        <v>39778.006646297174</v>
      </c>
      <c r="I2494">
        <v>47</v>
      </c>
      <c r="J2494" s="3">
        <v>18941.101526114209</v>
      </c>
      <c r="K2494" s="3">
        <v>20836.905120182961</v>
      </c>
    </row>
    <row r="2495" spans="1:11" x14ac:dyDescent="0.3">
      <c r="A2495" t="s">
        <v>2571</v>
      </c>
      <c r="B2495" s="2">
        <v>45901</v>
      </c>
      <c r="C2495">
        <v>2025</v>
      </c>
      <c r="D2495">
        <v>9</v>
      </c>
      <c r="E2495" t="s">
        <v>58</v>
      </c>
      <c r="F2495" t="s">
        <v>48</v>
      </c>
      <c r="G2495" t="s">
        <v>34</v>
      </c>
      <c r="H2495" s="3">
        <v>65796.684991839429</v>
      </c>
      <c r="I2495">
        <v>77</v>
      </c>
      <c r="J2495" s="3">
        <v>31418.358644352829</v>
      </c>
      <c r="K2495" s="3">
        <v>34378.326347486603</v>
      </c>
    </row>
    <row r="2496" spans="1:11" x14ac:dyDescent="0.3">
      <c r="A2496" t="s">
        <v>2572</v>
      </c>
      <c r="B2496" s="2">
        <v>45901</v>
      </c>
      <c r="C2496">
        <v>2025</v>
      </c>
      <c r="D2496">
        <v>9</v>
      </c>
      <c r="E2496" t="s">
        <v>62</v>
      </c>
      <c r="F2496" t="s">
        <v>67</v>
      </c>
      <c r="G2496" t="s">
        <v>34</v>
      </c>
      <c r="H2496" s="3">
        <v>30600.70666326549</v>
      </c>
      <c r="I2496">
        <v>36</v>
      </c>
      <c r="J2496" s="3">
        <v>14658.050819243859</v>
      </c>
      <c r="K2496" s="3">
        <v>15942.655844021619</v>
      </c>
    </row>
    <row r="2497" spans="1:11" x14ac:dyDescent="0.3">
      <c r="A2497" t="s">
        <v>2573</v>
      </c>
      <c r="B2497" s="2">
        <v>45901</v>
      </c>
      <c r="C2497">
        <v>2025</v>
      </c>
      <c r="D2497">
        <v>9</v>
      </c>
      <c r="E2497" t="s">
        <v>62</v>
      </c>
      <c r="F2497" t="s">
        <v>48</v>
      </c>
      <c r="G2497" t="s">
        <v>34</v>
      </c>
      <c r="H2497" s="3">
        <v>52457.000392067879</v>
      </c>
      <c r="I2497">
        <v>62</v>
      </c>
      <c r="J2497" s="3">
        <v>25217.474160240621</v>
      </c>
      <c r="K2497" s="3">
        <v>27239.526231827262</v>
      </c>
    </row>
    <row r="2498" spans="1:11" x14ac:dyDescent="0.3">
      <c r="A2498" t="s">
        <v>2574</v>
      </c>
      <c r="B2498" s="2">
        <v>45901</v>
      </c>
      <c r="C2498">
        <v>2025</v>
      </c>
      <c r="D2498">
        <v>9</v>
      </c>
      <c r="E2498" t="s">
        <v>50</v>
      </c>
      <c r="F2498" t="s">
        <v>67</v>
      </c>
      <c r="G2498" t="s">
        <v>37</v>
      </c>
      <c r="H2498" s="3">
        <v>63501.454016854033</v>
      </c>
      <c r="I2498">
        <v>88</v>
      </c>
      <c r="J2498" s="3">
        <v>35360.150828136473</v>
      </c>
      <c r="K2498" s="3">
        <v>28141.303188717571</v>
      </c>
    </row>
    <row r="2499" spans="1:11" x14ac:dyDescent="0.3">
      <c r="A2499" t="s">
        <v>2575</v>
      </c>
      <c r="B2499" s="2">
        <v>45901</v>
      </c>
      <c r="C2499">
        <v>2025</v>
      </c>
      <c r="D2499">
        <v>9</v>
      </c>
      <c r="E2499" t="s">
        <v>50</v>
      </c>
      <c r="F2499" t="s">
        <v>48</v>
      </c>
      <c r="G2499" t="s">
        <v>37</v>
      </c>
      <c r="H2499" s="3">
        <v>104802.569918478</v>
      </c>
      <c r="I2499">
        <v>146</v>
      </c>
      <c r="J2499" s="3">
        <v>57179.906147562877</v>
      </c>
      <c r="K2499" s="3">
        <v>47622.663770915147</v>
      </c>
    </row>
    <row r="2500" spans="1:11" x14ac:dyDescent="0.3">
      <c r="A2500" t="s">
        <v>2576</v>
      </c>
      <c r="B2500" s="2">
        <v>45901</v>
      </c>
      <c r="C2500">
        <v>2025</v>
      </c>
      <c r="D2500">
        <v>9</v>
      </c>
      <c r="E2500" t="s">
        <v>54</v>
      </c>
      <c r="F2500" t="s">
        <v>67</v>
      </c>
      <c r="G2500" t="s">
        <v>37</v>
      </c>
      <c r="H2500" s="3">
        <v>48367.188843256132</v>
      </c>
      <c r="I2500">
        <v>67</v>
      </c>
      <c r="J2500" s="3">
        <v>26668.52568868014</v>
      </c>
      <c r="K2500" s="3">
        <v>21698.663154575988</v>
      </c>
    </row>
    <row r="2501" spans="1:11" x14ac:dyDescent="0.3">
      <c r="A2501" t="s">
        <v>2577</v>
      </c>
      <c r="B2501" s="2">
        <v>45901</v>
      </c>
      <c r="C2501">
        <v>2025</v>
      </c>
      <c r="D2501">
        <v>9</v>
      </c>
      <c r="E2501" t="s">
        <v>54</v>
      </c>
      <c r="F2501" t="s">
        <v>48</v>
      </c>
      <c r="G2501" t="s">
        <v>37</v>
      </c>
      <c r="H2501" s="3">
        <v>78400.433815791024</v>
      </c>
      <c r="I2501">
        <v>109</v>
      </c>
      <c r="J2501" s="3">
        <v>43085.215822338418</v>
      </c>
      <c r="K2501" s="3">
        <v>35315.217993452599</v>
      </c>
    </row>
    <row r="2502" spans="1:11" x14ac:dyDescent="0.3">
      <c r="A2502" t="s">
        <v>2578</v>
      </c>
      <c r="B2502" s="2">
        <v>45901</v>
      </c>
      <c r="C2502">
        <v>2025</v>
      </c>
      <c r="D2502">
        <v>9</v>
      </c>
      <c r="E2502" t="s">
        <v>58</v>
      </c>
      <c r="F2502" t="s">
        <v>67</v>
      </c>
      <c r="G2502" t="s">
        <v>37</v>
      </c>
      <c r="H2502" s="3">
        <v>36224.050712469092</v>
      </c>
      <c r="I2502">
        <v>50</v>
      </c>
      <c r="J2502" s="3">
        <v>19591.187011814109</v>
      </c>
      <c r="K2502" s="3">
        <v>16632.86370065498</v>
      </c>
    </row>
    <row r="2503" spans="1:11" x14ac:dyDescent="0.3">
      <c r="A2503" t="s">
        <v>2579</v>
      </c>
      <c r="B2503" s="2">
        <v>45901</v>
      </c>
      <c r="C2503">
        <v>2025</v>
      </c>
      <c r="D2503">
        <v>9</v>
      </c>
      <c r="E2503" t="s">
        <v>58</v>
      </c>
      <c r="F2503" t="s">
        <v>48</v>
      </c>
      <c r="G2503" t="s">
        <v>37</v>
      </c>
      <c r="H2503" s="3">
        <v>57158.176995494519</v>
      </c>
      <c r="I2503">
        <v>79</v>
      </c>
      <c r="J2503" s="3">
        <v>31372.677238265209</v>
      </c>
      <c r="K2503" s="3">
        <v>25785.49975722931</v>
      </c>
    </row>
    <row r="2504" spans="1:11" x14ac:dyDescent="0.3">
      <c r="A2504" t="s">
        <v>2580</v>
      </c>
      <c r="B2504" s="2">
        <v>45901</v>
      </c>
      <c r="C2504">
        <v>2025</v>
      </c>
      <c r="D2504">
        <v>9</v>
      </c>
      <c r="E2504" t="s">
        <v>62</v>
      </c>
      <c r="F2504" t="s">
        <v>67</v>
      </c>
      <c r="G2504" t="s">
        <v>37</v>
      </c>
      <c r="H2504" s="3">
        <v>25892.559586373081</v>
      </c>
      <c r="I2504">
        <v>36</v>
      </c>
      <c r="J2504" s="3">
        <v>14204.08261441888</v>
      </c>
      <c r="K2504" s="3">
        <v>11688.4769719542</v>
      </c>
    </row>
    <row r="2505" spans="1:11" x14ac:dyDescent="0.3">
      <c r="A2505" t="s">
        <v>2581</v>
      </c>
      <c r="B2505" s="2">
        <v>45901</v>
      </c>
      <c r="C2505">
        <v>2025</v>
      </c>
      <c r="D2505">
        <v>9</v>
      </c>
      <c r="E2505" t="s">
        <v>62</v>
      </c>
      <c r="F2505" t="s">
        <v>48</v>
      </c>
      <c r="G2505" t="s">
        <v>37</v>
      </c>
      <c r="H2505" s="3">
        <v>40116.418434093823</v>
      </c>
      <c r="I2505">
        <v>56</v>
      </c>
      <c r="J2505" s="3">
        <v>21998.46797264371</v>
      </c>
      <c r="K2505" s="3">
        <v>18117.950461450098</v>
      </c>
    </row>
    <row r="2506" spans="1:11" x14ac:dyDescent="0.3">
      <c r="A2506" t="s">
        <v>2582</v>
      </c>
      <c r="B2506" s="2">
        <v>45901</v>
      </c>
      <c r="C2506">
        <v>2025</v>
      </c>
      <c r="D2506">
        <v>9</v>
      </c>
      <c r="E2506" t="s">
        <v>50</v>
      </c>
      <c r="F2506" t="s">
        <v>67</v>
      </c>
      <c r="G2506" t="s">
        <v>40</v>
      </c>
      <c r="H2506" s="3">
        <v>56265.079111352337</v>
      </c>
      <c r="I2506">
        <v>10</v>
      </c>
      <c r="J2506" s="3">
        <v>38845.098485179762</v>
      </c>
      <c r="K2506" s="3">
        <v>17419.980626172579</v>
      </c>
    </row>
    <row r="2507" spans="1:11" x14ac:dyDescent="0.3">
      <c r="A2507" t="s">
        <v>2583</v>
      </c>
      <c r="B2507" s="2">
        <v>45901</v>
      </c>
      <c r="C2507">
        <v>2025</v>
      </c>
      <c r="D2507">
        <v>9</v>
      </c>
      <c r="E2507" t="s">
        <v>50</v>
      </c>
      <c r="F2507" t="s">
        <v>48</v>
      </c>
      <c r="G2507" t="s">
        <v>40</v>
      </c>
      <c r="H2507" s="3">
        <v>87587.878206654466</v>
      </c>
      <c r="I2507">
        <v>16</v>
      </c>
      <c r="J2507" s="3">
        <v>60517.956776536783</v>
      </c>
      <c r="K2507" s="3">
        <v>27069.92143011768</v>
      </c>
    </row>
    <row r="2508" spans="1:11" x14ac:dyDescent="0.3">
      <c r="A2508" t="s">
        <v>2584</v>
      </c>
      <c r="B2508" s="2">
        <v>45901</v>
      </c>
      <c r="C2508">
        <v>2025</v>
      </c>
      <c r="D2508">
        <v>9</v>
      </c>
      <c r="E2508" t="s">
        <v>54</v>
      </c>
      <c r="F2508" t="s">
        <v>67</v>
      </c>
      <c r="G2508" t="s">
        <v>40</v>
      </c>
      <c r="H2508" s="3">
        <v>41697.423825976577</v>
      </c>
      <c r="I2508">
        <v>8</v>
      </c>
      <c r="J2508" s="3">
        <v>28547.34454628337</v>
      </c>
      <c r="K2508" s="3">
        <v>13150.079279693209</v>
      </c>
    </row>
    <row r="2509" spans="1:11" x14ac:dyDescent="0.3">
      <c r="A2509" t="s">
        <v>2585</v>
      </c>
      <c r="B2509" s="2">
        <v>45901</v>
      </c>
      <c r="C2509">
        <v>2025</v>
      </c>
      <c r="D2509">
        <v>9</v>
      </c>
      <c r="E2509" t="s">
        <v>54</v>
      </c>
      <c r="F2509" t="s">
        <v>48</v>
      </c>
      <c r="G2509" t="s">
        <v>40</v>
      </c>
      <c r="H2509" s="3">
        <v>70265.650155442359</v>
      </c>
      <c r="I2509">
        <v>13</v>
      </c>
      <c r="J2509" s="3">
        <v>49593.995960056913</v>
      </c>
      <c r="K2509" s="3">
        <v>20671.65419538545</v>
      </c>
    </row>
    <row r="2510" spans="1:11" x14ac:dyDescent="0.3">
      <c r="A2510" t="s">
        <v>2586</v>
      </c>
      <c r="B2510" s="2">
        <v>45901</v>
      </c>
      <c r="C2510">
        <v>2025</v>
      </c>
      <c r="D2510">
        <v>9</v>
      </c>
      <c r="E2510" t="s">
        <v>58</v>
      </c>
      <c r="F2510" t="s">
        <v>67</v>
      </c>
      <c r="G2510" t="s">
        <v>40</v>
      </c>
      <c r="H2510" s="3">
        <v>29726.018403580601</v>
      </c>
      <c r="I2510">
        <v>6</v>
      </c>
      <c r="J2510" s="3">
        <v>20079.18378485812</v>
      </c>
      <c r="K2510" s="3">
        <v>9646.8346187224815</v>
      </c>
    </row>
    <row r="2511" spans="1:11" x14ac:dyDescent="0.3">
      <c r="A2511" t="s">
        <v>2587</v>
      </c>
      <c r="B2511" s="2">
        <v>45901</v>
      </c>
      <c r="C2511">
        <v>2025</v>
      </c>
      <c r="D2511">
        <v>9</v>
      </c>
      <c r="E2511" t="s">
        <v>58</v>
      </c>
      <c r="F2511" t="s">
        <v>48</v>
      </c>
      <c r="G2511" t="s">
        <v>40</v>
      </c>
      <c r="H2511" s="3">
        <v>45908.421233916728</v>
      </c>
      <c r="I2511">
        <v>9</v>
      </c>
      <c r="J2511" s="3">
        <v>31265.72604639874</v>
      </c>
      <c r="K2511" s="3">
        <v>14642.69518751798</v>
      </c>
    </row>
    <row r="2512" spans="1:11" x14ac:dyDescent="0.3">
      <c r="A2512" t="s">
        <v>2588</v>
      </c>
      <c r="B2512" s="2">
        <v>45901</v>
      </c>
      <c r="C2512">
        <v>2025</v>
      </c>
      <c r="D2512">
        <v>9</v>
      </c>
      <c r="E2512" t="s">
        <v>62</v>
      </c>
      <c r="F2512" t="s">
        <v>67</v>
      </c>
      <c r="G2512" t="s">
        <v>40</v>
      </c>
      <c r="H2512" s="3">
        <v>22924.691430379331</v>
      </c>
      <c r="I2512">
        <v>4</v>
      </c>
      <c r="J2512" s="3">
        <v>16609.56130571245</v>
      </c>
      <c r="K2512" s="3">
        <v>6315.1301246668854</v>
      </c>
    </row>
    <row r="2513" spans="1:11" x14ac:dyDescent="0.3">
      <c r="A2513" t="s">
        <v>2589</v>
      </c>
      <c r="B2513" s="2">
        <v>45901</v>
      </c>
      <c r="C2513">
        <v>2025</v>
      </c>
      <c r="D2513">
        <v>9</v>
      </c>
      <c r="E2513" t="s">
        <v>62</v>
      </c>
      <c r="F2513" t="s">
        <v>48</v>
      </c>
      <c r="G2513" t="s">
        <v>40</v>
      </c>
      <c r="H2513" s="3">
        <v>38136.111881933422</v>
      </c>
      <c r="I2513">
        <v>7</v>
      </c>
      <c r="J2513" s="3">
        <v>25822.272064310411</v>
      </c>
      <c r="K2513" s="3">
        <v>12313.839817623009</v>
      </c>
    </row>
    <row r="2514" spans="1:11" x14ac:dyDescent="0.3">
      <c r="A2514" t="s">
        <v>2590</v>
      </c>
      <c r="B2514" s="2">
        <v>45901</v>
      </c>
      <c r="C2514">
        <v>2025</v>
      </c>
      <c r="D2514">
        <v>9</v>
      </c>
      <c r="E2514" t="s">
        <v>50</v>
      </c>
      <c r="F2514" t="s">
        <v>67</v>
      </c>
      <c r="G2514" t="s">
        <v>43</v>
      </c>
      <c r="H2514" s="3">
        <v>107594.8800850796</v>
      </c>
      <c r="I2514">
        <v>31</v>
      </c>
      <c r="J2514" s="3">
        <v>61934.101146725043</v>
      </c>
      <c r="K2514" s="3">
        <v>45660.778938354561</v>
      </c>
    </row>
    <row r="2515" spans="1:11" x14ac:dyDescent="0.3">
      <c r="A2515" t="s">
        <v>2591</v>
      </c>
      <c r="B2515" s="2">
        <v>45901</v>
      </c>
      <c r="C2515">
        <v>2025</v>
      </c>
      <c r="D2515">
        <v>9</v>
      </c>
      <c r="E2515" t="s">
        <v>50</v>
      </c>
      <c r="F2515" t="s">
        <v>48</v>
      </c>
      <c r="G2515" t="s">
        <v>43</v>
      </c>
      <c r="H2515" s="3">
        <v>178386.22233490431</v>
      </c>
      <c r="I2515">
        <v>51</v>
      </c>
      <c r="J2515" s="3">
        <v>106639.30922672839</v>
      </c>
      <c r="K2515" s="3">
        <v>71746.913108175897</v>
      </c>
    </row>
    <row r="2516" spans="1:11" x14ac:dyDescent="0.3">
      <c r="A2516" t="s">
        <v>2592</v>
      </c>
      <c r="B2516" s="2">
        <v>45901</v>
      </c>
      <c r="C2516">
        <v>2025</v>
      </c>
      <c r="D2516">
        <v>9</v>
      </c>
      <c r="E2516" t="s">
        <v>54</v>
      </c>
      <c r="F2516" t="s">
        <v>67</v>
      </c>
      <c r="G2516" t="s">
        <v>43</v>
      </c>
      <c r="H2516" s="3">
        <v>92191.577132166742</v>
      </c>
      <c r="I2516">
        <v>26</v>
      </c>
      <c r="J2516" s="3">
        <v>52359.375323627493</v>
      </c>
      <c r="K2516" s="3">
        <v>39832.201808539263</v>
      </c>
    </row>
    <row r="2517" spans="1:11" x14ac:dyDescent="0.3">
      <c r="A2517" t="s">
        <v>2593</v>
      </c>
      <c r="B2517" s="2">
        <v>45901</v>
      </c>
      <c r="C2517">
        <v>2025</v>
      </c>
      <c r="D2517">
        <v>9</v>
      </c>
      <c r="E2517" t="s">
        <v>54</v>
      </c>
      <c r="F2517" t="s">
        <v>48</v>
      </c>
      <c r="G2517" t="s">
        <v>43</v>
      </c>
      <c r="H2517" s="3">
        <v>156065.85715044889</v>
      </c>
      <c r="I2517">
        <v>45</v>
      </c>
      <c r="J2517" s="3">
        <v>91688.908175371529</v>
      </c>
      <c r="K2517" s="3">
        <v>64376.948975077386</v>
      </c>
    </row>
    <row r="2518" spans="1:11" x14ac:dyDescent="0.3">
      <c r="A2518" t="s">
        <v>2594</v>
      </c>
      <c r="B2518" s="2">
        <v>45901</v>
      </c>
      <c r="C2518">
        <v>2025</v>
      </c>
      <c r="D2518">
        <v>9</v>
      </c>
      <c r="E2518" t="s">
        <v>58</v>
      </c>
      <c r="F2518" t="s">
        <v>67</v>
      </c>
      <c r="G2518" t="s">
        <v>43</v>
      </c>
      <c r="H2518" s="3">
        <v>62164.843912003671</v>
      </c>
      <c r="I2518">
        <v>18</v>
      </c>
      <c r="J2518" s="3">
        <v>38093.911443729361</v>
      </c>
      <c r="K2518" s="3">
        <v>24070.93246827431</v>
      </c>
    </row>
    <row r="2519" spans="1:11" x14ac:dyDescent="0.3">
      <c r="A2519" t="s">
        <v>2595</v>
      </c>
      <c r="B2519" s="2">
        <v>45901</v>
      </c>
      <c r="C2519">
        <v>2025</v>
      </c>
      <c r="D2519">
        <v>9</v>
      </c>
      <c r="E2519" t="s">
        <v>58</v>
      </c>
      <c r="F2519" t="s">
        <v>48</v>
      </c>
      <c r="G2519" t="s">
        <v>43</v>
      </c>
      <c r="H2519" s="3">
        <v>103615.4529947463</v>
      </c>
      <c r="I2519">
        <v>30</v>
      </c>
      <c r="J2519" s="3">
        <v>59433.07578672099</v>
      </c>
      <c r="K2519" s="3">
        <v>44182.377208025267</v>
      </c>
    </row>
    <row r="2520" spans="1:11" x14ac:dyDescent="0.3">
      <c r="A2520" t="s">
        <v>2596</v>
      </c>
      <c r="B2520" s="2">
        <v>45901</v>
      </c>
      <c r="C2520">
        <v>2025</v>
      </c>
      <c r="D2520">
        <v>9</v>
      </c>
      <c r="E2520" t="s">
        <v>62</v>
      </c>
      <c r="F2520" t="s">
        <v>67</v>
      </c>
      <c r="G2520" t="s">
        <v>43</v>
      </c>
      <c r="H2520" s="3">
        <v>49632.498851310847</v>
      </c>
      <c r="I2520">
        <v>14</v>
      </c>
      <c r="J2520" s="3">
        <v>28238.48651461746</v>
      </c>
      <c r="K2520" s="3">
        <v>21394.012336693399</v>
      </c>
    </row>
    <row r="2521" spans="1:11" x14ac:dyDescent="0.3">
      <c r="A2521" t="s">
        <v>2597</v>
      </c>
      <c r="B2521" s="2">
        <v>45901</v>
      </c>
      <c r="C2521">
        <v>2025</v>
      </c>
      <c r="D2521">
        <v>9</v>
      </c>
      <c r="E2521" t="s">
        <v>62</v>
      </c>
      <c r="F2521" t="s">
        <v>48</v>
      </c>
      <c r="G2521" t="s">
        <v>43</v>
      </c>
      <c r="H2521" s="3">
        <v>80230.894869207681</v>
      </c>
      <c r="I2521">
        <v>23</v>
      </c>
      <c r="J2521" s="3">
        <v>46058.84747616035</v>
      </c>
      <c r="K2521" s="3">
        <v>34172.047393047331</v>
      </c>
    </row>
    <row r="2522" spans="1:11" x14ac:dyDescent="0.3">
      <c r="A2522" t="s">
        <v>2598</v>
      </c>
      <c r="B2522" s="2">
        <v>45931</v>
      </c>
      <c r="C2522">
        <v>2025</v>
      </c>
      <c r="D2522">
        <v>10</v>
      </c>
      <c r="E2522" t="s">
        <v>50</v>
      </c>
      <c r="F2522" t="s">
        <v>67</v>
      </c>
      <c r="G2522" t="s">
        <v>19</v>
      </c>
      <c r="H2522" s="3">
        <v>100724.0308576455</v>
      </c>
      <c r="I2522">
        <v>19</v>
      </c>
      <c r="J2522" s="3">
        <v>63458.727320959457</v>
      </c>
      <c r="K2522" s="3">
        <v>37265.303536686093</v>
      </c>
    </row>
    <row r="2523" spans="1:11" x14ac:dyDescent="0.3">
      <c r="A2523" t="s">
        <v>2599</v>
      </c>
      <c r="B2523" s="2">
        <v>45931</v>
      </c>
      <c r="C2523">
        <v>2025</v>
      </c>
      <c r="D2523">
        <v>10</v>
      </c>
      <c r="E2523" t="s">
        <v>50</v>
      </c>
      <c r="F2523" t="s">
        <v>48</v>
      </c>
      <c r="G2523" t="s">
        <v>19</v>
      </c>
      <c r="H2523" s="3">
        <v>156313.35206055181</v>
      </c>
      <c r="I2523">
        <v>30</v>
      </c>
      <c r="J2523" s="3">
        <v>98876.402910276651</v>
      </c>
      <c r="K2523" s="3">
        <v>57436.949150275192</v>
      </c>
    </row>
    <row r="2524" spans="1:11" x14ac:dyDescent="0.3">
      <c r="A2524" t="s">
        <v>2600</v>
      </c>
      <c r="B2524" s="2">
        <v>45931</v>
      </c>
      <c r="C2524">
        <v>2025</v>
      </c>
      <c r="D2524">
        <v>10</v>
      </c>
      <c r="E2524" t="s">
        <v>54</v>
      </c>
      <c r="F2524" t="s">
        <v>67</v>
      </c>
      <c r="G2524" t="s">
        <v>19</v>
      </c>
      <c r="H2524" s="3">
        <v>72181.779952958444</v>
      </c>
      <c r="I2524">
        <v>14</v>
      </c>
      <c r="J2524" s="3">
        <v>44339.78835010586</v>
      </c>
      <c r="K2524" s="3">
        <v>27841.99160285258</v>
      </c>
    </row>
    <row r="2525" spans="1:11" x14ac:dyDescent="0.3">
      <c r="A2525" t="s">
        <v>2601</v>
      </c>
      <c r="B2525" s="2">
        <v>45931</v>
      </c>
      <c r="C2525">
        <v>2025</v>
      </c>
      <c r="D2525">
        <v>10</v>
      </c>
      <c r="E2525" t="s">
        <v>54</v>
      </c>
      <c r="F2525" t="s">
        <v>48</v>
      </c>
      <c r="G2525" t="s">
        <v>19</v>
      </c>
      <c r="H2525" s="3">
        <v>119026.1831356028</v>
      </c>
      <c r="I2525">
        <v>23</v>
      </c>
      <c r="J2525" s="3">
        <v>74703.766582339376</v>
      </c>
      <c r="K2525" s="3">
        <v>44322.416553263378</v>
      </c>
    </row>
    <row r="2526" spans="1:11" x14ac:dyDescent="0.3">
      <c r="A2526" t="s">
        <v>2602</v>
      </c>
      <c r="B2526" s="2">
        <v>45931</v>
      </c>
      <c r="C2526">
        <v>2025</v>
      </c>
      <c r="D2526">
        <v>10</v>
      </c>
      <c r="E2526" t="s">
        <v>58</v>
      </c>
      <c r="F2526" t="s">
        <v>67</v>
      </c>
      <c r="G2526" t="s">
        <v>19</v>
      </c>
      <c r="H2526" s="3">
        <v>58118.293516189427</v>
      </c>
      <c r="I2526">
        <v>11</v>
      </c>
      <c r="J2526" s="3">
        <v>36935.061801841999</v>
      </c>
      <c r="K2526" s="3">
        <v>21183.231714347428</v>
      </c>
    </row>
    <row r="2527" spans="1:11" x14ac:dyDescent="0.3">
      <c r="A2527" t="s">
        <v>2603</v>
      </c>
      <c r="B2527" s="2">
        <v>45931</v>
      </c>
      <c r="C2527">
        <v>2025</v>
      </c>
      <c r="D2527">
        <v>10</v>
      </c>
      <c r="E2527" t="s">
        <v>58</v>
      </c>
      <c r="F2527" t="s">
        <v>48</v>
      </c>
      <c r="G2527" t="s">
        <v>19</v>
      </c>
      <c r="H2527" s="3">
        <v>85091.917702727267</v>
      </c>
      <c r="I2527">
        <v>16</v>
      </c>
      <c r="J2527" s="3">
        <v>54454.299247163573</v>
      </c>
      <c r="K2527" s="3">
        <v>30637.61845556369</v>
      </c>
    </row>
    <row r="2528" spans="1:11" x14ac:dyDescent="0.3">
      <c r="A2528" t="s">
        <v>2604</v>
      </c>
      <c r="B2528" s="2">
        <v>45931</v>
      </c>
      <c r="C2528">
        <v>2025</v>
      </c>
      <c r="D2528">
        <v>10</v>
      </c>
      <c r="E2528" t="s">
        <v>62</v>
      </c>
      <c r="F2528" t="s">
        <v>67</v>
      </c>
      <c r="G2528" t="s">
        <v>19</v>
      </c>
      <c r="H2528" s="3">
        <v>42180.32936795993</v>
      </c>
      <c r="I2528">
        <v>8</v>
      </c>
      <c r="J2528" s="3">
        <v>26035.84619136167</v>
      </c>
      <c r="K2528" s="3">
        <v>16144.48317659826</v>
      </c>
    </row>
    <row r="2529" spans="1:11" x14ac:dyDescent="0.3">
      <c r="A2529" t="s">
        <v>2605</v>
      </c>
      <c r="B2529" s="2">
        <v>45931</v>
      </c>
      <c r="C2529">
        <v>2025</v>
      </c>
      <c r="D2529">
        <v>10</v>
      </c>
      <c r="E2529" t="s">
        <v>62</v>
      </c>
      <c r="F2529" t="s">
        <v>48</v>
      </c>
      <c r="G2529" t="s">
        <v>19</v>
      </c>
      <c r="H2529" s="3">
        <v>65768.197687216219</v>
      </c>
      <c r="I2529">
        <v>13</v>
      </c>
      <c r="J2529" s="3">
        <v>39087.064266678353</v>
      </c>
      <c r="K2529" s="3">
        <v>26681.13342053787</v>
      </c>
    </row>
    <row r="2530" spans="1:11" x14ac:dyDescent="0.3">
      <c r="A2530" t="s">
        <v>2606</v>
      </c>
      <c r="B2530" s="2">
        <v>45931</v>
      </c>
      <c r="C2530">
        <v>2025</v>
      </c>
      <c r="D2530">
        <v>10</v>
      </c>
      <c r="E2530" t="s">
        <v>50</v>
      </c>
      <c r="F2530" t="s">
        <v>67</v>
      </c>
      <c r="G2530" t="s">
        <v>24</v>
      </c>
      <c r="H2530" s="3">
        <v>107795.9595648829</v>
      </c>
      <c r="I2530">
        <v>18</v>
      </c>
      <c r="J2530" s="3">
        <v>70094.102631025162</v>
      </c>
      <c r="K2530" s="3">
        <v>37701.856933857744</v>
      </c>
    </row>
    <row r="2531" spans="1:11" x14ac:dyDescent="0.3">
      <c r="A2531" t="s">
        <v>2607</v>
      </c>
      <c r="B2531" s="2">
        <v>45931</v>
      </c>
      <c r="C2531">
        <v>2025</v>
      </c>
      <c r="D2531">
        <v>10</v>
      </c>
      <c r="E2531" t="s">
        <v>50</v>
      </c>
      <c r="F2531" t="s">
        <v>48</v>
      </c>
      <c r="G2531" t="s">
        <v>24</v>
      </c>
      <c r="H2531" s="3">
        <v>164056.94716927421</v>
      </c>
      <c r="I2531">
        <v>27</v>
      </c>
      <c r="J2531" s="3">
        <v>107445.7452357908</v>
      </c>
      <c r="K2531" s="3">
        <v>56611.201933483448</v>
      </c>
    </row>
    <row r="2532" spans="1:11" x14ac:dyDescent="0.3">
      <c r="A2532" t="s">
        <v>2608</v>
      </c>
      <c r="B2532" s="2">
        <v>45931</v>
      </c>
      <c r="C2532">
        <v>2025</v>
      </c>
      <c r="D2532">
        <v>10</v>
      </c>
      <c r="E2532" t="s">
        <v>54</v>
      </c>
      <c r="F2532" t="s">
        <v>67</v>
      </c>
      <c r="G2532" t="s">
        <v>24</v>
      </c>
      <c r="H2532" s="3">
        <v>93610.488572729853</v>
      </c>
      <c r="I2532">
        <v>15</v>
      </c>
      <c r="J2532" s="3">
        <v>61494.958537375023</v>
      </c>
      <c r="K2532" s="3">
        <v>32115.53003535483</v>
      </c>
    </row>
    <row r="2533" spans="1:11" x14ac:dyDescent="0.3">
      <c r="A2533" t="s">
        <v>2609</v>
      </c>
      <c r="B2533" s="2">
        <v>45931</v>
      </c>
      <c r="C2533">
        <v>2025</v>
      </c>
      <c r="D2533">
        <v>10</v>
      </c>
      <c r="E2533" t="s">
        <v>54</v>
      </c>
      <c r="F2533" t="s">
        <v>48</v>
      </c>
      <c r="G2533" t="s">
        <v>24</v>
      </c>
      <c r="H2533" s="3">
        <v>144812.23015200719</v>
      </c>
      <c r="I2533">
        <v>24</v>
      </c>
      <c r="J2533" s="3">
        <v>95252.88435520143</v>
      </c>
      <c r="K2533" s="3">
        <v>49559.345796805763</v>
      </c>
    </row>
    <row r="2534" spans="1:11" x14ac:dyDescent="0.3">
      <c r="A2534" t="s">
        <v>2610</v>
      </c>
      <c r="B2534" s="2">
        <v>45931</v>
      </c>
      <c r="C2534">
        <v>2025</v>
      </c>
      <c r="D2534">
        <v>10</v>
      </c>
      <c r="E2534" t="s">
        <v>58</v>
      </c>
      <c r="F2534" t="s">
        <v>67</v>
      </c>
      <c r="G2534" t="s">
        <v>24</v>
      </c>
      <c r="H2534" s="3">
        <v>65662.910824150269</v>
      </c>
      <c r="I2534">
        <v>11</v>
      </c>
      <c r="J2534" s="3">
        <v>44210.343273261053</v>
      </c>
      <c r="K2534" s="3">
        <v>21452.56755088922</v>
      </c>
    </row>
    <row r="2535" spans="1:11" x14ac:dyDescent="0.3">
      <c r="A2535" t="s">
        <v>2611</v>
      </c>
      <c r="B2535" s="2">
        <v>45931</v>
      </c>
      <c r="C2535">
        <v>2025</v>
      </c>
      <c r="D2535">
        <v>10</v>
      </c>
      <c r="E2535" t="s">
        <v>58</v>
      </c>
      <c r="F2535" t="s">
        <v>48</v>
      </c>
      <c r="G2535" t="s">
        <v>24</v>
      </c>
      <c r="H2535" s="3">
        <v>119962.7613961399</v>
      </c>
      <c r="I2535">
        <v>20</v>
      </c>
      <c r="J2535" s="3">
        <v>80991.683886266444</v>
      </c>
      <c r="K2535" s="3">
        <v>38971.077509873488</v>
      </c>
    </row>
    <row r="2536" spans="1:11" x14ac:dyDescent="0.3">
      <c r="A2536" t="s">
        <v>2612</v>
      </c>
      <c r="B2536" s="2">
        <v>45931</v>
      </c>
      <c r="C2536">
        <v>2025</v>
      </c>
      <c r="D2536">
        <v>10</v>
      </c>
      <c r="E2536" t="s">
        <v>62</v>
      </c>
      <c r="F2536" t="s">
        <v>67</v>
      </c>
      <c r="G2536" t="s">
        <v>24</v>
      </c>
      <c r="H2536" s="3">
        <v>49408.73447936817</v>
      </c>
      <c r="I2536">
        <v>8</v>
      </c>
      <c r="J2536" s="3">
        <v>32508.996481934581</v>
      </c>
      <c r="K2536" s="3">
        <v>16899.737997433589</v>
      </c>
    </row>
    <row r="2537" spans="1:11" x14ac:dyDescent="0.3">
      <c r="A2537" t="s">
        <v>2613</v>
      </c>
      <c r="B2537" s="2">
        <v>45931</v>
      </c>
      <c r="C2537">
        <v>2025</v>
      </c>
      <c r="D2537">
        <v>10</v>
      </c>
      <c r="E2537" t="s">
        <v>62</v>
      </c>
      <c r="F2537" t="s">
        <v>48</v>
      </c>
      <c r="G2537" t="s">
        <v>24</v>
      </c>
      <c r="H2537" s="3">
        <v>80379.168483465008</v>
      </c>
      <c r="I2537">
        <v>13</v>
      </c>
      <c r="J2537" s="3">
        <v>54099.19937411994</v>
      </c>
      <c r="K2537" s="3">
        <v>26279.969109345071</v>
      </c>
    </row>
    <row r="2538" spans="1:11" x14ac:dyDescent="0.3">
      <c r="A2538" t="s">
        <v>2614</v>
      </c>
      <c r="B2538" s="2">
        <v>45931</v>
      </c>
      <c r="C2538">
        <v>2025</v>
      </c>
      <c r="D2538">
        <v>10</v>
      </c>
      <c r="E2538" t="s">
        <v>50</v>
      </c>
      <c r="F2538" t="s">
        <v>67</v>
      </c>
      <c r="G2538" t="s">
        <v>29</v>
      </c>
      <c r="H2538" s="3">
        <v>76258.394076590979</v>
      </c>
      <c r="I2538">
        <v>18</v>
      </c>
      <c r="J2538" s="3">
        <v>49119.576539236128</v>
      </c>
      <c r="K2538" s="3">
        <v>27138.817537354851</v>
      </c>
    </row>
    <row r="2539" spans="1:11" x14ac:dyDescent="0.3">
      <c r="A2539" t="s">
        <v>2615</v>
      </c>
      <c r="B2539" s="2">
        <v>45931</v>
      </c>
      <c r="C2539">
        <v>2025</v>
      </c>
      <c r="D2539">
        <v>10</v>
      </c>
      <c r="E2539" t="s">
        <v>50</v>
      </c>
      <c r="F2539" t="s">
        <v>48</v>
      </c>
      <c r="G2539" t="s">
        <v>29</v>
      </c>
      <c r="H2539" s="3">
        <v>125144.278776942</v>
      </c>
      <c r="I2539">
        <v>29</v>
      </c>
      <c r="J2539" s="3">
        <v>80185.334232994865</v>
      </c>
      <c r="K2539" s="3">
        <v>44958.944543947153</v>
      </c>
    </row>
    <row r="2540" spans="1:11" x14ac:dyDescent="0.3">
      <c r="A2540" t="s">
        <v>2616</v>
      </c>
      <c r="B2540" s="2">
        <v>45931</v>
      </c>
      <c r="C2540">
        <v>2025</v>
      </c>
      <c r="D2540">
        <v>10</v>
      </c>
      <c r="E2540" t="s">
        <v>54</v>
      </c>
      <c r="F2540" t="s">
        <v>67</v>
      </c>
      <c r="G2540" t="s">
        <v>29</v>
      </c>
      <c r="H2540" s="3">
        <v>62101.86181842535</v>
      </c>
      <c r="I2540">
        <v>14</v>
      </c>
      <c r="J2540" s="3">
        <v>40393.745445128923</v>
      </c>
      <c r="K2540" s="3">
        <v>21708.116373296431</v>
      </c>
    </row>
    <row r="2541" spans="1:11" x14ac:dyDescent="0.3">
      <c r="A2541" t="s">
        <v>2617</v>
      </c>
      <c r="B2541" s="2">
        <v>45931</v>
      </c>
      <c r="C2541">
        <v>2025</v>
      </c>
      <c r="D2541">
        <v>10</v>
      </c>
      <c r="E2541" t="s">
        <v>54</v>
      </c>
      <c r="F2541" t="s">
        <v>48</v>
      </c>
      <c r="G2541" t="s">
        <v>29</v>
      </c>
      <c r="H2541" s="3">
        <v>97157.10828652585</v>
      </c>
      <c r="I2541">
        <v>23</v>
      </c>
      <c r="J2541" s="3">
        <v>62261.417400235652</v>
      </c>
      <c r="K2541" s="3">
        <v>34895.690886290198</v>
      </c>
    </row>
    <row r="2542" spans="1:11" x14ac:dyDescent="0.3">
      <c r="A2542" t="s">
        <v>2618</v>
      </c>
      <c r="B2542" s="2">
        <v>45931</v>
      </c>
      <c r="C2542">
        <v>2025</v>
      </c>
      <c r="D2542">
        <v>10</v>
      </c>
      <c r="E2542" t="s">
        <v>58</v>
      </c>
      <c r="F2542" t="s">
        <v>67</v>
      </c>
      <c r="G2542" t="s">
        <v>29</v>
      </c>
      <c r="H2542" s="3">
        <v>42050.144705821091</v>
      </c>
      <c r="I2542">
        <v>10</v>
      </c>
      <c r="J2542" s="3">
        <v>27908.932701284481</v>
      </c>
      <c r="K2542" s="3">
        <v>14141.21200453661</v>
      </c>
    </row>
    <row r="2543" spans="1:11" x14ac:dyDescent="0.3">
      <c r="A2543" t="s">
        <v>2619</v>
      </c>
      <c r="B2543" s="2">
        <v>45931</v>
      </c>
      <c r="C2543">
        <v>2025</v>
      </c>
      <c r="D2543">
        <v>10</v>
      </c>
      <c r="E2543" t="s">
        <v>58</v>
      </c>
      <c r="F2543" t="s">
        <v>48</v>
      </c>
      <c r="G2543" t="s">
        <v>29</v>
      </c>
      <c r="H2543" s="3">
        <v>64067.767736060618</v>
      </c>
      <c r="I2543">
        <v>15</v>
      </c>
      <c r="J2543" s="3">
        <v>39941.736620981719</v>
      </c>
      <c r="K2543" s="3">
        <v>24126.031115078909</v>
      </c>
    </row>
    <row r="2544" spans="1:11" x14ac:dyDescent="0.3">
      <c r="A2544" t="s">
        <v>2620</v>
      </c>
      <c r="B2544" s="2">
        <v>45931</v>
      </c>
      <c r="C2544">
        <v>2025</v>
      </c>
      <c r="D2544">
        <v>10</v>
      </c>
      <c r="E2544" t="s">
        <v>62</v>
      </c>
      <c r="F2544" t="s">
        <v>67</v>
      </c>
      <c r="G2544" t="s">
        <v>29</v>
      </c>
      <c r="H2544" s="3">
        <v>30484.503260369671</v>
      </c>
      <c r="I2544">
        <v>7</v>
      </c>
      <c r="J2544" s="3">
        <v>19329.163609097821</v>
      </c>
      <c r="K2544" s="3">
        <v>11155.33965127185</v>
      </c>
    </row>
    <row r="2545" spans="1:11" x14ac:dyDescent="0.3">
      <c r="A2545" t="s">
        <v>2621</v>
      </c>
      <c r="B2545" s="2">
        <v>45931</v>
      </c>
      <c r="C2545">
        <v>2025</v>
      </c>
      <c r="D2545">
        <v>10</v>
      </c>
      <c r="E2545" t="s">
        <v>62</v>
      </c>
      <c r="F2545" t="s">
        <v>48</v>
      </c>
      <c r="G2545" t="s">
        <v>29</v>
      </c>
      <c r="H2545" s="3">
        <v>52342.801203308569</v>
      </c>
      <c r="I2545">
        <v>12</v>
      </c>
      <c r="J2545" s="3">
        <v>33423.103258123243</v>
      </c>
      <c r="K2545" s="3">
        <v>18919.697945185329</v>
      </c>
    </row>
    <row r="2546" spans="1:11" x14ac:dyDescent="0.3">
      <c r="A2546" t="s">
        <v>2622</v>
      </c>
      <c r="B2546" s="2">
        <v>45931</v>
      </c>
      <c r="C2546">
        <v>2025</v>
      </c>
      <c r="D2546">
        <v>10</v>
      </c>
      <c r="E2546" t="s">
        <v>50</v>
      </c>
      <c r="F2546" t="s">
        <v>67</v>
      </c>
      <c r="G2546" t="s">
        <v>34</v>
      </c>
      <c r="H2546" s="3">
        <v>71941.700372310006</v>
      </c>
      <c r="I2546">
        <v>85</v>
      </c>
      <c r="J2546" s="3">
        <v>34805.169552208899</v>
      </c>
      <c r="K2546" s="3">
        <v>37136.530820101107</v>
      </c>
    </row>
    <row r="2547" spans="1:11" x14ac:dyDescent="0.3">
      <c r="A2547" t="s">
        <v>2623</v>
      </c>
      <c r="B2547" s="2">
        <v>45931</v>
      </c>
      <c r="C2547">
        <v>2025</v>
      </c>
      <c r="D2547">
        <v>10</v>
      </c>
      <c r="E2547" t="s">
        <v>50</v>
      </c>
      <c r="F2547" t="s">
        <v>48</v>
      </c>
      <c r="G2547" t="s">
        <v>34</v>
      </c>
      <c r="H2547" s="3">
        <v>118900.29074755371</v>
      </c>
      <c r="I2547">
        <v>140</v>
      </c>
      <c r="J2547" s="3">
        <v>58374.713480576218</v>
      </c>
      <c r="K2547" s="3">
        <v>60525.577266977489</v>
      </c>
    </row>
    <row r="2548" spans="1:11" x14ac:dyDescent="0.3">
      <c r="A2548" t="s">
        <v>2624</v>
      </c>
      <c r="B2548" s="2">
        <v>45931</v>
      </c>
      <c r="C2548">
        <v>2025</v>
      </c>
      <c r="D2548">
        <v>10</v>
      </c>
      <c r="E2548" t="s">
        <v>54</v>
      </c>
      <c r="F2548" t="s">
        <v>67</v>
      </c>
      <c r="G2548" t="s">
        <v>34</v>
      </c>
      <c r="H2548" s="3">
        <v>55769.475327184482</v>
      </c>
      <c r="I2548">
        <v>66</v>
      </c>
      <c r="J2548" s="3">
        <v>26757.591749712748</v>
      </c>
      <c r="K2548" s="3">
        <v>29011.88357747173</v>
      </c>
    </row>
    <row r="2549" spans="1:11" x14ac:dyDescent="0.3">
      <c r="A2549" t="s">
        <v>2625</v>
      </c>
      <c r="B2549" s="2">
        <v>45931</v>
      </c>
      <c r="C2549">
        <v>2025</v>
      </c>
      <c r="D2549">
        <v>10</v>
      </c>
      <c r="E2549" t="s">
        <v>54</v>
      </c>
      <c r="F2549" t="s">
        <v>48</v>
      </c>
      <c r="G2549" t="s">
        <v>34</v>
      </c>
      <c r="H2549" s="3">
        <v>93332.553992240661</v>
      </c>
      <c r="I2549">
        <v>110</v>
      </c>
      <c r="J2549" s="3">
        <v>43652.749503507068</v>
      </c>
      <c r="K2549" s="3">
        <v>49679.804488733593</v>
      </c>
    </row>
    <row r="2550" spans="1:11" x14ac:dyDescent="0.3">
      <c r="A2550" t="s">
        <v>2626</v>
      </c>
      <c r="B2550" s="2">
        <v>45931</v>
      </c>
      <c r="C2550">
        <v>2025</v>
      </c>
      <c r="D2550">
        <v>10</v>
      </c>
      <c r="E2550" t="s">
        <v>58</v>
      </c>
      <c r="F2550" t="s">
        <v>67</v>
      </c>
      <c r="G2550" t="s">
        <v>34</v>
      </c>
      <c r="H2550" s="3">
        <v>41207.763716152593</v>
      </c>
      <c r="I2550">
        <v>48</v>
      </c>
      <c r="J2550" s="3">
        <v>20079.69108502131</v>
      </c>
      <c r="K2550" s="3">
        <v>21128.072631131279</v>
      </c>
    </row>
    <row r="2551" spans="1:11" x14ac:dyDescent="0.3">
      <c r="A2551" t="s">
        <v>2627</v>
      </c>
      <c r="B2551" s="2">
        <v>45931</v>
      </c>
      <c r="C2551">
        <v>2025</v>
      </c>
      <c r="D2551">
        <v>10</v>
      </c>
      <c r="E2551" t="s">
        <v>58</v>
      </c>
      <c r="F2551" t="s">
        <v>48</v>
      </c>
      <c r="G2551" t="s">
        <v>34</v>
      </c>
      <c r="H2551" s="3">
        <v>63041.100361440687</v>
      </c>
      <c r="I2551">
        <v>74</v>
      </c>
      <c r="J2551" s="3">
        <v>30670.935420313239</v>
      </c>
      <c r="K2551" s="3">
        <v>32370.164941127459</v>
      </c>
    </row>
    <row r="2552" spans="1:11" x14ac:dyDescent="0.3">
      <c r="A2552" t="s">
        <v>2628</v>
      </c>
      <c r="B2552" s="2">
        <v>45931</v>
      </c>
      <c r="C2552">
        <v>2025</v>
      </c>
      <c r="D2552">
        <v>10</v>
      </c>
      <c r="E2552" t="s">
        <v>62</v>
      </c>
      <c r="F2552" t="s">
        <v>67</v>
      </c>
      <c r="G2552" t="s">
        <v>34</v>
      </c>
      <c r="H2552" s="3">
        <v>31007.71589872754</v>
      </c>
      <c r="I2552">
        <v>36</v>
      </c>
      <c r="J2552" s="3">
        <v>14363.466753344719</v>
      </c>
      <c r="K2552" s="3">
        <v>16644.249145382819</v>
      </c>
    </row>
    <row r="2553" spans="1:11" x14ac:dyDescent="0.3">
      <c r="A2553" t="s">
        <v>2629</v>
      </c>
      <c r="B2553" s="2">
        <v>45931</v>
      </c>
      <c r="C2553">
        <v>2025</v>
      </c>
      <c r="D2553">
        <v>10</v>
      </c>
      <c r="E2553" t="s">
        <v>62</v>
      </c>
      <c r="F2553" t="s">
        <v>48</v>
      </c>
      <c r="G2553" t="s">
        <v>34</v>
      </c>
      <c r="H2553" s="3">
        <v>50086.502838173597</v>
      </c>
      <c r="I2553">
        <v>59</v>
      </c>
      <c r="J2553" s="3">
        <v>24039.875133426918</v>
      </c>
      <c r="K2553" s="3">
        <v>26046.62770474669</v>
      </c>
    </row>
    <row r="2554" spans="1:11" x14ac:dyDescent="0.3">
      <c r="A2554" t="s">
        <v>2630</v>
      </c>
      <c r="B2554" s="2">
        <v>45931</v>
      </c>
      <c r="C2554">
        <v>2025</v>
      </c>
      <c r="D2554">
        <v>10</v>
      </c>
      <c r="E2554" t="s">
        <v>50</v>
      </c>
      <c r="F2554" t="s">
        <v>67</v>
      </c>
      <c r="G2554" t="s">
        <v>37</v>
      </c>
      <c r="H2554" s="3">
        <v>63569.047387835999</v>
      </c>
      <c r="I2554">
        <v>88</v>
      </c>
      <c r="J2554" s="3">
        <v>33962.246429569634</v>
      </c>
      <c r="K2554" s="3">
        <v>29606.800958266369</v>
      </c>
    </row>
    <row r="2555" spans="1:11" x14ac:dyDescent="0.3">
      <c r="A2555" t="s">
        <v>2631</v>
      </c>
      <c r="B2555" s="2">
        <v>45931</v>
      </c>
      <c r="C2555">
        <v>2025</v>
      </c>
      <c r="D2555">
        <v>10</v>
      </c>
      <c r="E2555" t="s">
        <v>50</v>
      </c>
      <c r="F2555" t="s">
        <v>48</v>
      </c>
      <c r="G2555" t="s">
        <v>37</v>
      </c>
      <c r="H2555" s="3">
        <v>93609.643357934736</v>
      </c>
      <c r="I2555">
        <v>130</v>
      </c>
      <c r="J2555" s="3">
        <v>50869.348100137293</v>
      </c>
      <c r="K2555" s="3">
        <v>42740.295257797443</v>
      </c>
    </row>
    <row r="2556" spans="1:11" x14ac:dyDescent="0.3">
      <c r="A2556" t="s">
        <v>2632</v>
      </c>
      <c r="B2556" s="2">
        <v>45931</v>
      </c>
      <c r="C2556">
        <v>2025</v>
      </c>
      <c r="D2556">
        <v>10</v>
      </c>
      <c r="E2556" t="s">
        <v>54</v>
      </c>
      <c r="F2556" t="s">
        <v>67</v>
      </c>
      <c r="G2556" t="s">
        <v>37</v>
      </c>
      <c r="H2556" s="3">
        <v>48732.86460150835</v>
      </c>
      <c r="I2556">
        <v>68</v>
      </c>
      <c r="J2556" s="3">
        <v>26367.510525362359</v>
      </c>
      <c r="K2556" s="3">
        <v>22365.354076145999</v>
      </c>
    </row>
    <row r="2557" spans="1:11" x14ac:dyDescent="0.3">
      <c r="A2557" t="s">
        <v>2633</v>
      </c>
      <c r="B2557" s="2">
        <v>45931</v>
      </c>
      <c r="C2557">
        <v>2025</v>
      </c>
      <c r="D2557">
        <v>10</v>
      </c>
      <c r="E2557" t="s">
        <v>54</v>
      </c>
      <c r="F2557" t="s">
        <v>48</v>
      </c>
      <c r="G2557" t="s">
        <v>37</v>
      </c>
      <c r="H2557" s="3">
        <v>74275.540266491793</v>
      </c>
      <c r="I2557">
        <v>103</v>
      </c>
      <c r="J2557" s="3">
        <v>41446.622016107671</v>
      </c>
      <c r="K2557" s="3">
        <v>32828.918250384122</v>
      </c>
    </row>
    <row r="2558" spans="1:11" x14ac:dyDescent="0.3">
      <c r="A2558" t="s">
        <v>2634</v>
      </c>
      <c r="B2558" s="2">
        <v>45931</v>
      </c>
      <c r="C2558">
        <v>2025</v>
      </c>
      <c r="D2558">
        <v>10</v>
      </c>
      <c r="E2558" t="s">
        <v>58</v>
      </c>
      <c r="F2558" t="s">
        <v>67</v>
      </c>
      <c r="G2558" t="s">
        <v>37</v>
      </c>
      <c r="H2558" s="3">
        <v>33192.253472583121</v>
      </c>
      <c r="I2558">
        <v>46</v>
      </c>
      <c r="J2558" s="3">
        <v>18294.13019178898</v>
      </c>
      <c r="K2558" s="3">
        <v>14898.123280794151</v>
      </c>
    </row>
    <row r="2559" spans="1:11" x14ac:dyDescent="0.3">
      <c r="A2559" t="s">
        <v>2635</v>
      </c>
      <c r="B2559" s="2">
        <v>45931</v>
      </c>
      <c r="C2559">
        <v>2025</v>
      </c>
      <c r="D2559">
        <v>10</v>
      </c>
      <c r="E2559" t="s">
        <v>58</v>
      </c>
      <c r="F2559" t="s">
        <v>48</v>
      </c>
      <c r="G2559" t="s">
        <v>37</v>
      </c>
      <c r="H2559" s="3">
        <v>53237.538825638832</v>
      </c>
      <c r="I2559">
        <v>74</v>
      </c>
      <c r="J2559" s="3">
        <v>28603.073516016619</v>
      </c>
      <c r="K2559" s="3">
        <v>24634.465309622221</v>
      </c>
    </row>
    <row r="2560" spans="1:11" x14ac:dyDescent="0.3">
      <c r="A2560" t="s">
        <v>2636</v>
      </c>
      <c r="B2560" s="2">
        <v>45931</v>
      </c>
      <c r="C2560">
        <v>2025</v>
      </c>
      <c r="D2560">
        <v>10</v>
      </c>
      <c r="E2560" t="s">
        <v>62</v>
      </c>
      <c r="F2560" t="s">
        <v>67</v>
      </c>
      <c r="G2560" t="s">
        <v>37</v>
      </c>
      <c r="H2560" s="3">
        <v>25456.26572646181</v>
      </c>
      <c r="I2560">
        <v>35</v>
      </c>
      <c r="J2560" s="3">
        <v>14222.73776035158</v>
      </c>
      <c r="K2560" s="3">
        <v>11233.52796611023</v>
      </c>
    </row>
    <row r="2561" spans="1:11" x14ac:dyDescent="0.3">
      <c r="A2561" t="s">
        <v>2637</v>
      </c>
      <c r="B2561" s="2">
        <v>45931</v>
      </c>
      <c r="C2561">
        <v>2025</v>
      </c>
      <c r="D2561">
        <v>10</v>
      </c>
      <c r="E2561" t="s">
        <v>62</v>
      </c>
      <c r="F2561" t="s">
        <v>48</v>
      </c>
      <c r="G2561" t="s">
        <v>37</v>
      </c>
      <c r="H2561" s="3">
        <v>40020.42963082996</v>
      </c>
      <c r="I2561">
        <v>56</v>
      </c>
      <c r="J2561" s="3">
        <v>21443.15919865654</v>
      </c>
      <c r="K2561" s="3">
        <v>18577.27043217342</v>
      </c>
    </row>
    <row r="2562" spans="1:11" x14ac:dyDescent="0.3">
      <c r="A2562" t="s">
        <v>2638</v>
      </c>
      <c r="B2562" s="2">
        <v>45931</v>
      </c>
      <c r="C2562">
        <v>2025</v>
      </c>
      <c r="D2562">
        <v>10</v>
      </c>
      <c r="E2562" t="s">
        <v>50</v>
      </c>
      <c r="F2562" t="s">
        <v>67</v>
      </c>
      <c r="G2562" t="s">
        <v>40</v>
      </c>
      <c r="H2562" s="3">
        <v>56925.993890465892</v>
      </c>
      <c r="I2562">
        <v>11</v>
      </c>
      <c r="J2562" s="3">
        <v>39512.333115215741</v>
      </c>
      <c r="K2562" s="3">
        <v>17413.660775250151</v>
      </c>
    </row>
    <row r="2563" spans="1:11" x14ac:dyDescent="0.3">
      <c r="A2563" t="s">
        <v>2639</v>
      </c>
      <c r="B2563" s="2">
        <v>45931</v>
      </c>
      <c r="C2563">
        <v>2025</v>
      </c>
      <c r="D2563">
        <v>10</v>
      </c>
      <c r="E2563" t="s">
        <v>50</v>
      </c>
      <c r="F2563" t="s">
        <v>48</v>
      </c>
      <c r="G2563" t="s">
        <v>40</v>
      </c>
      <c r="H2563" s="3">
        <v>82369.151869648384</v>
      </c>
      <c r="I2563">
        <v>15</v>
      </c>
      <c r="J2563" s="3">
        <v>56001.961634002902</v>
      </c>
      <c r="K2563" s="3">
        <v>26367.190235645488</v>
      </c>
    </row>
    <row r="2564" spans="1:11" x14ac:dyDescent="0.3">
      <c r="A2564" t="s">
        <v>2640</v>
      </c>
      <c r="B2564" s="2">
        <v>45931</v>
      </c>
      <c r="C2564">
        <v>2025</v>
      </c>
      <c r="D2564">
        <v>10</v>
      </c>
      <c r="E2564" t="s">
        <v>54</v>
      </c>
      <c r="F2564" t="s">
        <v>67</v>
      </c>
      <c r="G2564" t="s">
        <v>40</v>
      </c>
      <c r="H2564" s="3">
        <v>45859.611847223649</v>
      </c>
      <c r="I2564">
        <v>8</v>
      </c>
      <c r="J2564" s="3">
        <v>31434.851145981182</v>
      </c>
      <c r="K2564" s="3">
        <v>14424.760701242471</v>
      </c>
    </row>
    <row r="2565" spans="1:11" x14ac:dyDescent="0.3">
      <c r="A2565" t="s">
        <v>2641</v>
      </c>
      <c r="B2565" s="2">
        <v>45931</v>
      </c>
      <c r="C2565">
        <v>2025</v>
      </c>
      <c r="D2565">
        <v>10</v>
      </c>
      <c r="E2565" t="s">
        <v>54</v>
      </c>
      <c r="F2565" t="s">
        <v>48</v>
      </c>
      <c r="G2565" t="s">
        <v>40</v>
      </c>
      <c r="H2565" s="3">
        <v>69354.740353230751</v>
      </c>
      <c r="I2565">
        <v>13</v>
      </c>
      <c r="J2565" s="3">
        <v>48289.142543359529</v>
      </c>
      <c r="K2565" s="3">
        <v>21065.597809871218</v>
      </c>
    </row>
    <row r="2566" spans="1:11" x14ac:dyDescent="0.3">
      <c r="A2566" t="s">
        <v>2642</v>
      </c>
      <c r="B2566" s="2">
        <v>45931</v>
      </c>
      <c r="C2566">
        <v>2025</v>
      </c>
      <c r="D2566">
        <v>10</v>
      </c>
      <c r="E2566" t="s">
        <v>58</v>
      </c>
      <c r="F2566" t="s">
        <v>67</v>
      </c>
      <c r="G2566" t="s">
        <v>40</v>
      </c>
      <c r="H2566" s="3">
        <v>28091.781519474731</v>
      </c>
      <c r="I2566">
        <v>5</v>
      </c>
      <c r="J2566" s="3">
        <v>19565.26290542823</v>
      </c>
      <c r="K2566" s="3">
        <v>8526.5186140464939</v>
      </c>
    </row>
    <row r="2567" spans="1:11" x14ac:dyDescent="0.3">
      <c r="A2567" t="s">
        <v>2643</v>
      </c>
      <c r="B2567" s="2">
        <v>45931</v>
      </c>
      <c r="C2567">
        <v>2025</v>
      </c>
      <c r="D2567">
        <v>10</v>
      </c>
      <c r="E2567" t="s">
        <v>58</v>
      </c>
      <c r="F2567" t="s">
        <v>48</v>
      </c>
      <c r="G2567" t="s">
        <v>40</v>
      </c>
      <c r="H2567" s="3">
        <v>47492.560729925201</v>
      </c>
      <c r="I2567">
        <v>9</v>
      </c>
      <c r="J2567" s="3">
        <v>33558.488278353398</v>
      </c>
      <c r="K2567" s="3">
        <v>13934.072451571799</v>
      </c>
    </row>
    <row r="2568" spans="1:11" x14ac:dyDescent="0.3">
      <c r="A2568" t="s">
        <v>2644</v>
      </c>
      <c r="B2568" s="2">
        <v>45931</v>
      </c>
      <c r="C2568">
        <v>2025</v>
      </c>
      <c r="D2568">
        <v>10</v>
      </c>
      <c r="E2568" t="s">
        <v>62</v>
      </c>
      <c r="F2568" t="s">
        <v>67</v>
      </c>
      <c r="G2568" t="s">
        <v>40</v>
      </c>
      <c r="H2568" s="3">
        <v>23702.447779673181</v>
      </c>
      <c r="I2568">
        <v>4</v>
      </c>
      <c r="J2568" s="3">
        <v>16330.474761831851</v>
      </c>
      <c r="K2568" s="3">
        <v>7371.9730178413392</v>
      </c>
    </row>
    <row r="2569" spans="1:11" x14ac:dyDescent="0.3">
      <c r="A2569" t="s">
        <v>2645</v>
      </c>
      <c r="B2569" s="2">
        <v>45931</v>
      </c>
      <c r="C2569">
        <v>2025</v>
      </c>
      <c r="D2569">
        <v>10</v>
      </c>
      <c r="E2569" t="s">
        <v>62</v>
      </c>
      <c r="F2569" t="s">
        <v>48</v>
      </c>
      <c r="G2569" t="s">
        <v>40</v>
      </c>
      <c r="H2569" s="3">
        <v>35830.394924622902</v>
      </c>
      <c r="I2569">
        <v>7</v>
      </c>
      <c r="J2569" s="3">
        <v>24859.347270616301</v>
      </c>
      <c r="K2569" s="3">
        <v>10971.047654006599</v>
      </c>
    </row>
    <row r="2570" spans="1:11" x14ac:dyDescent="0.3">
      <c r="A2570" t="s">
        <v>2646</v>
      </c>
      <c r="B2570" s="2">
        <v>45931</v>
      </c>
      <c r="C2570">
        <v>2025</v>
      </c>
      <c r="D2570">
        <v>10</v>
      </c>
      <c r="E2570" t="s">
        <v>50</v>
      </c>
      <c r="F2570" t="s">
        <v>67</v>
      </c>
      <c r="G2570" t="s">
        <v>43</v>
      </c>
      <c r="H2570" s="3">
        <v>113355.18911341031</v>
      </c>
      <c r="I2570">
        <v>32</v>
      </c>
      <c r="J2570" s="3">
        <v>66352.599333163525</v>
      </c>
      <c r="K2570" s="3">
        <v>47002.589780246773</v>
      </c>
    </row>
    <row r="2571" spans="1:11" x14ac:dyDescent="0.3">
      <c r="A2571" t="s">
        <v>2647</v>
      </c>
      <c r="B2571" s="2">
        <v>45931</v>
      </c>
      <c r="C2571">
        <v>2025</v>
      </c>
      <c r="D2571">
        <v>10</v>
      </c>
      <c r="E2571" t="s">
        <v>50</v>
      </c>
      <c r="F2571" t="s">
        <v>48</v>
      </c>
      <c r="G2571" t="s">
        <v>43</v>
      </c>
      <c r="H2571" s="3">
        <v>183730.84886470251</v>
      </c>
      <c r="I2571">
        <v>52</v>
      </c>
      <c r="J2571" s="3">
        <v>108756.303422849</v>
      </c>
      <c r="K2571" s="3">
        <v>74974.545441853435</v>
      </c>
    </row>
    <row r="2572" spans="1:11" x14ac:dyDescent="0.3">
      <c r="A2572" t="s">
        <v>2648</v>
      </c>
      <c r="B2572" s="2">
        <v>45931</v>
      </c>
      <c r="C2572">
        <v>2025</v>
      </c>
      <c r="D2572">
        <v>10</v>
      </c>
      <c r="E2572" t="s">
        <v>54</v>
      </c>
      <c r="F2572" t="s">
        <v>67</v>
      </c>
      <c r="G2572" t="s">
        <v>43</v>
      </c>
      <c r="H2572" s="3">
        <v>87369.773654875535</v>
      </c>
      <c r="I2572">
        <v>25</v>
      </c>
      <c r="J2572" s="3">
        <v>51955.951055620542</v>
      </c>
      <c r="K2572" s="3">
        <v>35413.822599255</v>
      </c>
    </row>
    <row r="2573" spans="1:11" x14ac:dyDescent="0.3">
      <c r="A2573" t="s">
        <v>2649</v>
      </c>
      <c r="B2573" s="2">
        <v>45931</v>
      </c>
      <c r="C2573">
        <v>2025</v>
      </c>
      <c r="D2573">
        <v>10</v>
      </c>
      <c r="E2573" t="s">
        <v>54</v>
      </c>
      <c r="F2573" t="s">
        <v>48</v>
      </c>
      <c r="G2573" t="s">
        <v>43</v>
      </c>
      <c r="H2573" s="3">
        <v>143088.66222390789</v>
      </c>
      <c r="I2573">
        <v>41</v>
      </c>
      <c r="J2573" s="3">
        <v>84272.91891132429</v>
      </c>
      <c r="K2573" s="3">
        <v>58815.743312583567</v>
      </c>
    </row>
    <row r="2574" spans="1:11" x14ac:dyDescent="0.3">
      <c r="A2574" t="s">
        <v>2650</v>
      </c>
      <c r="B2574" s="2">
        <v>45931</v>
      </c>
      <c r="C2574">
        <v>2025</v>
      </c>
      <c r="D2574">
        <v>10</v>
      </c>
      <c r="E2574" t="s">
        <v>58</v>
      </c>
      <c r="F2574" t="s">
        <v>67</v>
      </c>
      <c r="G2574" t="s">
        <v>43</v>
      </c>
      <c r="H2574" s="3">
        <v>65958.92763633898</v>
      </c>
      <c r="I2574">
        <v>19</v>
      </c>
      <c r="J2574" s="3">
        <v>37652.269291351673</v>
      </c>
      <c r="K2574" s="3">
        <v>28306.658344987311</v>
      </c>
    </row>
    <row r="2575" spans="1:11" x14ac:dyDescent="0.3">
      <c r="A2575" t="s">
        <v>2651</v>
      </c>
      <c r="B2575" s="2">
        <v>45931</v>
      </c>
      <c r="C2575">
        <v>2025</v>
      </c>
      <c r="D2575">
        <v>10</v>
      </c>
      <c r="E2575" t="s">
        <v>58</v>
      </c>
      <c r="F2575" t="s">
        <v>48</v>
      </c>
      <c r="G2575" t="s">
        <v>43</v>
      </c>
      <c r="H2575" s="3">
        <v>108534.4038678997</v>
      </c>
      <c r="I2575">
        <v>31</v>
      </c>
      <c r="J2575" s="3">
        <v>64417.363360991512</v>
      </c>
      <c r="K2575" s="3">
        <v>44117.04050690819</v>
      </c>
    </row>
    <row r="2576" spans="1:11" x14ac:dyDescent="0.3">
      <c r="A2576" t="s">
        <v>2652</v>
      </c>
      <c r="B2576" s="2">
        <v>45931</v>
      </c>
      <c r="C2576">
        <v>2025</v>
      </c>
      <c r="D2576">
        <v>10</v>
      </c>
      <c r="E2576" t="s">
        <v>62</v>
      </c>
      <c r="F2576" t="s">
        <v>67</v>
      </c>
      <c r="G2576" t="s">
        <v>43</v>
      </c>
      <c r="H2576" s="3">
        <v>49408.694507356413</v>
      </c>
      <c r="I2576">
        <v>14</v>
      </c>
      <c r="J2576" s="3">
        <v>29342.422580109909</v>
      </c>
      <c r="K2576" s="3">
        <v>20066.2719272465</v>
      </c>
    </row>
    <row r="2577" spans="1:11" x14ac:dyDescent="0.3">
      <c r="A2577" t="s">
        <v>2653</v>
      </c>
      <c r="B2577" s="2">
        <v>45931</v>
      </c>
      <c r="C2577">
        <v>2025</v>
      </c>
      <c r="D2577">
        <v>10</v>
      </c>
      <c r="E2577" t="s">
        <v>62</v>
      </c>
      <c r="F2577" t="s">
        <v>48</v>
      </c>
      <c r="G2577" t="s">
        <v>43</v>
      </c>
      <c r="H2577" s="3">
        <v>79885.222110543313</v>
      </c>
      <c r="I2577">
        <v>23</v>
      </c>
      <c r="J2577" s="3">
        <v>46555.234751179312</v>
      </c>
      <c r="K2577" s="3">
        <v>33329.987359364008</v>
      </c>
    </row>
    <row r="2578" spans="1:11" x14ac:dyDescent="0.3">
      <c r="A2578" t="s">
        <v>2654</v>
      </c>
      <c r="B2578" s="2">
        <v>45962</v>
      </c>
      <c r="C2578">
        <v>2025</v>
      </c>
      <c r="D2578">
        <v>11</v>
      </c>
      <c r="E2578" t="s">
        <v>50</v>
      </c>
      <c r="F2578" t="s">
        <v>67</v>
      </c>
      <c r="G2578" t="s">
        <v>19</v>
      </c>
      <c r="H2578" s="3">
        <v>119505.9996624036</v>
      </c>
      <c r="I2578">
        <v>23</v>
      </c>
      <c r="J2578" s="3">
        <v>72380.749553926304</v>
      </c>
      <c r="K2578" s="3">
        <v>47125.25010847731</v>
      </c>
    </row>
    <row r="2579" spans="1:11" x14ac:dyDescent="0.3">
      <c r="A2579" t="s">
        <v>2655</v>
      </c>
      <c r="B2579" s="2">
        <v>45962</v>
      </c>
      <c r="C2579">
        <v>2025</v>
      </c>
      <c r="D2579">
        <v>11</v>
      </c>
      <c r="E2579" t="s">
        <v>50</v>
      </c>
      <c r="F2579" t="s">
        <v>48</v>
      </c>
      <c r="G2579" t="s">
        <v>19</v>
      </c>
      <c r="H2579" s="3">
        <v>231844.8353435387</v>
      </c>
      <c r="I2579">
        <v>45</v>
      </c>
      <c r="J2579" s="3">
        <v>147562.4704513668</v>
      </c>
      <c r="K2579" s="3">
        <v>84282.364892171929</v>
      </c>
    </row>
    <row r="2580" spans="1:11" x14ac:dyDescent="0.3">
      <c r="A2580" t="s">
        <v>2656</v>
      </c>
      <c r="B2580" s="2">
        <v>45962</v>
      </c>
      <c r="C2580">
        <v>2025</v>
      </c>
      <c r="D2580">
        <v>11</v>
      </c>
      <c r="E2580" t="s">
        <v>54</v>
      </c>
      <c r="F2580" t="s">
        <v>67</v>
      </c>
      <c r="G2580" t="s">
        <v>19</v>
      </c>
      <c r="H2580" s="3">
        <v>101076.4412935557</v>
      </c>
      <c r="I2580">
        <v>19</v>
      </c>
      <c r="J2580" s="3">
        <v>63221.750568777381</v>
      </c>
      <c r="K2580" s="3">
        <v>37854.690724778317</v>
      </c>
    </row>
    <row r="2581" spans="1:11" x14ac:dyDescent="0.3">
      <c r="A2581" t="s">
        <v>2657</v>
      </c>
      <c r="B2581" s="2">
        <v>45962</v>
      </c>
      <c r="C2581">
        <v>2025</v>
      </c>
      <c r="D2581">
        <v>11</v>
      </c>
      <c r="E2581" t="s">
        <v>54</v>
      </c>
      <c r="F2581" t="s">
        <v>48</v>
      </c>
      <c r="G2581" t="s">
        <v>19</v>
      </c>
      <c r="H2581" s="3">
        <v>179268.6741329174</v>
      </c>
      <c r="I2581">
        <v>34</v>
      </c>
      <c r="J2581" s="3">
        <v>110688.2696544739</v>
      </c>
      <c r="K2581" s="3">
        <v>68580.40447844351</v>
      </c>
    </row>
    <row r="2582" spans="1:11" x14ac:dyDescent="0.3">
      <c r="A2582" t="s">
        <v>2658</v>
      </c>
      <c r="B2582" s="2">
        <v>45962</v>
      </c>
      <c r="C2582">
        <v>2025</v>
      </c>
      <c r="D2582">
        <v>11</v>
      </c>
      <c r="E2582" t="s">
        <v>58</v>
      </c>
      <c r="F2582" t="s">
        <v>67</v>
      </c>
      <c r="G2582" t="s">
        <v>19</v>
      </c>
      <c r="H2582" s="3">
        <v>80454.433602859033</v>
      </c>
      <c r="I2582">
        <v>15</v>
      </c>
      <c r="J2582" s="3">
        <v>48860.839437300347</v>
      </c>
      <c r="K2582" s="3">
        <v>31593.59416555869</v>
      </c>
    </row>
    <row r="2583" spans="1:11" x14ac:dyDescent="0.3">
      <c r="A2583" t="s">
        <v>2659</v>
      </c>
      <c r="B2583" s="2">
        <v>45962</v>
      </c>
      <c r="C2583">
        <v>2025</v>
      </c>
      <c r="D2583">
        <v>11</v>
      </c>
      <c r="E2583" t="s">
        <v>58</v>
      </c>
      <c r="F2583" t="s">
        <v>48</v>
      </c>
      <c r="G2583" t="s">
        <v>19</v>
      </c>
      <c r="H2583" s="3">
        <v>122374.7107610563</v>
      </c>
      <c r="I2583">
        <v>24</v>
      </c>
      <c r="J2583" s="3">
        <v>74749.966704347229</v>
      </c>
      <c r="K2583" s="3">
        <v>47624.744056709053</v>
      </c>
    </row>
    <row r="2584" spans="1:11" x14ac:dyDescent="0.3">
      <c r="A2584" t="s">
        <v>2660</v>
      </c>
      <c r="B2584" s="2">
        <v>45962</v>
      </c>
      <c r="C2584">
        <v>2025</v>
      </c>
      <c r="D2584">
        <v>11</v>
      </c>
      <c r="E2584" t="s">
        <v>62</v>
      </c>
      <c r="F2584" t="s">
        <v>67</v>
      </c>
      <c r="G2584" t="s">
        <v>19</v>
      </c>
      <c r="H2584" s="3">
        <v>60497.300405409973</v>
      </c>
      <c r="I2584">
        <v>12</v>
      </c>
      <c r="J2584" s="3">
        <v>38387.769991695874</v>
      </c>
      <c r="K2584" s="3">
        <v>22109.530413714088</v>
      </c>
    </row>
    <row r="2585" spans="1:11" x14ac:dyDescent="0.3">
      <c r="A2585" t="s">
        <v>2661</v>
      </c>
      <c r="B2585" s="2">
        <v>45962</v>
      </c>
      <c r="C2585">
        <v>2025</v>
      </c>
      <c r="D2585">
        <v>11</v>
      </c>
      <c r="E2585" t="s">
        <v>62</v>
      </c>
      <c r="F2585" t="s">
        <v>48</v>
      </c>
      <c r="G2585" t="s">
        <v>19</v>
      </c>
      <c r="H2585" s="3">
        <v>87847.626948653458</v>
      </c>
      <c r="I2585">
        <v>17</v>
      </c>
      <c r="J2585" s="3">
        <v>54600.489655227808</v>
      </c>
      <c r="K2585" s="3">
        <v>33247.137293425651</v>
      </c>
    </row>
    <row r="2586" spans="1:11" x14ac:dyDescent="0.3">
      <c r="A2586" t="s">
        <v>2662</v>
      </c>
      <c r="B2586" s="2">
        <v>45962</v>
      </c>
      <c r="C2586">
        <v>2025</v>
      </c>
      <c r="D2586">
        <v>11</v>
      </c>
      <c r="E2586" t="s">
        <v>50</v>
      </c>
      <c r="F2586" t="s">
        <v>67</v>
      </c>
      <c r="G2586" t="s">
        <v>24</v>
      </c>
      <c r="H2586" s="3">
        <v>157354.5300442373</v>
      </c>
      <c r="I2586">
        <v>26</v>
      </c>
      <c r="J2586" s="3">
        <v>102824.73788338179</v>
      </c>
      <c r="K2586" s="3">
        <v>54529.792160855497</v>
      </c>
    </row>
    <row r="2587" spans="1:11" x14ac:dyDescent="0.3">
      <c r="A2587" t="s">
        <v>2663</v>
      </c>
      <c r="B2587" s="2">
        <v>45962</v>
      </c>
      <c r="C2587">
        <v>2025</v>
      </c>
      <c r="D2587">
        <v>11</v>
      </c>
      <c r="E2587" t="s">
        <v>50</v>
      </c>
      <c r="F2587" t="s">
        <v>48</v>
      </c>
      <c r="G2587" t="s">
        <v>24</v>
      </c>
      <c r="H2587" s="3">
        <v>237034.6543287918</v>
      </c>
      <c r="I2587">
        <v>39</v>
      </c>
      <c r="J2587" s="3">
        <v>157878.1423045753</v>
      </c>
      <c r="K2587" s="3">
        <v>79156.512024216529</v>
      </c>
    </row>
    <row r="2588" spans="1:11" x14ac:dyDescent="0.3">
      <c r="A2588" t="s">
        <v>2664</v>
      </c>
      <c r="B2588" s="2">
        <v>45962</v>
      </c>
      <c r="C2588">
        <v>2025</v>
      </c>
      <c r="D2588">
        <v>11</v>
      </c>
      <c r="E2588" t="s">
        <v>54</v>
      </c>
      <c r="F2588" t="s">
        <v>67</v>
      </c>
      <c r="G2588" t="s">
        <v>24</v>
      </c>
      <c r="H2588" s="3">
        <v>119369.3935454397</v>
      </c>
      <c r="I2588">
        <v>20</v>
      </c>
      <c r="J2588" s="3">
        <v>77628.894833239319</v>
      </c>
      <c r="K2588" s="3">
        <v>41740.49871220038</v>
      </c>
    </row>
    <row r="2589" spans="1:11" x14ac:dyDescent="0.3">
      <c r="A2589" t="s">
        <v>2665</v>
      </c>
      <c r="B2589" s="2">
        <v>45962</v>
      </c>
      <c r="C2589">
        <v>2025</v>
      </c>
      <c r="D2589">
        <v>11</v>
      </c>
      <c r="E2589" t="s">
        <v>54</v>
      </c>
      <c r="F2589" t="s">
        <v>48</v>
      </c>
      <c r="G2589" t="s">
        <v>24</v>
      </c>
      <c r="H2589" s="3">
        <v>177544.06107753841</v>
      </c>
      <c r="I2589">
        <v>29</v>
      </c>
      <c r="J2589" s="3">
        <v>120344.6936188098</v>
      </c>
      <c r="K2589" s="3">
        <v>57199.367458728579</v>
      </c>
    </row>
    <row r="2590" spans="1:11" x14ac:dyDescent="0.3">
      <c r="A2590" t="s">
        <v>2666</v>
      </c>
      <c r="B2590" s="2">
        <v>45962</v>
      </c>
      <c r="C2590">
        <v>2025</v>
      </c>
      <c r="D2590">
        <v>11</v>
      </c>
      <c r="E2590" t="s">
        <v>58</v>
      </c>
      <c r="F2590" t="s">
        <v>67</v>
      </c>
      <c r="G2590" t="s">
        <v>24</v>
      </c>
      <c r="H2590" s="3">
        <v>73961.008212093991</v>
      </c>
      <c r="I2590">
        <v>12</v>
      </c>
      <c r="J2590" s="3">
        <v>50002.912778655387</v>
      </c>
      <c r="K2590" s="3">
        <v>23958.095433438601</v>
      </c>
    </row>
    <row r="2591" spans="1:11" x14ac:dyDescent="0.3">
      <c r="A2591" t="s">
        <v>2667</v>
      </c>
      <c r="B2591" s="2">
        <v>45962</v>
      </c>
      <c r="C2591">
        <v>2025</v>
      </c>
      <c r="D2591">
        <v>11</v>
      </c>
      <c r="E2591" t="s">
        <v>58</v>
      </c>
      <c r="F2591" t="s">
        <v>48</v>
      </c>
      <c r="G2591" t="s">
        <v>24</v>
      </c>
      <c r="H2591" s="3">
        <v>124521.54597825911</v>
      </c>
      <c r="I2591">
        <v>20</v>
      </c>
      <c r="J2591" s="3">
        <v>81494.009872695649</v>
      </c>
      <c r="K2591" s="3">
        <v>43027.536105563442</v>
      </c>
    </row>
    <row r="2592" spans="1:11" x14ac:dyDescent="0.3">
      <c r="A2592" t="s">
        <v>2668</v>
      </c>
      <c r="B2592" s="2">
        <v>45962</v>
      </c>
      <c r="C2592">
        <v>2025</v>
      </c>
      <c r="D2592">
        <v>11</v>
      </c>
      <c r="E2592" t="s">
        <v>62</v>
      </c>
      <c r="F2592" t="s">
        <v>67</v>
      </c>
      <c r="G2592" t="s">
        <v>24</v>
      </c>
      <c r="H2592" s="3">
        <v>57147.828339478023</v>
      </c>
      <c r="I2592">
        <v>9</v>
      </c>
      <c r="J2592" s="3">
        <v>37290.752288465141</v>
      </c>
      <c r="K2592" s="3">
        <v>19857.076051012878</v>
      </c>
    </row>
    <row r="2593" spans="1:11" x14ac:dyDescent="0.3">
      <c r="A2593" t="s">
        <v>2669</v>
      </c>
      <c r="B2593" s="2">
        <v>45962</v>
      </c>
      <c r="C2593">
        <v>2025</v>
      </c>
      <c r="D2593">
        <v>11</v>
      </c>
      <c r="E2593" t="s">
        <v>62</v>
      </c>
      <c r="F2593" t="s">
        <v>48</v>
      </c>
      <c r="G2593" t="s">
        <v>24</v>
      </c>
      <c r="H2593" s="3">
        <v>94411.657852988952</v>
      </c>
      <c r="I2593">
        <v>15</v>
      </c>
      <c r="J2593" s="3">
        <v>59375.168509243071</v>
      </c>
      <c r="K2593" s="3">
        <v>35036.489343745881</v>
      </c>
    </row>
    <row r="2594" spans="1:11" x14ac:dyDescent="0.3">
      <c r="A2594" t="s">
        <v>2670</v>
      </c>
      <c r="B2594" s="2">
        <v>45962</v>
      </c>
      <c r="C2594">
        <v>2025</v>
      </c>
      <c r="D2594">
        <v>11</v>
      </c>
      <c r="E2594" t="s">
        <v>50</v>
      </c>
      <c r="F2594" t="s">
        <v>67</v>
      </c>
      <c r="G2594" t="s">
        <v>29</v>
      </c>
      <c r="H2594" s="3">
        <v>100785.698385686</v>
      </c>
      <c r="I2594">
        <v>23</v>
      </c>
      <c r="J2594" s="3">
        <v>62782.655766864053</v>
      </c>
      <c r="K2594" s="3">
        <v>38003.042618821957</v>
      </c>
    </row>
    <row r="2595" spans="1:11" x14ac:dyDescent="0.3">
      <c r="A2595" t="s">
        <v>2671</v>
      </c>
      <c r="B2595" s="2">
        <v>45962</v>
      </c>
      <c r="C2595">
        <v>2025</v>
      </c>
      <c r="D2595">
        <v>11</v>
      </c>
      <c r="E2595" t="s">
        <v>50</v>
      </c>
      <c r="F2595" t="s">
        <v>48</v>
      </c>
      <c r="G2595" t="s">
        <v>29</v>
      </c>
      <c r="H2595" s="3">
        <v>163662.35753601449</v>
      </c>
      <c r="I2595">
        <v>38</v>
      </c>
      <c r="J2595" s="3">
        <v>102218.48542342</v>
      </c>
      <c r="K2595" s="3">
        <v>61443.872112594523</v>
      </c>
    </row>
    <row r="2596" spans="1:11" x14ac:dyDescent="0.3">
      <c r="A2596" t="s">
        <v>2672</v>
      </c>
      <c r="B2596" s="2">
        <v>45962</v>
      </c>
      <c r="C2596">
        <v>2025</v>
      </c>
      <c r="D2596">
        <v>11</v>
      </c>
      <c r="E2596" t="s">
        <v>54</v>
      </c>
      <c r="F2596" t="s">
        <v>67</v>
      </c>
      <c r="G2596" t="s">
        <v>29</v>
      </c>
      <c r="H2596" s="3">
        <v>77849.921779418306</v>
      </c>
      <c r="I2596">
        <v>18</v>
      </c>
      <c r="J2596" s="3">
        <v>49945.19284089595</v>
      </c>
      <c r="K2596" s="3">
        <v>27904.728938522359</v>
      </c>
    </row>
    <row r="2597" spans="1:11" x14ac:dyDescent="0.3">
      <c r="A2597" t="s">
        <v>2673</v>
      </c>
      <c r="B2597" s="2">
        <v>45962</v>
      </c>
      <c r="C2597">
        <v>2025</v>
      </c>
      <c r="D2597">
        <v>11</v>
      </c>
      <c r="E2597" t="s">
        <v>54</v>
      </c>
      <c r="F2597" t="s">
        <v>48</v>
      </c>
      <c r="G2597" t="s">
        <v>29</v>
      </c>
      <c r="H2597" s="3">
        <v>128953.13768175431</v>
      </c>
      <c r="I2597">
        <v>30</v>
      </c>
      <c r="J2597" s="3">
        <v>82045.374851366199</v>
      </c>
      <c r="K2597" s="3">
        <v>46907.762830388077</v>
      </c>
    </row>
    <row r="2598" spans="1:11" x14ac:dyDescent="0.3">
      <c r="A2598" t="s">
        <v>2674</v>
      </c>
      <c r="B2598" s="2">
        <v>45962</v>
      </c>
      <c r="C2598">
        <v>2025</v>
      </c>
      <c r="D2598">
        <v>11</v>
      </c>
      <c r="E2598" t="s">
        <v>58</v>
      </c>
      <c r="F2598" t="s">
        <v>67</v>
      </c>
      <c r="G2598" t="s">
        <v>29</v>
      </c>
      <c r="H2598" s="3">
        <v>51318.643361364113</v>
      </c>
      <c r="I2598">
        <v>12</v>
      </c>
      <c r="J2598" s="3">
        <v>32048.581826510861</v>
      </c>
      <c r="K2598" s="3">
        <v>19270.061534853248</v>
      </c>
    </row>
    <row r="2599" spans="1:11" x14ac:dyDescent="0.3">
      <c r="A2599" t="s">
        <v>2675</v>
      </c>
      <c r="B2599" s="2">
        <v>45962</v>
      </c>
      <c r="C2599">
        <v>2025</v>
      </c>
      <c r="D2599">
        <v>11</v>
      </c>
      <c r="E2599" t="s">
        <v>58</v>
      </c>
      <c r="F2599" t="s">
        <v>48</v>
      </c>
      <c r="G2599" t="s">
        <v>29</v>
      </c>
      <c r="H2599" s="3">
        <v>80588.643289496773</v>
      </c>
      <c r="I2599">
        <v>19</v>
      </c>
      <c r="J2599" s="3">
        <v>51315.704302377351</v>
      </c>
      <c r="K2599" s="3">
        <v>29272.938987119422</v>
      </c>
    </row>
    <row r="2600" spans="1:11" x14ac:dyDescent="0.3">
      <c r="A2600" t="s">
        <v>2676</v>
      </c>
      <c r="B2600" s="2">
        <v>45962</v>
      </c>
      <c r="C2600">
        <v>2025</v>
      </c>
      <c r="D2600">
        <v>11</v>
      </c>
      <c r="E2600" t="s">
        <v>62</v>
      </c>
      <c r="F2600" t="s">
        <v>67</v>
      </c>
      <c r="G2600" t="s">
        <v>29</v>
      </c>
      <c r="H2600" s="3">
        <v>37856.232960948983</v>
      </c>
      <c r="I2600">
        <v>9</v>
      </c>
      <c r="J2600" s="3">
        <v>24448.368547252379</v>
      </c>
      <c r="K2600" s="3">
        <v>13407.86441369659</v>
      </c>
    </row>
    <row r="2601" spans="1:11" x14ac:dyDescent="0.3">
      <c r="A2601" t="s">
        <v>2677</v>
      </c>
      <c r="B2601" s="2">
        <v>45962</v>
      </c>
      <c r="C2601">
        <v>2025</v>
      </c>
      <c r="D2601">
        <v>11</v>
      </c>
      <c r="E2601" t="s">
        <v>62</v>
      </c>
      <c r="F2601" t="s">
        <v>48</v>
      </c>
      <c r="G2601" t="s">
        <v>29</v>
      </c>
      <c r="H2601" s="3">
        <v>60735.283874377397</v>
      </c>
      <c r="I2601">
        <v>14</v>
      </c>
      <c r="J2601" s="3">
        <v>39239.895285764367</v>
      </c>
      <c r="K2601" s="3">
        <v>21495.38858861303</v>
      </c>
    </row>
    <row r="2602" spans="1:11" x14ac:dyDescent="0.3">
      <c r="A2602" t="s">
        <v>2678</v>
      </c>
      <c r="B2602" s="2">
        <v>45962</v>
      </c>
      <c r="C2602">
        <v>2025</v>
      </c>
      <c r="D2602">
        <v>11</v>
      </c>
      <c r="E2602" t="s">
        <v>50</v>
      </c>
      <c r="F2602" t="s">
        <v>67</v>
      </c>
      <c r="G2602" t="s">
        <v>34</v>
      </c>
      <c r="H2602" s="3">
        <v>99014.840071040162</v>
      </c>
      <c r="I2602">
        <v>116</v>
      </c>
      <c r="J2602" s="3">
        <v>45901.977690333631</v>
      </c>
      <c r="K2602" s="3">
        <v>53112.862380706531</v>
      </c>
    </row>
    <row r="2603" spans="1:11" x14ac:dyDescent="0.3">
      <c r="A2603" t="s">
        <v>2679</v>
      </c>
      <c r="B2603" s="2">
        <v>45962</v>
      </c>
      <c r="C2603">
        <v>2025</v>
      </c>
      <c r="D2603">
        <v>11</v>
      </c>
      <c r="E2603" t="s">
        <v>50</v>
      </c>
      <c r="F2603" t="s">
        <v>48</v>
      </c>
      <c r="G2603" t="s">
        <v>34</v>
      </c>
      <c r="H2603" s="3">
        <v>149347.7921427961</v>
      </c>
      <c r="I2603">
        <v>176</v>
      </c>
      <c r="J2603" s="3">
        <v>71521.433532281022</v>
      </c>
      <c r="K2603" s="3">
        <v>77826.358610515046</v>
      </c>
    </row>
    <row r="2604" spans="1:11" x14ac:dyDescent="0.3">
      <c r="A2604" t="s">
        <v>2680</v>
      </c>
      <c r="B2604" s="2">
        <v>45962</v>
      </c>
      <c r="C2604">
        <v>2025</v>
      </c>
      <c r="D2604">
        <v>11</v>
      </c>
      <c r="E2604" t="s">
        <v>54</v>
      </c>
      <c r="F2604" t="s">
        <v>67</v>
      </c>
      <c r="G2604" t="s">
        <v>34</v>
      </c>
      <c r="H2604" s="3">
        <v>75843.247841149365</v>
      </c>
      <c r="I2604">
        <v>89</v>
      </c>
      <c r="J2604" s="3">
        <v>35498.275587844837</v>
      </c>
      <c r="K2604" s="3">
        <v>40344.972253304521</v>
      </c>
    </row>
    <row r="2605" spans="1:11" x14ac:dyDescent="0.3">
      <c r="A2605" t="s">
        <v>2681</v>
      </c>
      <c r="B2605" s="2">
        <v>45962</v>
      </c>
      <c r="C2605">
        <v>2025</v>
      </c>
      <c r="D2605">
        <v>11</v>
      </c>
      <c r="E2605" t="s">
        <v>54</v>
      </c>
      <c r="F2605" t="s">
        <v>48</v>
      </c>
      <c r="G2605" t="s">
        <v>34</v>
      </c>
      <c r="H2605" s="3">
        <v>111908.197639998</v>
      </c>
      <c r="I2605">
        <v>132</v>
      </c>
      <c r="J2605" s="3">
        <v>54587.804466541507</v>
      </c>
      <c r="K2605" s="3">
        <v>57320.393173456483</v>
      </c>
    </row>
    <row r="2606" spans="1:11" x14ac:dyDescent="0.3">
      <c r="A2606" t="s">
        <v>2682</v>
      </c>
      <c r="B2606" s="2">
        <v>45962</v>
      </c>
      <c r="C2606">
        <v>2025</v>
      </c>
      <c r="D2606">
        <v>11</v>
      </c>
      <c r="E2606" t="s">
        <v>58</v>
      </c>
      <c r="F2606" t="s">
        <v>67</v>
      </c>
      <c r="G2606" t="s">
        <v>34</v>
      </c>
      <c r="H2606" s="3">
        <v>49216.738158383137</v>
      </c>
      <c r="I2606">
        <v>58</v>
      </c>
      <c r="J2606" s="3">
        <v>23957.478949300908</v>
      </c>
      <c r="K2606" s="3">
        <v>25259.25920908224</v>
      </c>
    </row>
    <row r="2607" spans="1:11" x14ac:dyDescent="0.3">
      <c r="A2607" t="s">
        <v>2683</v>
      </c>
      <c r="B2607" s="2">
        <v>45962</v>
      </c>
      <c r="C2607">
        <v>2025</v>
      </c>
      <c r="D2607">
        <v>11</v>
      </c>
      <c r="E2607" t="s">
        <v>58</v>
      </c>
      <c r="F2607" t="s">
        <v>48</v>
      </c>
      <c r="G2607" t="s">
        <v>34</v>
      </c>
      <c r="H2607" s="3">
        <v>75968.213941847906</v>
      </c>
      <c r="I2607">
        <v>89</v>
      </c>
      <c r="J2607" s="3">
        <v>35875.308720795612</v>
      </c>
      <c r="K2607" s="3">
        <v>40092.905221052293</v>
      </c>
    </row>
    <row r="2608" spans="1:11" x14ac:dyDescent="0.3">
      <c r="A2608" t="s">
        <v>2684</v>
      </c>
      <c r="B2608" s="2">
        <v>45962</v>
      </c>
      <c r="C2608">
        <v>2025</v>
      </c>
      <c r="D2608">
        <v>11</v>
      </c>
      <c r="E2608" t="s">
        <v>62</v>
      </c>
      <c r="F2608" t="s">
        <v>67</v>
      </c>
      <c r="G2608" t="s">
        <v>34</v>
      </c>
      <c r="H2608" s="3">
        <v>37896.919999762227</v>
      </c>
      <c r="I2608">
        <v>45</v>
      </c>
      <c r="J2608" s="3">
        <v>17939.69588747231</v>
      </c>
      <c r="K2608" s="3">
        <v>19957.224112289921</v>
      </c>
    </row>
    <row r="2609" spans="1:11" x14ac:dyDescent="0.3">
      <c r="A2609" t="s">
        <v>2685</v>
      </c>
      <c r="B2609" s="2">
        <v>45962</v>
      </c>
      <c r="C2609">
        <v>2025</v>
      </c>
      <c r="D2609">
        <v>11</v>
      </c>
      <c r="E2609" t="s">
        <v>62</v>
      </c>
      <c r="F2609" t="s">
        <v>48</v>
      </c>
      <c r="G2609" t="s">
        <v>34</v>
      </c>
      <c r="H2609" s="3">
        <v>59534.411374919211</v>
      </c>
      <c r="I2609">
        <v>70</v>
      </c>
      <c r="J2609" s="3">
        <v>28339.252153360361</v>
      </c>
      <c r="K2609" s="3">
        <v>31195.15922155885</v>
      </c>
    </row>
    <row r="2610" spans="1:11" x14ac:dyDescent="0.3">
      <c r="A2610" t="s">
        <v>2686</v>
      </c>
      <c r="B2610" s="2">
        <v>45962</v>
      </c>
      <c r="C2610">
        <v>2025</v>
      </c>
      <c r="D2610">
        <v>11</v>
      </c>
      <c r="E2610" t="s">
        <v>50</v>
      </c>
      <c r="F2610" t="s">
        <v>67</v>
      </c>
      <c r="G2610" t="s">
        <v>37</v>
      </c>
      <c r="H2610" s="3">
        <v>82552.495342296985</v>
      </c>
      <c r="I2610">
        <v>115</v>
      </c>
      <c r="J2610" s="3">
        <v>43562.732647628749</v>
      </c>
      <c r="K2610" s="3">
        <v>38989.762694668243</v>
      </c>
    </row>
    <row r="2611" spans="1:11" x14ac:dyDescent="0.3">
      <c r="A2611" t="s">
        <v>2687</v>
      </c>
      <c r="B2611" s="2">
        <v>45962</v>
      </c>
      <c r="C2611">
        <v>2025</v>
      </c>
      <c r="D2611">
        <v>11</v>
      </c>
      <c r="E2611" t="s">
        <v>50</v>
      </c>
      <c r="F2611" t="s">
        <v>48</v>
      </c>
      <c r="G2611" t="s">
        <v>37</v>
      </c>
      <c r="H2611" s="3">
        <v>129484.3732858407</v>
      </c>
      <c r="I2611">
        <v>180</v>
      </c>
      <c r="J2611" s="3">
        <v>71647.081328193643</v>
      </c>
      <c r="K2611" s="3">
        <v>57837.291957647103</v>
      </c>
    </row>
    <row r="2612" spans="1:11" x14ac:dyDescent="0.3">
      <c r="A2612" t="s">
        <v>2688</v>
      </c>
      <c r="B2612" s="2">
        <v>45962</v>
      </c>
      <c r="C2612">
        <v>2025</v>
      </c>
      <c r="D2612">
        <v>11</v>
      </c>
      <c r="E2612" t="s">
        <v>54</v>
      </c>
      <c r="F2612" t="s">
        <v>67</v>
      </c>
      <c r="G2612" t="s">
        <v>37</v>
      </c>
      <c r="H2612" s="3">
        <v>58144.012780076228</v>
      </c>
      <c r="I2612">
        <v>81</v>
      </c>
      <c r="J2612" s="3">
        <v>31822.150688827129</v>
      </c>
      <c r="K2612" s="3">
        <v>26321.86209124911</v>
      </c>
    </row>
    <row r="2613" spans="1:11" x14ac:dyDescent="0.3">
      <c r="A2613" t="s">
        <v>2689</v>
      </c>
      <c r="B2613" s="2">
        <v>45962</v>
      </c>
      <c r="C2613">
        <v>2025</v>
      </c>
      <c r="D2613">
        <v>11</v>
      </c>
      <c r="E2613" t="s">
        <v>54</v>
      </c>
      <c r="F2613" t="s">
        <v>48</v>
      </c>
      <c r="G2613" t="s">
        <v>37</v>
      </c>
      <c r="H2613" s="3">
        <v>98747.842941350711</v>
      </c>
      <c r="I2613">
        <v>137</v>
      </c>
      <c r="J2613" s="3">
        <v>55259.760314865227</v>
      </c>
      <c r="K2613" s="3">
        <v>43488.082626485477</v>
      </c>
    </row>
    <row r="2614" spans="1:11" x14ac:dyDescent="0.3">
      <c r="A2614" t="s">
        <v>2690</v>
      </c>
      <c r="B2614" s="2">
        <v>45962</v>
      </c>
      <c r="C2614">
        <v>2025</v>
      </c>
      <c r="D2614">
        <v>11</v>
      </c>
      <c r="E2614" t="s">
        <v>58</v>
      </c>
      <c r="F2614" t="s">
        <v>67</v>
      </c>
      <c r="G2614" t="s">
        <v>37</v>
      </c>
      <c r="H2614" s="3">
        <v>44188.946531324873</v>
      </c>
      <c r="I2614">
        <v>61</v>
      </c>
      <c r="J2614" s="3">
        <v>23823.398884828272</v>
      </c>
      <c r="K2614" s="3">
        <v>20365.547646496601</v>
      </c>
    </row>
    <row r="2615" spans="1:11" x14ac:dyDescent="0.3">
      <c r="A2615" t="s">
        <v>2691</v>
      </c>
      <c r="B2615" s="2">
        <v>45962</v>
      </c>
      <c r="C2615">
        <v>2025</v>
      </c>
      <c r="D2615">
        <v>11</v>
      </c>
      <c r="E2615" t="s">
        <v>58</v>
      </c>
      <c r="F2615" t="s">
        <v>48</v>
      </c>
      <c r="G2615" t="s">
        <v>37</v>
      </c>
      <c r="H2615" s="3">
        <v>70171.507817082544</v>
      </c>
      <c r="I2615">
        <v>97</v>
      </c>
      <c r="J2615" s="3">
        <v>38164.225870447131</v>
      </c>
      <c r="K2615" s="3">
        <v>32007.281946635409</v>
      </c>
    </row>
    <row r="2616" spans="1:11" x14ac:dyDescent="0.3">
      <c r="A2616" t="s">
        <v>2692</v>
      </c>
      <c r="B2616" s="2">
        <v>45962</v>
      </c>
      <c r="C2616">
        <v>2025</v>
      </c>
      <c r="D2616">
        <v>11</v>
      </c>
      <c r="E2616" t="s">
        <v>62</v>
      </c>
      <c r="F2616" t="s">
        <v>67</v>
      </c>
      <c r="G2616" t="s">
        <v>37</v>
      </c>
      <c r="H2616" s="3">
        <v>34845.013880191029</v>
      </c>
      <c r="I2616">
        <v>48</v>
      </c>
      <c r="J2616" s="3">
        <v>18645.058188185481</v>
      </c>
      <c r="K2616" s="3">
        <v>16199.955692005549</v>
      </c>
    </row>
    <row r="2617" spans="1:11" x14ac:dyDescent="0.3">
      <c r="A2617" t="s">
        <v>2693</v>
      </c>
      <c r="B2617" s="2">
        <v>45962</v>
      </c>
      <c r="C2617">
        <v>2025</v>
      </c>
      <c r="D2617">
        <v>11</v>
      </c>
      <c r="E2617" t="s">
        <v>62</v>
      </c>
      <c r="F2617" t="s">
        <v>48</v>
      </c>
      <c r="G2617" t="s">
        <v>37</v>
      </c>
      <c r="H2617" s="3">
        <v>47887.820355474607</v>
      </c>
      <c r="I2617">
        <v>67</v>
      </c>
      <c r="J2617" s="3">
        <v>25862.177663226859</v>
      </c>
      <c r="K2617" s="3">
        <v>22025.642692247751</v>
      </c>
    </row>
    <row r="2618" spans="1:11" x14ac:dyDescent="0.3">
      <c r="A2618" t="s">
        <v>2694</v>
      </c>
      <c r="B2618" s="2">
        <v>45962</v>
      </c>
      <c r="C2618">
        <v>2025</v>
      </c>
      <c r="D2618">
        <v>11</v>
      </c>
      <c r="E2618" t="s">
        <v>50</v>
      </c>
      <c r="F2618" t="s">
        <v>67</v>
      </c>
      <c r="G2618" t="s">
        <v>40</v>
      </c>
      <c r="H2618" s="3">
        <v>73782.898495431975</v>
      </c>
      <c r="I2618">
        <v>14</v>
      </c>
      <c r="J2618" s="3">
        <v>49827.051045967593</v>
      </c>
      <c r="K2618" s="3">
        <v>23955.847449464389</v>
      </c>
    </row>
    <row r="2619" spans="1:11" x14ac:dyDescent="0.3">
      <c r="A2619" t="s">
        <v>2695</v>
      </c>
      <c r="B2619" s="2">
        <v>45962</v>
      </c>
      <c r="C2619">
        <v>2025</v>
      </c>
      <c r="D2619">
        <v>11</v>
      </c>
      <c r="E2619" t="s">
        <v>50</v>
      </c>
      <c r="F2619" t="s">
        <v>48</v>
      </c>
      <c r="G2619" t="s">
        <v>40</v>
      </c>
      <c r="H2619" s="3">
        <v>117324.6254073913</v>
      </c>
      <c r="I2619">
        <v>22</v>
      </c>
      <c r="J2619" s="3">
        <v>82405.296336825588</v>
      </c>
      <c r="K2619" s="3">
        <v>34919.329070565698</v>
      </c>
    </row>
    <row r="2620" spans="1:11" x14ac:dyDescent="0.3">
      <c r="A2620" t="s">
        <v>2696</v>
      </c>
      <c r="B2620" s="2">
        <v>45962</v>
      </c>
      <c r="C2620">
        <v>2025</v>
      </c>
      <c r="D2620">
        <v>11</v>
      </c>
      <c r="E2620" t="s">
        <v>54</v>
      </c>
      <c r="F2620" t="s">
        <v>67</v>
      </c>
      <c r="G2620" t="s">
        <v>40</v>
      </c>
      <c r="H2620" s="3">
        <v>55478.635899600042</v>
      </c>
      <c r="I2620">
        <v>10</v>
      </c>
      <c r="J2620" s="3">
        <v>37799.12517404533</v>
      </c>
      <c r="K2620" s="3">
        <v>17679.510725554708</v>
      </c>
    </row>
    <row r="2621" spans="1:11" x14ac:dyDescent="0.3">
      <c r="A2621" t="s">
        <v>2697</v>
      </c>
      <c r="B2621" s="2">
        <v>45962</v>
      </c>
      <c r="C2621">
        <v>2025</v>
      </c>
      <c r="D2621">
        <v>11</v>
      </c>
      <c r="E2621" t="s">
        <v>54</v>
      </c>
      <c r="F2621" t="s">
        <v>48</v>
      </c>
      <c r="G2621" t="s">
        <v>40</v>
      </c>
      <c r="H2621" s="3">
        <v>94171.916706299453</v>
      </c>
      <c r="I2621">
        <v>17</v>
      </c>
      <c r="J2621" s="3">
        <v>65123.860296376333</v>
      </c>
      <c r="K2621" s="3">
        <v>29048.05640992312</v>
      </c>
    </row>
    <row r="2622" spans="1:11" x14ac:dyDescent="0.3">
      <c r="A2622" t="s">
        <v>2698</v>
      </c>
      <c r="B2622" s="2">
        <v>45962</v>
      </c>
      <c r="C2622">
        <v>2025</v>
      </c>
      <c r="D2622">
        <v>11</v>
      </c>
      <c r="E2622" t="s">
        <v>58</v>
      </c>
      <c r="F2622" t="s">
        <v>67</v>
      </c>
      <c r="G2622" t="s">
        <v>40</v>
      </c>
      <c r="H2622" s="3">
        <v>40543.798137000282</v>
      </c>
      <c r="I2622">
        <v>8</v>
      </c>
      <c r="J2622" s="3">
        <v>27783.485789795301</v>
      </c>
      <c r="K2622" s="3">
        <v>12760.312347204979</v>
      </c>
    </row>
    <row r="2623" spans="1:11" x14ac:dyDescent="0.3">
      <c r="A2623" t="s">
        <v>2699</v>
      </c>
      <c r="B2623" s="2">
        <v>45962</v>
      </c>
      <c r="C2623">
        <v>2025</v>
      </c>
      <c r="D2623">
        <v>11</v>
      </c>
      <c r="E2623" t="s">
        <v>58</v>
      </c>
      <c r="F2623" t="s">
        <v>48</v>
      </c>
      <c r="G2623" t="s">
        <v>40</v>
      </c>
      <c r="H2623" s="3">
        <v>63717.742082579971</v>
      </c>
      <c r="I2623">
        <v>12</v>
      </c>
      <c r="J2623" s="3">
        <v>42960.61977877991</v>
      </c>
      <c r="K2623" s="3">
        <v>20757.122303800061</v>
      </c>
    </row>
    <row r="2624" spans="1:11" x14ac:dyDescent="0.3">
      <c r="A2624" t="s">
        <v>2700</v>
      </c>
      <c r="B2624" s="2">
        <v>45962</v>
      </c>
      <c r="C2624">
        <v>2025</v>
      </c>
      <c r="D2624">
        <v>11</v>
      </c>
      <c r="E2624" t="s">
        <v>62</v>
      </c>
      <c r="F2624" t="s">
        <v>67</v>
      </c>
      <c r="G2624" t="s">
        <v>40</v>
      </c>
      <c r="H2624" s="3">
        <v>29093.12384209612</v>
      </c>
      <c r="I2624">
        <v>5</v>
      </c>
      <c r="J2624" s="3">
        <v>20013.442348675519</v>
      </c>
      <c r="K2624" s="3">
        <v>9079.6814934206013</v>
      </c>
    </row>
    <row r="2625" spans="1:11" x14ac:dyDescent="0.3">
      <c r="A2625" t="s">
        <v>2701</v>
      </c>
      <c r="B2625" s="2">
        <v>45962</v>
      </c>
      <c r="C2625">
        <v>2025</v>
      </c>
      <c r="D2625">
        <v>11</v>
      </c>
      <c r="E2625" t="s">
        <v>62</v>
      </c>
      <c r="F2625" t="s">
        <v>48</v>
      </c>
      <c r="G2625" t="s">
        <v>40</v>
      </c>
      <c r="H2625" s="3">
        <v>45502.210748157879</v>
      </c>
      <c r="I2625">
        <v>8</v>
      </c>
      <c r="J2625" s="3">
        <v>31735.10114997339</v>
      </c>
      <c r="K2625" s="3">
        <v>13767.10959818449</v>
      </c>
    </row>
    <row r="2626" spans="1:11" x14ac:dyDescent="0.3">
      <c r="A2626" t="s">
        <v>2702</v>
      </c>
      <c r="B2626" s="2">
        <v>45962</v>
      </c>
      <c r="C2626">
        <v>2025</v>
      </c>
      <c r="D2626">
        <v>11</v>
      </c>
      <c r="E2626" t="s">
        <v>50</v>
      </c>
      <c r="F2626" t="s">
        <v>67</v>
      </c>
      <c r="G2626" t="s">
        <v>43</v>
      </c>
      <c r="H2626" s="3">
        <v>131680.99005351239</v>
      </c>
      <c r="I2626">
        <v>38</v>
      </c>
      <c r="J2626" s="3">
        <v>76002.790455421899</v>
      </c>
      <c r="K2626" s="3">
        <v>55678.19959809049</v>
      </c>
    </row>
    <row r="2627" spans="1:11" x14ac:dyDescent="0.3">
      <c r="A2627" t="s">
        <v>2703</v>
      </c>
      <c r="B2627" s="2">
        <v>45962</v>
      </c>
      <c r="C2627">
        <v>2025</v>
      </c>
      <c r="D2627">
        <v>11</v>
      </c>
      <c r="E2627" t="s">
        <v>50</v>
      </c>
      <c r="F2627" t="s">
        <v>48</v>
      </c>
      <c r="G2627" t="s">
        <v>43</v>
      </c>
      <c r="H2627" s="3">
        <v>222210.52791007329</v>
      </c>
      <c r="I2627">
        <v>63</v>
      </c>
      <c r="J2627" s="3">
        <v>133013.61716644309</v>
      </c>
      <c r="K2627" s="3">
        <v>89196.910743630258</v>
      </c>
    </row>
    <row r="2628" spans="1:11" x14ac:dyDescent="0.3">
      <c r="A2628" t="s">
        <v>2704</v>
      </c>
      <c r="B2628" s="2">
        <v>45962</v>
      </c>
      <c r="C2628">
        <v>2025</v>
      </c>
      <c r="D2628">
        <v>11</v>
      </c>
      <c r="E2628" t="s">
        <v>54</v>
      </c>
      <c r="F2628" t="s">
        <v>67</v>
      </c>
      <c r="G2628" t="s">
        <v>43</v>
      </c>
      <c r="H2628" s="3">
        <v>124430.5715482792</v>
      </c>
      <c r="I2628">
        <v>36</v>
      </c>
      <c r="J2628" s="3">
        <v>72291.171233176821</v>
      </c>
      <c r="K2628" s="3">
        <v>52139.400315102379</v>
      </c>
    </row>
    <row r="2629" spans="1:11" x14ac:dyDescent="0.3">
      <c r="A2629" t="s">
        <v>2705</v>
      </c>
      <c r="B2629" s="2">
        <v>45962</v>
      </c>
      <c r="C2629">
        <v>2025</v>
      </c>
      <c r="D2629">
        <v>11</v>
      </c>
      <c r="E2629" t="s">
        <v>54</v>
      </c>
      <c r="F2629" t="s">
        <v>48</v>
      </c>
      <c r="G2629" t="s">
        <v>43</v>
      </c>
      <c r="H2629" s="3">
        <v>176624.25771783671</v>
      </c>
      <c r="I2629">
        <v>50</v>
      </c>
      <c r="J2629" s="3">
        <v>103302.35513919299</v>
      </c>
      <c r="K2629" s="3">
        <v>73321.902578643669</v>
      </c>
    </row>
    <row r="2630" spans="1:11" x14ac:dyDescent="0.3">
      <c r="A2630" t="s">
        <v>2706</v>
      </c>
      <c r="B2630" s="2">
        <v>45962</v>
      </c>
      <c r="C2630">
        <v>2025</v>
      </c>
      <c r="D2630">
        <v>11</v>
      </c>
      <c r="E2630" t="s">
        <v>58</v>
      </c>
      <c r="F2630" t="s">
        <v>67</v>
      </c>
      <c r="G2630" t="s">
        <v>43</v>
      </c>
      <c r="H2630" s="3">
        <v>78386.890225283627</v>
      </c>
      <c r="I2630">
        <v>22</v>
      </c>
      <c r="J2630" s="3">
        <v>46690.042361814179</v>
      </c>
      <c r="K2630" s="3">
        <v>31696.847863469451</v>
      </c>
    </row>
    <row r="2631" spans="1:11" x14ac:dyDescent="0.3">
      <c r="A2631" t="s">
        <v>2707</v>
      </c>
      <c r="B2631" s="2">
        <v>45962</v>
      </c>
      <c r="C2631">
        <v>2025</v>
      </c>
      <c r="D2631">
        <v>11</v>
      </c>
      <c r="E2631" t="s">
        <v>58</v>
      </c>
      <c r="F2631" t="s">
        <v>48</v>
      </c>
      <c r="G2631" t="s">
        <v>43</v>
      </c>
      <c r="H2631" s="3">
        <v>136390.67448150809</v>
      </c>
      <c r="I2631">
        <v>39</v>
      </c>
      <c r="J2631" s="3">
        <v>79509.531261429598</v>
      </c>
      <c r="K2631" s="3">
        <v>56881.143220078491</v>
      </c>
    </row>
    <row r="2632" spans="1:11" x14ac:dyDescent="0.3">
      <c r="A2632" t="s">
        <v>2708</v>
      </c>
      <c r="B2632" s="2">
        <v>45962</v>
      </c>
      <c r="C2632">
        <v>2025</v>
      </c>
      <c r="D2632">
        <v>11</v>
      </c>
      <c r="E2632" t="s">
        <v>62</v>
      </c>
      <c r="F2632" t="s">
        <v>67</v>
      </c>
      <c r="G2632" t="s">
        <v>43</v>
      </c>
      <c r="H2632" s="3">
        <v>58137.264382651279</v>
      </c>
      <c r="I2632">
        <v>17</v>
      </c>
      <c r="J2632" s="3">
        <v>34324.1853707872</v>
      </c>
      <c r="K2632" s="3">
        <v>23813.07901186408</v>
      </c>
    </row>
    <row r="2633" spans="1:11" x14ac:dyDescent="0.3">
      <c r="A2633" t="s">
        <v>2709</v>
      </c>
      <c r="B2633" s="2">
        <v>45962</v>
      </c>
      <c r="C2633">
        <v>2025</v>
      </c>
      <c r="D2633">
        <v>11</v>
      </c>
      <c r="E2633" t="s">
        <v>62</v>
      </c>
      <c r="F2633" t="s">
        <v>48</v>
      </c>
      <c r="G2633" t="s">
        <v>43</v>
      </c>
      <c r="H2633" s="3">
        <v>102555.9378920919</v>
      </c>
      <c r="I2633">
        <v>29</v>
      </c>
      <c r="J2633" s="3">
        <v>60165.259709292914</v>
      </c>
      <c r="K2633" s="3">
        <v>42390.678182798983</v>
      </c>
    </row>
    <row r="2634" spans="1:11" x14ac:dyDescent="0.3">
      <c r="A2634" t="s">
        <v>2710</v>
      </c>
      <c r="B2634" s="2">
        <v>45992</v>
      </c>
      <c r="C2634">
        <v>2025</v>
      </c>
      <c r="D2634">
        <v>12</v>
      </c>
      <c r="E2634" t="s">
        <v>50</v>
      </c>
      <c r="F2634" t="s">
        <v>67</v>
      </c>
      <c r="G2634" t="s">
        <v>19</v>
      </c>
      <c r="H2634" s="3">
        <v>155679.81813844389</v>
      </c>
      <c r="I2634">
        <v>30</v>
      </c>
      <c r="J2634" s="3">
        <v>96746.249509198693</v>
      </c>
      <c r="K2634" s="3">
        <v>58933.568629245201</v>
      </c>
    </row>
    <row r="2635" spans="1:11" x14ac:dyDescent="0.3">
      <c r="A2635" t="s">
        <v>2711</v>
      </c>
      <c r="B2635" s="2">
        <v>45992</v>
      </c>
      <c r="C2635">
        <v>2025</v>
      </c>
      <c r="D2635">
        <v>12</v>
      </c>
      <c r="E2635" t="s">
        <v>50</v>
      </c>
      <c r="F2635" t="s">
        <v>48</v>
      </c>
      <c r="G2635" t="s">
        <v>19</v>
      </c>
      <c r="H2635" s="3">
        <v>228822.1230793327</v>
      </c>
      <c r="I2635">
        <v>44</v>
      </c>
      <c r="J2635" s="3">
        <v>135790.13024206381</v>
      </c>
      <c r="K2635" s="3">
        <v>93031.992837268917</v>
      </c>
    </row>
    <row r="2636" spans="1:11" x14ac:dyDescent="0.3">
      <c r="A2636" t="s">
        <v>2712</v>
      </c>
      <c r="B2636" s="2">
        <v>45992</v>
      </c>
      <c r="C2636">
        <v>2025</v>
      </c>
      <c r="D2636">
        <v>12</v>
      </c>
      <c r="E2636" t="s">
        <v>54</v>
      </c>
      <c r="F2636" t="s">
        <v>67</v>
      </c>
      <c r="G2636" t="s">
        <v>19</v>
      </c>
      <c r="H2636" s="3">
        <v>108032.1275791043</v>
      </c>
      <c r="I2636">
        <v>21</v>
      </c>
      <c r="J2636" s="3">
        <v>64773.984179771331</v>
      </c>
      <c r="K2636" s="3">
        <v>43258.143399332999</v>
      </c>
    </row>
    <row r="2637" spans="1:11" x14ac:dyDescent="0.3">
      <c r="A2637" t="s">
        <v>2713</v>
      </c>
      <c r="B2637" s="2">
        <v>45992</v>
      </c>
      <c r="C2637">
        <v>2025</v>
      </c>
      <c r="D2637">
        <v>12</v>
      </c>
      <c r="E2637" t="s">
        <v>54</v>
      </c>
      <c r="F2637" t="s">
        <v>48</v>
      </c>
      <c r="G2637" t="s">
        <v>19</v>
      </c>
      <c r="H2637" s="3">
        <v>188724.19007884551</v>
      </c>
      <c r="I2637">
        <v>36</v>
      </c>
      <c r="J2637" s="3">
        <v>118306.3241264235</v>
      </c>
      <c r="K2637" s="3">
        <v>70417.865952421955</v>
      </c>
    </row>
    <row r="2638" spans="1:11" x14ac:dyDescent="0.3">
      <c r="A2638" t="s">
        <v>2714</v>
      </c>
      <c r="B2638" s="2">
        <v>45992</v>
      </c>
      <c r="C2638">
        <v>2025</v>
      </c>
      <c r="D2638">
        <v>12</v>
      </c>
      <c r="E2638" t="s">
        <v>58</v>
      </c>
      <c r="F2638" t="s">
        <v>67</v>
      </c>
      <c r="G2638" t="s">
        <v>19</v>
      </c>
      <c r="H2638" s="3">
        <v>84095.64567375445</v>
      </c>
      <c r="I2638">
        <v>16</v>
      </c>
      <c r="J2638" s="3">
        <v>53112.702748003532</v>
      </c>
      <c r="K2638" s="3">
        <v>30982.942925750918</v>
      </c>
    </row>
    <row r="2639" spans="1:11" x14ac:dyDescent="0.3">
      <c r="A2639" t="s">
        <v>2715</v>
      </c>
      <c r="B2639" s="2">
        <v>45992</v>
      </c>
      <c r="C2639">
        <v>2025</v>
      </c>
      <c r="D2639">
        <v>12</v>
      </c>
      <c r="E2639" t="s">
        <v>58</v>
      </c>
      <c r="F2639" t="s">
        <v>48</v>
      </c>
      <c r="G2639" t="s">
        <v>19</v>
      </c>
      <c r="H2639" s="3">
        <v>125841.3257699884</v>
      </c>
      <c r="I2639">
        <v>24</v>
      </c>
      <c r="J2639" s="3">
        <v>76742.944288222003</v>
      </c>
      <c r="K2639" s="3">
        <v>49098.381481766439</v>
      </c>
    </row>
    <row r="2640" spans="1:11" x14ac:dyDescent="0.3">
      <c r="A2640" t="s">
        <v>2716</v>
      </c>
      <c r="B2640" s="2">
        <v>45992</v>
      </c>
      <c r="C2640">
        <v>2025</v>
      </c>
      <c r="D2640">
        <v>12</v>
      </c>
      <c r="E2640" t="s">
        <v>62</v>
      </c>
      <c r="F2640" t="s">
        <v>67</v>
      </c>
      <c r="G2640" t="s">
        <v>19</v>
      </c>
      <c r="H2640" s="3">
        <v>52127.230868965511</v>
      </c>
      <c r="I2640">
        <v>10</v>
      </c>
      <c r="J2640" s="3">
        <v>32176.92211042409</v>
      </c>
      <c r="K2640" s="3">
        <v>19950.308758541421</v>
      </c>
    </row>
    <row r="2641" spans="1:11" x14ac:dyDescent="0.3">
      <c r="A2641" t="s">
        <v>2717</v>
      </c>
      <c r="B2641" s="2">
        <v>45992</v>
      </c>
      <c r="C2641">
        <v>2025</v>
      </c>
      <c r="D2641">
        <v>12</v>
      </c>
      <c r="E2641" t="s">
        <v>62</v>
      </c>
      <c r="F2641" t="s">
        <v>48</v>
      </c>
      <c r="G2641" t="s">
        <v>19</v>
      </c>
      <c r="H2641" s="3">
        <v>100061.2138130447</v>
      </c>
      <c r="I2641">
        <v>19</v>
      </c>
      <c r="J2641" s="3">
        <v>62367.06058665071</v>
      </c>
      <c r="K2641" s="3">
        <v>37694.153226394017</v>
      </c>
    </row>
    <row r="2642" spans="1:11" x14ac:dyDescent="0.3">
      <c r="A2642" t="s">
        <v>2718</v>
      </c>
      <c r="B2642" s="2">
        <v>45992</v>
      </c>
      <c r="C2642">
        <v>2025</v>
      </c>
      <c r="D2642">
        <v>12</v>
      </c>
      <c r="E2642" t="s">
        <v>50</v>
      </c>
      <c r="F2642" t="s">
        <v>67</v>
      </c>
      <c r="G2642" t="s">
        <v>24</v>
      </c>
      <c r="H2642" s="3">
        <v>167355.70838638471</v>
      </c>
      <c r="I2642">
        <v>27</v>
      </c>
      <c r="J2642" s="3">
        <v>111833.0129377769</v>
      </c>
      <c r="K2642" s="3">
        <v>55522.69544860773</v>
      </c>
    </row>
    <row r="2643" spans="1:11" x14ac:dyDescent="0.3">
      <c r="A2643" t="s">
        <v>2719</v>
      </c>
      <c r="B2643" s="2">
        <v>45992</v>
      </c>
      <c r="C2643">
        <v>2025</v>
      </c>
      <c r="D2643">
        <v>12</v>
      </c>
      <c r="E2643" t="s">
        <v>50</v>
      </c>
      <c r="F2643" t="s">
        <v>48</v>
      </c>
      <c r="G2643" t="s">
        <v>24</v>
      </c>
      <c r="H2643" s="3">
        <v>247914.95645620511</v>
      </c>
      <c r="I2643">
        <v>41</v>
      </c>
      <c r="J2643" s="3">
        <v>157651.89597363479</v>
      </c>
      <c r="K2643" s="3">
        <v>90263.06048257029</v>
      </c>
    </row>
    <row r="2644" spans="1:11" x14ac:dyDescent="0.3">
      <c r="A2644" t="s">
        <v>2720</v>
      </c>
      <c r="B2644" s="2">
        <v>45992</v>
      </c>
      <c r="C2644">
        <v>2025</v>
      </c>
      <c r="D2644">
        <v>12</v>
      </c>
      <c r="E2644" t="s">
        <v>54</v>
      </c>
      <c r="F2644" t="s">
        <v>67</v>
      </c>
      <c r="G2644" t="s">
        <v>24</v>
      </c>
      <c r="H2644" s="3">
        <v>122310.839738152</v>
      </c>
      <c r="I2644">
        <v>20</v>
      </c>
      <c r="J2644" s="3">
        <v>79437.690986581554</v>
      </c>
      <c r="K2644" s="3">
        <v>42873.148751570421</v>
      </c>
    </row>
    <row r="2645" spans="1:11" x14ac:dyDescent="0.3">
      <c r="A2645" t="s">
        <v>2721</v>
      </c>
      <c r="B2645" s="2">
        <v>45992</v>
      </c>
      <c r="C2645">
        <v>2025</v>
      </c>
      <c r="D2645">
        <v>12</v>
      </c>
      <c r="E2645" t="s">
        <v>54</v>
      </c>
      <c r="F2645" t="s">
        <v>48</v>
      </c>
      <c r="G2645" t="s">
        <v>24</v>
      </c>
      <c r="H2645" s="3">
        <v>200555.0670327433</v>
      </c>
      <c r="I2645">
        <v>33</v>
      </c>
      <c r="J2645" s="3">
        <v>131573.94254135489</v>
      </c>
      <c r="K2645" s="3">
        <v>68981.124491388415</v>
      </c>
    </row>
    <row r="2646" spans="1:11" x14ac:dyDescent="0.3">
      <c r="A2646" t="s">
        <v>2722</v>
      </c>
      <c r="B2646" s="2">
        <v>45992</v>
      </c>
      <c r="C2646">
        <v>2025</v>
      </c>
      <c r="D2646">
        <v>12</v>
      </c>
      <c r="E2646" t="s">
        <v>58</v>
      </c>
      <c r="F2646" t="s">
        <v>67</v>
      </c>
      <c r="G2646" t="s">
        <v>24</v>
      </c>
      <c r="H2646" s="3">
        <v>84054.097026231611</v>
      </c>
      <c r="I2646">
        <v>14</v>
      </c>
      <c r="J2646" s="3">
        <v>56177.833591927752</v>
      </c>
      <c r="K2646" s="3">
        <v>27876.26343430387</v>
      </c>
    </row>
    <row r="2647" spans="1:11" x14ac:dyDescent="0.3">
      <c r="A2647" t="s">
        <v>2723</v>
      </c>
      <c r="B2647" s="2">
        <v>45992</v>
      </c>
      <c r="C2647">
        <v>2025</v>
      </c>
      <c r="D2647">
        <v>12</v>
      </c>
      <c r="E2647" t="s">
        <v>58</v>
      </c>
      <c r="F2647" t="s">
        <v>48</v>
      </c>
      <c r="G2647" t="s">
        <v>24</v>
      </c>
      <c r="H2647" s="3">
        <v>151421.97713851539</v>
      </c>
      <c r="I2647">
        <v>25</v>
      </c>
      <c r="J2647" s="3">
        <v>104432.9142404485</v>
      </c>
      <c r="K2647" s="3">
        <v>46989.06289806687</v>
      </c>
    </row>
    <row r="2648" spans="1:11" x14ac:dyDescent="0.3">
      <c r="A2648" t="s">
        <v>2724</v>
      </c>
      <c r="B2648" s="2">
        <v>45992</v>
      </c>
      <c r="C2648">
        <v>2025</v>
      </c>
      <c r="D2648">
        <v>12</v>
      </c>
      <c r="E2648" t="s">
        <v>62</v>
      </c>
      <c r="F2648" t="s">
        <v>67</v>
      </c>
      <c r="G2648" t="s">
        <v>24</v>
      </c>
      <c r="H2648" s="3">
        <v>64943.858957778422</v>
      </c>
      <c r="I2648">
        <v>11</v>
      </c>
      <c r="J2648" s="3">
        <v>42687.032959583412</v>
      </c>
      <c r="K2648" s="3">
        <v>22256.825998195</v>
      </c>
    </row>
    <row r="2649" spans="1:11" x14ac:dyDescent="0.3">
      <c r="A2649" t="s">
        <v>2725</v>
      </c>
      <c r="B2649" s="2">
        <v>45992</v>
      </c>
      <c r="C2649">
        <v>2025</v>
      </c>
      <c r="D2649">
        <v>12</v>
      </c>
      <c r="E2649" t="s">
        <v>62</v>
      </c>
      <c r="F2649" t="s">
        <v>48</v>
      </c>
      <c r="G2649" t="s">
        <v>24</v>
      </c>
      <c r="H2649" s="3">
        <v>102499.2100027195</v>
      </c>
      <c r="I2649">
        <v>17</v>
      </c>
      <c r="J2649" s="3">
        <v>65936.21535091025</v>
      </c>
      <c r="K2649" s="3">
        <v>36562.994651809247</v>
      </c>
    </row>
    <row r="2650" spans="1:11" x14ac:dyDescent="0.3">
      <c r="A2650" t="s">
        <v>2726</v>
      </c>
      <c r="B2650" s="2">
        <v>45992</v>
      </c>
      <c r="C2650">
        <v>2025</v>
      </c>
      <c r="D2650">
        <v>12</v>
      </c>
      <c r="E2650" t="s">
        <v>50</v>
      </c>
      <c r="F2650" t="s">
        <v>67</v>
      </c>
      <c r="G2650" t="s">
        <v>29</v>
      </c>
      <c r="H2650" s="3">
        <v>107948.0029915081</v>
      </c>
      <c r="I2650">
        <v>25</v>
      </c>
      <c r="J2650" s="3">
        <v>69586.966804690019</v>
      </c>
      <c r="K2650" s="3">
        <v>38361.036186818077</v>
      </c>
    </row>
    <row r="2651" spans="1:11" x14ac:dyDescent="0.3">
      <c r="A2651" t="s">
        <v>2727</v>
      </c>
      <c r="B2651" s="2">
        <v>45992</v>
      </c>
      <c r="C2651">
        <v>2025</v>
      </c>
      <c r="D2651">
        <v>12</v>
      </c>
      <c r="E2651" t="s">
        <v>50</v>
      </c>
      <c r="F2651" t="s">
        <v>48</v>
      </c>
      <c r="G2651" t="s">
        <v>29</v>
      </c>
      <c r="H2651" s="3">
        <v>172060.6885725171</v>
      </c>
      <c r="I2651">
        <v>40</v>
      </c>
      <c r="J2651" s="3">
        <v>112737.2381345363</v>
      </c>
      <c r="K2651" s="3">
        <v>59323.450437980791</v>
      </c>
    </row>
    <row r="2652" spans="1:11" x14ac:dyDescent="0.3">
      <c r="A2652" t="s">
        <v>2728</v>
      </c>
      <c r="B2652" s="2">
        <v>45992</v>
      </c>
      <c r="C2652">
        <v>2025</v>
      </c>
      <c r="D2652">
        <v>12</v>
      </c>
      <c r="E2652" t="s">
        <v>54</v>
      </c>
      <c r="F2652" t="s">
        <v>67</v>
      </c>
      <c r="G2652" t="s">
        <v>29</v>
      </c>
      <c r="H2652" s="3">
        <v>78648.591772426225</v>
      </c>
      <c r="I2652">
        <v>18</v>
      </c>
      <c r="J2652" s="3">
        <v>50432.96296034853</v>
      </c>
      <c r="K2652" s="3">
        <v>28215.628812077699</v>
      </c>
    </row>
    <row r="2653" spans="1:11" x14ac:dyDescent="0.3">
      <c r="A2653" t="s">
        <v>2729</v>
      </c>
      <c r="B2653" s="2">
        <v>45992</v>
      </c>
      <c r="C2653">
        <v>2025</v>
      </c>
      <c r="D2653">
        <v>12</v>
      </c>
      <c r="E2653" t="s">
        <v>54</v>
      </c>
      <c r="F2653" t="s">
        <v>48</v>
      </c>
      <c r="G2653" t="s">
        <v>29</v>
      </c>
      <c r="H2653" s="3">
        <v>131010.3877828548</v>
      </c>
      <c r="I2653">
        <v>30</v>
      </c>
      <c r="J2653" s="3">
        <v>82478.298232418019</v>
      </c>
      <c r="K2653" s="3">
        <v>48532.08955043678</v>
      </c>
    </row>
    <row r="2654" spans="1:11" x14ac:dyDescent="0.3">
      <c r="A2654" t="s">
        <v>2730</v>
      </c>
      <c r="B2654" s="2">
        <v>45992</v>
      </c>
      <c r="C2654">
        <v>2025</v>
      </c>
      <c r="D2654">
        <v>12</v>
      </c>
      <c r="E2654" t="s">
        <v>58</v>
      </c>
      <c r="F2654" t="s">
        <v>67</v>
      </c>
      <c r="G2654" t="s">
        <v>29</v>
      </c>
      <c r="H2654" s="3">
        <v>59575.93701078491</v>
      </c>
      <c r="I2654">
        <v>14</v>
      </c>
      <c r="J2654" s="3">
        <v>38786.085101851393</v>
      </c>
      <c r="K2654" s="3">
        <v>20789.85190893352</v>
      </c>
    </row>
    <row r="2655" spans="1:11" x14ac:dyDescent="0.3">
      <c r="A2655" t="s">
        <v>2731</v>
      </c>
      <c r="B2655" s="2">
        <v>45992</v>
      </c>
      <c r="C2655">
        <v>2025</v>
      </c>
      <c r="D2655">
        <v>12</v>
      </c>
      <c r="E2655" t="s">
        <v>58</v>
      </c>
      <c r="F2655" t="s">
        <v>48</v>
      </c>
      <c r="G2655" t="s">
        <v>29</v>
      </c>
      <c r="H2655" s="3">
        <v>101324.6130334654</v>
      </c>
      <c r="I2655">
        <v>24</v>
      </c>
      <c r="J2655" s="3">
        <v>65622.282296259</v>
      </c>
      <c r="K2655" s="3">
        <v>35702.330737206386</v>
      </c>
    </row>
    <row r="2656" spans="1:11" x14ac:dyDescent="0.3">
      <c r="A2656" t="s">
        <v>2732</v>
      </c>
      <c r="B2656" s="2">
        <v>45992</v>
      </c>
      <c r="C2656">
        <v>2025</v>
      </c>
      <c r="D2656">
        <v>12</v>
      </c>
      <c r="E2656" t="s">
        <v>62</v>
      </c>
      <c r="F2656" t="s">
        <v>67</v>
      </c>
      <c r="G2656" t="s">
        <v>29</v>
      </c>
      <c r="H2656" s="3">
        <v>46626.423786168772</v>
      </c>
      <c r="I2656">
        <v>11</v>
      </c>
      <c r="J2656" s="3">
        <v>29289.765850318548</v>
      </c>
      <c r="K2656" s="3">
        <v>17336.657935850209</v>
      </c>
    </row>
    <row r="2657" spans="1:11" x14ac:dyDescent="0.3">
      <c r="A2657" t="s">
        <v>2733</v>
      </c>
      <c r="B2657" s="2">
        <v>45992</v>
      </c>
      <c r="C2657">
        <v>2025</v>
      </c>
      <c r="D2657">
        <v>12</v>
      </c>
      <c r="E2657" t="s">
        <v>62</v>
      </c>
      <c r="F2657" t="s">
        <v>48</v>
      </c>
      <c r="G2657" t="s">
        <v>29</v>
      </c>
      <c r="H2657" s="3">
        <v>72408.695600618128</v>
      </c>
      <c r="I2657">
        <v>17</v>
      </c>
      <c r="J2657" s="3">
        <v>46659.73066651899</v>
      </c>
      <c r="K2657" s="3">
        <v>25748.964934099138</v>
      </c>
    </row>
    <row r="2658" spans="1:11" x14ac:dyDescent="0.3">
      <c r="A2658" t="s">
        <v>2734</v>
      </c>
      <c r="B2658" s="2">
        <v>45992</v>
      </c>
      <c r="C2658">
        <v>2025</v>
      </c>
      <c r="D2658">
        <v>12</v>
      </c>
      <c r="E2658" t="s">
        <v>50</v>
      </c>
      <c r="F2658" t="s">
        <v>67</v>
      </c>
      <c r="G2658" t="s">
        <v>34</v>
      </c>
      <c r="H2658" s="3">
        <v>96179.835872129435</v>
      </c>
      <c r="I2658">
        <v>113</v>
      </c>
      <c r="J2658" s="3">
        <v>46995.04270428473</v>
      </c>
      <c r="K2658" s="3">
        <v>49184.793167844713</v>
      </c>
    </row>
    <row r="2659" spans="1:11" x14ac:dyDescent="0.3">
      <c r="A2659" t="s">
        <v>2735</v>
      </c>
      <c r="B2659" s="2">
        <v>45992</v>
      </c>
      <c r="C2659">
        <v>2025</v>
      </c>
      <c r="D2659">
        <v>12</v>
      </c>
      <c r="E2659" t="s">
        <v>50</v>
      </c>
      <c r="F2659" t="s">
        <v>48</v>
      </c>
      <c r="G2659" t="s">
        <v>34</v>
      </c>
      <c r="H2659" s="3">
        <v>163373.52238360059</v>
      </c>
      <c r="I2659">
        <v>192</v>
      </c>
      <c r="J2659" s="3">
        <v>80087.584363878559</v>
      </c>
      <c r="K2659" s="3">
        <v>83285.938019722002</v>
      </c>
    </row>
    <row r="2660" spans="1:11" x14ac:dyDescent="0.3">
      <c r="A2660" t="s">
        <v>2736</v>
      </c>
      <c r="B2660" s="2">
        <v>45992</v>
      </c>
      <c r="C2660">
        <v>2025</v>
      </c>
      <c r="D2660">
        <v>12</v>
      </c>
      <c r="E2660" t="s">
        <v>54</v>
      </c>
      <c r="F2660" t="s">
        <v>67</v>
      </c>
      <c r="G2660" t="s">
        <v>34</v>
      </c>
      <c r="H2660" s="3">
        <v>81330.208441446957</v>
      </c>
      <c r="I2660">
        <v>96</v>
      </c>
      <c r="J2660" s="3">
        <v>38991.806822025341</v>
      </c>
      <c r="K2660" s="3">
        <v>42338.401619421616</v>
      </c>
    </row>
    <row r="2661" spans="1:11" x14ac:dyDescent="0.3">
      <c r="A2661" t="s">
        <v>2737</v>
      </c>
      <c r="B2661" s="2">
        <v>45992</v>
      </c>
      <c r="C2661">
        <v>2025</v>
      </c>
      <c r="D2661">
        <v>12</v>
      </c>
      <c r="E2661" t="s">
        <v>54</v>
      </c>
      <c r="F2661" t="s">
        <v>48</v>
      </c>
      <c r="G2661" t="s">
        <v>34</v>
      </c>
      <c r="H2661" s="3">
        <v>125011.3857987712</v>
      </c>
      <c r="I2661">
        <v>147</v>
      </c>
      <c r="J2661" s="3">
        <v>59618.704156079213</v>
      </c>
      <c r="K2661" s="3">
        <v>65392.681642691947</v>
      </c>
    </row>
    <row r="2662" spans="1:11" x14ac:dyDescent="0.3">
      <c r="A2662" t="s">
        <v>2738</v>
      </c>
      <c r="B2662" s="2">
        <v>45992</v>
      </c>
      <c r="C2662">
        <v>2025</v>
      </c>
      <c r="D2662">
        <v>12</v>
      </c>
      <c r="E2662" t="s">
        <v>58</v>
      </c>
      <c r="F2662" t="s">
        <v>67</v>
      </c>
      <c r="G2662" t="s">
        <v>34</v>
      </c>
      <c r="H2662" s="3">
        <v>54221.482413078273</v>
      </c>
      <c r="I2662">
        <v>64</v>
      </c>
      <c r="J2662" s="3">
        <v>26601.256953772059</v>
      </c>
      <c r="K2662" s="3">
        <v>27620.22545930621</v>
      </c>
    </row>
    <row r="2663" spans="1:11" x14ac:dyDescent="0.3">
      <c r="A2663" t="s">
        <v>2739</v>
      </c>
      <c r="B2663" s="2">
        <v>45992</v>
      </c>
      <c r="C2663">
        <v>2025</v>
      </c>
      <c r="D2663">
        <v>12</v>
      </c>
      <c r="E2663" t="s">
        <v>58</v>
      </c>
      <c r="F2663" t="s">
        <v>48</v>
      </c>
      <c r="G2663" t="s">
        <v>34</v>
      </c>
      <c r="H2663" s="3">
        <v>89907.145162943387</v>
      </c>
      <c r="I2663">
        <v>106</v>
      </c>
      <c r="J2663" s="3">
        <v>42215.379741469464</v>
      </c>
      <c r="K2663" s="3">
        <v>47691.765421473923</v>
      </c>
    </row>
    <row r="2664" spans="1:11" x14ac:dyDescent="0.3">
      <c r="A2664" t="s">
        <v>2740</v>
      </c>
      <c r="B2664" s="2">
        <v>45992</v>
      </c>
      <c r="C2664">
        <v>2025</v>
      </c>
      <c r="D2664">
        <v>12</v>
      </c>
      <c r="E2664" t="s">
        <v>62</v>
      </c>
      <c r="F2664" t="s">
        <v>67</v>
      </c>
      <c r="G2664" t="s">
        <v>34</v>
      </c>
      <c r="H2664" s="3">
        <v>42875.966896092978</v>
      </c>
      <c r="I2664">
        <v>50</v>
      </c>
      <c r="J2664" s="3">
        <v>20742.935086537022</v>
      </c>
      <c r="K2664" s="3">
        <v>22133.031809555971</v>
      </c>
    </row>
    <row r="2665" spans="1:11" x14ac:dyDescent="0.3">
      <c r="A2665" t="s">
        <v>2741</v>
      </c>
      <c r="B2665" s="2">
        <v>45992</v>
      </c>
      <c r="C2665">
        <v>2025</v>
      </c>
      <c r="D2665">
        <v>12</v>
      </c>
      <c r="E2665" t="s">
        <v>62</v>
      </c>
      <c r="F2665" t="s">
        <v>48</v>
      </c>
      <c r="G2665" t="s">
        <v>34</v>
      </c>
      <c r="H2665" s="3">
        <v>65473.520957500172</v>
      </c>
      <c r="I2665">
        <v>77</v>
      </c>
      <c r="J2665" s="3">
        <v>30652.278023864041</v>
      </c>
      <c r="K2665" s="3">
        <v>34821.242933636117</v>
      </c>
    </row>
    <row r="2666" spans="1:11" x14ac:dyDescent="0.3">
      <c r="A2666" t="s">
        <v>2742</v>
      </c>
      <c r="B2666" s="2">
        <v>45992</v>
      </c>
      <c r="C2666">
        <v>2025</v>
      </c>
      <c r="D2666">
        <v>12</v>
      </c>
      <c r="E2666" t="s">
        <v>50</v>
      </c>
      <c r="F2666" t="s">
        <v>67</v>
      </c>
      <c r="G2666" t="s">
        <v>37</v>
      </c>
      <c r="H2666" s="3">
        <v>81349.234260370809</v>
      </c>
      <c r="I2666">
        <v>113</v>
      </c>
      <c r="J2666" s="3">
        <v>45600.087528284072</v>
      </c>
      <c r="K2666" s="3">
        <v>35749.146732086738</v>
      </c>
    </row>
    <row r="2667" spans="1:11" x14ac:dyDescent="0.3">
      <c r="A2667" t="s">
        <v>2743</v>
      </c>
      <c r="B2667" s="2">
        <v>45992</v>
      </c>
      <c r="C2667">
        <v>2025</v>
      </c>
      <c r="D2667">
        <v>12</v>
      </c>
      <c r="E2667" t="s">
        <v>50</v>
      </c>
      <c r="F2667" t="s">
        <v>48</v>
      </c>
      <c r="G2667" t="s">
        <v>37</v>
      </c>
      <c r="H2667" s="3">
        <v>132752.38790997211</v>
      </c>
      <c r="I2667">
        <v>184</v>
      </c>
      <c r="J2667" s="3">
        <v>72674.677382454945</v>
      </c>
      <c r="K2667" s="3">
        <v>60077.710527517193</v>
      </c>
    </row>
    <row r="2668" spans="1:11" x14ac:dyDescent="0.3">
      <c r="A2668" t="s">
        <v>2744</v>
      </c>
      <c r="B2668" s="2">
        <v>45992</v>
      </c>
      <c r="C2668">
        <v>2025</v>
      </c>
      <c r="D2668">
        <v>12</v>
      </c>
      <c r="E2668" t="s">
        <v>54</v>
      </c>
      <c r="F2668" t="s">
        <v>67</v>
      </c>
      <c r="G2668" t="s">
        <v>37</v>
      </c>
      <c r="H2668" s="3">
        <v>67783.750087126231</v>
      </c>
      <c r="I2668">
        <v>94</v>
      </c>
      <c r="J2668" s="3">
        <v>38132.356905116903</v>
      </c>
      <c r="K2668" s="3">
        <v>29651.393182009331</v>
      </c>
    </row>
    <row r="2669" spans="1:11" x14ac:dyDescent="0.3">
      <c r="A2669" t="s">
        <v>2745</v>
      </c>
      <c r="B2669" s="2">
        <v>45992</v>
      </c>
      <c r="C2669">
        <v>2025</v>
      </c>
      <c r="D2669">
        <v>12</v>
      </c>
      <c r="E2669" t="s">
        <v>54</v>
      </c>
      <c r="F2669" t="s">
        <v>48</v>
      </c>
      <c r="G2669" t="s">
        <v>37</v>
      </c>
      <c r="H2669" s="3">
        <v>100431.3782590566</v>
      </c>
      <c r="I2669">
        <v>139</v>
      </c>
      <c r="J2669" s="3">
        <v>55725.855320588344</v>
      </c>
      <c r="K2669" s="3">
        <v>44705.522938468297</v>
      </c>
    </row>
    <row r="2670" spans="1:11" x14ac:dyDescent="0.3">
      <c r="A2670" t="s">
        <v>2746</v>
      </c>
      <c r="B2670" s="2">
        <v>45992</v>
      </c>
      <c r="C2670">
        <v>2025</v>
      </c>
      <c r="D2670">
        <v>12</v>
      </c>
      <c r="E2670" t="s">
        <v>58</v>
      </c>
      <c r="F2670" t="s">
        <v>67</v>
      </c>
      <c r="G2670" t="s">
        <v>37</v>
      </c>
      <c r="H2670" s="3">
        <v>40737.817308746802</v>
      </c>
      <c r="I2670">
        <v>57</v>
      </c>
      <c r="J2670" s="3">
        <v>21912.469429430541</v>
      </c>
      <c r="K2670" s="3">
        <v>18825.347879316261</v>
      </c>
    </row>
    <row r="2671" spans="1:11" x14ac:dyDescent="0.3">
      <c r="A2671" t="s">
        <v>2747</v>
      </c>
      <c r="B2671" s="2">
        <v>45992</v>
      </c>
      <c r="C2671">
        <v>2025</v>
      </c>
      <c r="D2671">
        <v>12</v>
      </c>
      <c r="E2671" t="s">
        <v>58</v>
      </c>
      <c r="F2671" t="s">
        <v>48</v>
      </c>
      <c r="G2671" t="s">
        <v>37</v>
      </c>
      <c r="H2671" s="3">
        <v>68082.55094000847</v>
      </c>
      <c r="I2671">
        <v>95</v>
      </c>
      <c r="J2671" s="3">
        <v>38405.626689387667</v>
      </c>
      <c r="K2671" s="3">
        <v>29676.924250620799</v>
      </c>
    </row>
    <row r="2672" spans="1:11" x14ac:dyDescent="0.3">
      <c r="A2672" t="s">
        <v>2748</v>
      </c>
      <c r="B2672" s="2">
        <v>45992</v>
      </c>
      <c r="C2672">
        <v>2025</v>
      </c>
      <c r="D2672">
        <v>12</v>
      </c>
      <c r="E2672" t="s">
        <v>62</v>
      </c>
      <c r="F2672" t="s">
        <v>67</v>
      </c>
      <c r="G2672" t="s">
        <v>37</v>
      </c>
      <c r="H2672" s="3">
        <v>31675.43415020161</v>
      </c>
      <c r="I2672">
        <v>44</v>
      </c>
      <c r="J2672" s="3">
        <v>17907.938818757571</v>
      </c>
      <c r="K2672" s="3">
        <v>13767.495331444041</v>
      </c>
    </row>
    <row r="2673" spans="1:11" x14ac:dyDescent="0.3">
      <c r="A2673" t="s">
        <v>2749</v>
      </c>
      <c r="B2673" s="2">
        <v>45992</v>
      </c>
      <c r="C2673">
        <v>2025</v>
      </c>
      <c r="D2673">
        <v>12</v>
      </c>
      <c r="E2673" t="s">
        <v>62</v>
      </c>
      <c r="F2673" t="s">
        <v>48</v>
      </c>
      <c r="G2673" t="s">
        <v>37</v>
      </c>
      <c r="H2673" s="3">
        <v>53189.854639015182</v>
      </c>
      <c r="I2673">
        <v>74</v>
      </c>
      <c r="J2673" s="3">
        <v>29719.014085342409</v>
      </c>
      <c r="K2673" s="3">
        <v>23470.84055367277</v>
      </c>
    </row>
    <row r="2674" spans="1:11" x14ac:dyDescent="0.3">
      <c r="A2674" t="s">
        <v>2750</v>
      </c>
      <c r="B2674" s="2">
        <v>45992</v>
      </c>
      <c r="C2674">
        <v>2025</v>
      </c>
      <c r="D2674">
        <v>12</v>
      </c>
      <c r="E2674" t="s">
        <v>50</v>
      </c>
      <c r="F2674" t="s">
        <v>67</v>
      </c>
      <c r="G2674" t="s">
        <v>40</v>
      </c>
      <c r="H2674" s="3">
        <v>74407.097142441053</v>
      </c>
      <c r="I2674">
        <v>14</v>
      </c>
      <c r="J2674" s="3">
        <v>50637.086153461649</v>
      </c>
      <c r="K2674" s="3">
        <v>23770.0109889794</v>
      </c>
    </row>
    <row r="2675" spans="1:11" x14ac:dyDescent="0.3">
      <c r="A2675" t="s">
        <v>2751</v>
      </c>
      <c r="B2675" s="2">
        <v>45992</v>
      </c>
      <c r="C2675">
        <v>2025</v>
      </c>
      <c r="D2675">
        <v>12</v>
      </c>
      <c r="E2675" t="s">
        <v>50</v>
      </c>
      <c r="F2675" t="s">
        <v>48</v>
      </c>
      <c r="G2675" t="s">
        <v>40</v>
      </c>
      <c r="H2675" s="3">
        <v>123133.7996839851</v>
      </c>
      <c r="I2675">
        <v>23</v>
      </c>
      <c r="J2675" s="3">
        <v>84494.327972871877</v>
      </c>
      <c r="K2675" s="3">
        <v>38639.471711113249</v>
      </c>
    </row>
    <row r="2676" spans="1:11" x14ac:dyDescent="0.3">
      <c r="A2676" t="s">
        <v>2752</v>
      </c>
      <c r="B2676" s="2">
        <v>45992</v>
      </c>
      <c r="C2676">
        <v>2025</v>
      </c>
      <c r="D2676">
        <v>12</v>
      </c>
      <c r="E2676" t="s">
        <v>54</v>
      </c>
      <c r="F2676" t="s">
        <v>67</v>
      </c>
      <c r="G2676" t="s">
        <v>40</v>
      </c>
      <c r="H2676" s="3">
        <v>60631.539821514867</v>
      </c>
      <c r="I2676">
        <v>11</v>
      </c>
      <c r="J2676" s="3">
        <v>41945.275530296269</v>
      </c>
      <c r="K2676" s="3">
        <v>18686.264291218609</v>
      </c>
    </row>
    <row r="2677" spans="1:11" x14ac:dyDescent="0.3">
      <c r="A2677" t="s">
        <v>2753</v>
      </c>
      <c r="B2677" s="2">
        <v>45992</v>
      </c>
      <c r="C2677">
        <v>2025</v>
      </c>
      <c r="D2677">
        <v>12</v>
      </c>
      <c r="E2677" t="s">
        <v>54</v>
      </c>
      <c r="F2677" t="s">
        <v>48</v>
      </c>
      <c r="G2677" t="s">
        <v>40</v>
      </c>
      <c r="H2677" s="3">
        <v>104591.53127115589</v>
      </c>
      <c r="I2677">
        <v>19</v>
      </c>
      <c r="J2677" s="3">
        <v>71254.017895987636</v>
      </c>
      <c r="K2677" s="3">
        <v>33337.513375168222</v>
      </c>
    </row>
    <row r="2678" spans="1:11" x14ac:dyDescent="0.3">
      <c r="A2678" t="s">
        <v>2754</v>
      </c>
      <c r="B2678" s="2">
        <v>45992</v>
      </c>
      <c r="C2678">
        <v>2025</v>
      </c>
      <c r="D2678">
        <v>12</v>
      </c>
      <c r="E2678" t="s">
        <v>58</v>
      </c>
      <c r="F2678" t="s">
        <v>67</v>
      </c>
      <c r="G2678" t="s">
        <v>40</v>
      </c>
      <c r="H2678" s="3">
        <v>43486.02782429973</v>
      </c>
      <c r="I2678">
        <v>8</v>
      </c>
      <c r="J2678" s="3">
        <v>30919.389601086899</v>
      </c>
      <c r="K2678" s="3">
        <v>12566.638223212831</v>
      </c>
    </row>
    <row r="2679" spans="1:11" x14ac:dyDescent="0.3">
      <c r="A2679" t="s">
        <v>2755</v>
      </c>
      <c r="B2679" s="2">
        <v>45992</v>
      </c>
      <c r="C2679">
        <v>2025</v>
      </c>
      <c r="D2679">
        <v>12</v>
      </c>
      <c r="E2679" t="s">
        <v>58</v>
      </c>
      <c r="F2679" t="s">
        <v>48</v>
      </c>
      <c r="G2679" t="s">
        <v>40</v>
      </c>
      <c r="H2679" s="3">
        <v>68084.751931272374</v>
      </c>
      <c r="I2679">
        <v>13</v>
      </c>
      <c r="J2679" s="3">
        <v>47100.523118323254</v>
      </c>
      <c r="K2679" s="3">
        <v>20984.228812949121</v>
      </c>
    </row>
    <row r="2680" spans="1:11" x14ac:dyDescent="0.3">
      <c r="A2680" t="s">
        <v>2756</v>
      </c>
      <c r="B2680" s="2">
        <v>45992</v>
      </c>
      <c r="C2680">
        <v>2025</v>
      </c>
      <c r="D2680">
        <v>12</v>
      </c>
      <c r="E2680" t="s">
        <v>62</v>
      </c>
      <c r="F2680" t="s">
        <v>67</v>
      </c>
      <c r="G2680" t="s">
        <v>40</v>
      </c>
      <c r="H2680" s="3">
        <v>32170.413351902691</v>
      </c>
      <c r="I2680">
        <v>6</v>
      </c>
      <c r="J2680" s="3">
        <v>21117.44483737283</v>
      </c>
      <c r="K2680" s="3">
        <v>11052.96851452985</v>
      </c>
    </row>
    <row r="2681" spans="1:11" x14ac:dyDescent="0.3">
      <c r="A2681" t="s">
        <v>2757</v>
      </c>
      <c r="B2681" s="2">
        <v>45992</v>
      </c>
      <c r="C2681">
        <v>2025</v>
      </c>
      <c r="D2681">
        <v>12</v>
      </c>
      <c r="E2681" t="s">
        <v>62</v>
      </c>
      <c r="F2681" t="s">
        <v>48</v>
      </c>
      <c r="G2681" t="s">
        <v>40</v>
      </c>
      <c r="H2681" s="3">
        <v>51694.239112769668</v>
      </c>
      <c r="I2681">
        <v>10</v>
      </c>
      <c r="J2681" s="3">
        <v>35886.905825180373</v>
      </c>
      <c r="K2681" s="3">
        <v>15807.333287589299</v>
      </c>
    </row>
    <row r="2682" spans="1:11" x14ac:dyDescent="0.3">
      <c r="A2682" t="s">
        <v>2758</v>
      </c>
      <c r="B2682" s="2">
        <v>45992</v>
      </c>
      <c r="C2682">
        <v>2025</v>
      </c>
      <c r="D2682">
        <v>12</v>
      </c>
      <c r="E2682" t="s">
        <v>50</v>
      </c>
      <c r="F2682" t="s">
        <v>67</v>
      </c>
      <c r="G2682" t="s">
        <v>43</v>
      </c>
      <c r="H2682" s="3">
        <v>150100.02405337061</v>
      </c>
      <c r="I2682">
        <v>43</v>
      </c>
      <c r="J2682" s="3">
        <v>88004.02962626754</v>
      </c>
      <c r="K2682" s="3">
        <v>62095.994427103011</v>
      </c>
    </row>
    <row r="2683" spans="1:11" x14ac:dyDescent="0.3">
      <c r="A2683" t="s">
        <v>2759</v>
      </c>
      <c r="B2683" s="2">
        <v>45992</v>
      </c>
      <c r="C2683">
        <v>2025</v>
      </c>
      <c r="D2683">
        <v>12</v>
      </c>
      <c r="E2683" t="s">
        <v>50</v>
      </c>
      <c r="F2683" t="s">
        <v>48</v>
      </c>
      <c r="G2683" t="s">
        <v>43</v>
      </c>
      <c r="H2683" s="3">
        <v>234945.69725301961</v>
      </c>
      <c r="I2683">
        <v>67</v>
      </c>
      <c r="J2683" s="3">
        <v>138431.01038296</v>
      </c>
      <c r="K2683" s="3">
        <v>96514.686870059581</v>
      </c>
    </row>
    <row r="2684" spans="1:11" x14ac:dyDescent="0.3">
      <c r="A2684" t="s">
        <v>2760</v>
      </c>
      <c r="B2684" s="2">
        <v>45992</v>
      </c>
      <c r="C2684">
        <v>2025</v>
      </c>
      <c r="D2684">
        <v>12</v>
      </c>
      <c r="E2684" t="s">
        <v>54</v>
      </c>
      <c r="F2684" t="s">
        <v>67</v>
      </c>
      <c r="G2684" t="s">
        <v>43</v>
      </c>
      <c r="H2684" s="3">
        <v>133943.3389283068</v>
      </c>
      <c r="I2684">
        <v>38</v>
      </c>
      <c r="J2684" s="3">
        <v>78502.216933870193</v>
      </c>
      <c r="K2684" s="3">
        <v>55441.121994436602</v>
      </c>
    </row>
    <row r="2685" spans="1:11" x14ac:dyDescent="0.3">
      <c r="A2685" t="s">
        <v>2761</v>
      </c>
      <c r="B2685" s="2">
        <v>45992</v>
      </c>
      <c r="C2685">
        <v>2025</v>
      </c>
      <c r="D2685">
        <v>12</v>
      </c>
      <c r="E2685" t="s">
        <v>54</v>
      </c>
      <c r="F2685" t="s">
        <v>48</v>
      </c>
      <c r="G2685" t="s">
        <v>43</v>
      </c>
      <c r="H2685" s="3">
        <v>213712.18704279879</v>
      </c>
      <c r="I2685">
        <v>61</v>
      </c>
      <c r="J2685" s="3">
        <v>127921.8818085696</v>
      </c>
      <c r="K2685" s="3">
        <v>85790.305234229207</v>
      </c>
    </row>
    <row r="2686" spans="1:11" x14ac:dyDescent="0.3">
      <c r="A2686" t="s">
        <v>2762</v>
      </c>
      <c r="B2686" s="2">
        <v>45992</v>
      </c>
      <c r="C2686">
        <v>2025</v>
      </c>
      <c r="D2686">
        <v>12</v>
      </c>
      <c r="E2686" t="s">
        <v>58</v>
      </c>
      <c r="F2686" t="s">
        <v>67</v>
      </c>
      <c r="G2686" t="s">
        <v>43</v>
      </c>
      <c r="H2686" s="3">
        <v>90018.141432251068</v>
      </c>
      <c r="I2686">
        <v>26</v>
      </c>
      <c r="J2686" s="3">
        <v>54181.116745068022</v>
      </c>
      <c r="K2686" s="3">
        <v>35837.024687183053</v>
      </c>
    </row>
    <row r="2687" spans="1:11" x14ac:dyDescent="0.3">
      <c r="A2687" t="s">
        <v>2763</v>
      </c>
      <c r="B2687" s="2">
        <v>45992</v>
      </c>
      <c r="C2687">
        <v>2025</v>
      </c>
      <c r="D2687">
        <v>12</v>
      </c>
      <c r="E2687" t="s">
        <v>58</v>
      </c>
      <c r="F2687" t="s">
        <v>48</v>
      </c>
      <c r="G2687" t="s">
        <v>43</v>
      </c>
      <c r="H2687" s="3">
        <v>137650.6157149577</v>
      </c>
      <c r="I2687">
        <v>39</v>
      </c>
      <c r="J2687" s="3">
        <v>81627.644406555046</v>
      </c>
      <c r="K2687" s="3">
        <v>56022.971308402688</v>
      </c>
    </row>
    <row r="2688" spans="1:11" x14ac:dyDescent="0.3">
      <c r="A2688" t="s">
        <v>2764</v>
      </c>
      <c r="B2688" s="2">
        <v>45992</v>
      </c>
      <c r="C2688">
        <v>2025</v>
      </c>
      <c r="D2688">
        <v>12</v>
      </c>
      <c r="E2688" t="s">
        <v>62</v>
      </c>
      <c r="F2688" t="s">
        <v>67</v>
      </c>
      <c r="G2688" t="s">
        <v>43</v>
      </c>
      <c r="H2688" s="3">
        <v>66461.658825629886</v>
      </c>
      <c r="I2688">
        <v>19</v>
      </c>
      <c r="J2688" s="3">
        <v>38972.885129268398</v>
      </c>
      <c r="K2688" s="3">
        <v>27488.773696361492</v>
      </c>
    </row>
    <row r="2689" spans="1:11" x14ac:dyDescent="0.3">
      <c r="A2689" t="s">
        <v>2765</v>
      </c>
      <c r="B2689" s="2">
        <v>45992</v>
      </c>
      <c r="C2689">
        <v>2025</v>
      </c>
      <c r="D2689">
        <v>12</v>
      </c>
      <c r="E2689" t="s">
        <v>62</v>
      </c>
      <c r="F2689" t="s">
        <v>48</v>
      </c>
      <c r="G2689" t="s">
        <v>43</v>
      </c>
      <c r="H2689" s="3">
        <v>95427.628342333075</v>
      </c>
      <c r="I2689">
        <v>27</v>
      </c>
      <c r="J2689" s="3">
        <v>56260.407886725428</v>
      </c>
      <c r="K2689" s="3">
        <v>39167.220455607647</v>
      </c>
    </row>
    <row r="2690" spans="1:11" x14ac:dyDescent="0.3">
      <c r="A2690" t="s">
        <v>2766</v>
      </c>
      <c r="B2690" s="2">
        <v>46023</v>
      </c>
      <c r="C2690">
        <v>2026</v>
      </c>
      <c r="D2690">
        <v>1</v>
      </c>
      <c r="E2690" t="s">
        <v>50</v>
      </c>
      <c r="F2690" t="s">
        <v>67</v>
      </c>
      <c r="G2690" t="s">
        <v>19</v>
      </c>
      <c r="H2690" s="3">
        <v>123368.76273086639</v>
      </c>
      <c r="I2690">
        <v>24</v>
      </c>
      <c r="J2690" s="3">
        <v>76515.61755492771</v>
      </c>
      <c r="K2690" s="3">
        <v>46853.145175938676</v>
      </c>
    </row>
    <row r="2691" spans="1:11" x14ac:dyDescent="0.3">
      <c r="A2691" t="s">
        <v>2767</v>
      </c>
      <c r="B2691" s="2">
        <v>46023</v>
      </c>
      <c r="C2691">
        <v>2026</v>
      </c>
      <c r="D2691">
        <v>1</v>
      </c>
      <c r="E2691" t="s">
        <v>50</v>
      </c>
      <c r="F2691" t="s">
        <v>48</v>
      </c>
      <c r="G2691" t="s">
        <v>19</v>
      </c>
      <c r="H2691" s="3">
        <v>152456.8158536269</v>
      </c>
      <c r="I2691">
        <v>29</v>
      </c>
      <c r="J2691" s="3">
        <v>93157.956863582964</v>
      </c>
      <c r="K2691" s="3">
        <v>59298.858990043911</v>
      </c>
    </row>
    <row r="2692" spans="1:11" x14ac:dyDescent="0.3">
      <c r="A2692" t="s">
        <v>2768</v>
      </c>
      <c r="B2692" s="2">
        <v>46023</v>
      </c>
      <c r="C2692">
        <v>2026</v>
      </c>
      <c r="D2692">
        <v>1</v>
      </c>
      <c r="E2692" t="s">
        <v>54</v>
      </c>
      <c r="F2692" t="s">
        <v>67</v>
      </c>
      <c r="G2692" t="s">
        <v>19</v>
      </c>
      <c r="H2692" s="3">
        <v>100319.8800220204</v>
      </c>
      <c r="I2692">
        <v>19</v>
      </c>
      <c r="J2692" s="3">
        <v>62846.476680288943</v>
      </c>
      <c r="K2692" s="3">
        <v>37473.403341731457</v>
      </c>
    </row>
    <row r="2693" spans="1:11" x14ac:dyDescent="0.3">
      <c r="A2693" t="s">
        <v>2769</v>
      </c>
      <c r="B2693" s="2">
        <v>46023</v>
      </c>
      <c r="C2693">
        <v>2026</v>
      </c>
      <c r="D2693">
        <v>1</v>
      </c>
      <c r="E2693" t="s">
        <v>54</v>
      </c>
      <c r="F2693" t="s">
        <v>48</v>
      </c>
      <c r="G2693" t="s">
        <v>19</v>
      </c>
      <c r="H2693" s="3">
        <v>133910.59005607941</v>
      </c>
      <c r="I2693">
        <v>26</v>
      </c>
      <c r="J2693" s="3">
        <v>83712.07249044365</v>
      </c>
      <c r="K2693" s="3">
        <v>50198.517565635761</v>
      </c>
    </row>
    <row r="2694" spans="1:11" x14ac:dyDescent="0.3">
      <c r="A2694" t="s">
        <v>2770</v>
      </c>
      <c r="B2694" s="2">
        <v>46023</v>
      </c>
      <c r="C2694">
        <v>2026</v>
      </c>
      <c r="D2694">
        <v>1</v>
      </c>
      <c r="E2694" t="s">
        <v>58</v>
      </c>
      <c r="F2694" t="s">
        <v>67</v>
      </c>
      <c r="G2694" t="s">
        <v>19</v>
      </c>
      <c r="H2694" s="3">
        <v>66003.932912479882</v>
      </c>
      <c r="I2694">
        <v>13</v>
      </c>
      <c r="J2694" s="3">
        <v>42057.133417281068</v>
      </c>
      <c r="K2694" s="3">
        <v>23946.799495198811</v>
      </c>
    </row>
    <row r="2695" spans="1:11" x14ac:dyDescent="0.3">
      <c r="A2695" t="s">
        <v>2771</v>
      </c>
      <c r="B2695" s="2">
        <v>46023</v>
      </c>
      <c r="C2695">
        <v>2026</v>
      </c>
      <c r="D2695">
        <v>1</v>
      </c>
      <c r="E2695" t="s">
        <v>58</v>
      </c>
      <c r="F2695" t="s">
        <v>48</v>
      </c>
      <c r="G2695" t="s">
        <v>19</v>
      </c>
      <c r="H2695" s="3">
        <v>92555.666814949451</v>
      </c>
      <c r="I2695">
        <v>18</v>
      </c>
      <c r="J2695" s="3">
        <v>58681.190879035363</v>
      </c>
      <c r="K2695" s="3">
        <v>33874.475935914088</v>
      </c>
    </row>
    <row r="2696" spans="1:11" x14ac:dyDescent="0.3">
      <c r="A2696" t="s">
        <v>2772</v>
      </c>
      <c r="B2696" s="2">
        <v>46023</v>
      </c>
      <c r="C2696">
        <v>2026</v>
      </c>
      <c r="D2696">
        <v>1</v>
      </c>
      <c r="E2696" t="s">
        <v>62</v>
      </c>
      <c r="F2696" t="s">
        <v>67</v>
      </c>
      <c r="G2696" t="s">
        <v>19</v>
      </c>
      <c r="H2696" s="3">
        <v>51880.891555808506</v>
      </c>
      <c r="I2696">
        <v>10</v>
      </c>
      <c r="J2696" s="3">
        <v>31769.1533299722</v>
      </c>
      <c r="K2696" s="3">
        <v>20111.7382258363</v>
      </c>
    </row>
    <row r="2697" spans="1:11" x14ac:dyDescent="0.3">
      <c r="A2697" t="s">
        <v>2773</v>
      </c>
      <c r="B2697" s="2">
        <v>46023</v>
      </c>
      <c r="C2697">
        <v>2026</v>
      </c>
      <c r="D2697">
        <v>1</v>
      </c>
      <c r="E2697" t="s">
        <v>62</v>
      </c>
      <c r="F2697" t="s">
        <v>48</v>
      </c>
      <c r="G2697" t="s">
        <v>19</v>
      </c>
      <c r="H2697" s="3">
        <v>71028.912004541038</v>
      </c>
      <c r="I2697">
        <v>14</v>
      </c>
      <c r="J2697" s="3">
        <v>44688.16173865024</v>
      </c>
      <c r="K2697" s="3">
        <v>26340.750265890802</v>
      </c>
    </row>
    <row r="2698" spans="1:11" x14ac:dyDescent="0.3">
      <c r="A2698" t="s">
        <v>2774</v>
      </c>
      <c r="B2698" s="2">
        <v>46023</v>
      </c>
      <c r="C2698">
        <v>2026</v>
      </c>
      <c r="D2698">
        <v>1</v>
      </c>
      <c r="E2698" t="s">
        <v>50</v>
      </c>
      <c r="F2698" t="s">
        <v>67</v>
      </c>
      <c r="G2698" t="s">
        <v>24</v>
      </c>
      <c r="H2698" s="3">
        <v>109438.97439940801</v>
      </c>
      <c r="I2698">
        <v>18</v>
      </c>
      <c r="J2698" s="3">
        <v>70993.355311792868</v>
      </c>
      <c r="K2698" s="3">
        <v>38445.619087615087</v>
      </c>
    </row>
    <row r="2699" spans="1:11" x14ac:dyDescent="0.3">
      <c r="A2699" t="s">
        <v>2775</v>
      </c>
      <c r="B2699" s="2">
        <v>46023</v>
      </c>
      <c r="C2699">
        <v>2026</v>
      </c>
      <c r="D2699">
        <v>1</v>
      </c>
      <c r="E2699" t="s">
        <v>50</v>
      </c>
      <c r="F2699" t="s">
        <v>48</v>
      </c>
      <c r="G2699" t="s">
        <v>24</v>
      </c>
      <c r="H2699" s="3">
        <v>152871.05529356311</v>
      </c>
      <c r="I2699">
        <v>25</v>
      </c>
      <c r="J2699" s="3">
        <v>102158.7844449915</v>
      </c>
      <c r="K2699" s="3">
        <v>50712.270848571541</v>
      </c>
    </row>
    <row r="2700" spans="1:11" x14ac:dyDescent="0.3">
      <c r="A2700" t="s">
        <v>2776</v>
      </c>
      <c r="B2700" s="2">
        <v>46023</v>
      </c>
      <c r="C2700">
        <v>2026</v>
      </c>
      <c r="D2700">
        <v>1</v>
      </c>
      <c r="E2700" t="s">
        <v>54</v>
      </c>
      <c r="F2700" t="s">
        <v>67</v>
      </c>
      <c r="G2700" t="s">
        <v>24</v>
      </c>
      <c r="H2700" s="3">
        <v>93173.042176150528</v>
      </c>
      <c r="I2700">
        <v>15</v>
      </c>
      <c r="J2700" s="3">
        <v>60922.369779884437</v>
      </c>
      <c r="K2700" s="3">
        <v>32250.672396266091</v>
      </c>
    </row>
    <row r="2701" spans="1:11" x14ac:dyDescent="0.3">
      <c r="A2701" t="s">
        <v>2777</v>
      </c>
      <c r="B2701" s="2">
        <v>46023</v>
      </c>
      <c r="C2701">
        <v>2026</v>
      </c>
      <c r="D2701">
        <v>1</v>
      </c>
      <c r="E2701" t="s">
        <v>54</v>
      </c>
      <c r="F2701" t="s">
        <v>48</v>
      </c>
      <c r="G2701" t="s">
        <v>24</v>
      </c>
      <c r="H2701" s="3">
        <v>129116.78605793109</v>
      </c>
      <c r="I2701">
        <v>21</v>
      </c>
      <c r="J2701" s="3">
        <v>83647.503088029509</v>
      </c>
      <c r="K2701" s="3">
        <v>45469.282969901593</v>
      </c>
    </row>
    <row r="2702" spans="1:11" x14ac:dyDescent="0.3">
      <c r="A2702" t="s">
        <v>2778</v>
      </c>
      <c r="B2702" s="2">
        <v>46023</v>
      </c>
      <c r="C2702">
        <v>2026</v>
      </c>
      <c r="D2702">
        <v>1</v>
      </c>
      <c r="E2702" t="s">
        <v>58</v>
      </c>
      <c r="F2702" t="s">
        <v>67</v>
      </c>
      <c r="G2702" t="s">
        <v>24</v>
      </c>
      <c r="H2702" s="3">
        <v>61785.970683191379</v>
      </c>
      <c r="I2702">
        <v>10</v>
      </c>
      <c r="J2702" s="3">
        <v>40984.298786112638</v>
      </c>
      <c r="K2702" s="3">
        <v>20801.671897078741</v>
      </c>
    </row>
    <row r="2703" spans="1:11" x14ac:dyDescent="0.3">
      <c r="A2703" t="s">
        <v>2779</v>
      </c>
      <c r="B2703" s="2">
        <v>46023</v>
      </c>
      <c r="C2703">
        <v>2026</v>
      </c>
      <c r="D2703">
        <v>1</v>
      </c>
      <c r="E2703" t="s">
        <v>58</v>
      </c>
      <c r="F2703" t="s">
        <v>48</v>
      </c>
      <c r="G2703" t="s">
        <v>24</v>
      </c>
      <c r="H2703" s="3">
        <v>96342.203902675334</v>
      </c>
      <c r="I2703">
        <v>16</v>
      </c>
      <c r="J2703" s="3">
        <v>60524.691119414929</v>
      </c>
      <c r="K2703" s="3">
        <v>35817.512783260398</v>
      </c>
    </row>
    <row r="2704" spans="1:11" x14ac:dyDescent="0.3">
      <c r="A2704" t="s">
        <v>2780</v>
      </c>
      <c r="B2704" s="2">
        <v>46023</v>
      </c>
      <c r="C2704">
        <v>2026</v>
      </c>
      <c r="D2704">
        <v>1</v>
      </c>
      <c r="E2704" t="s">
        <v>62</v>
      </c>
      <c r="F2704" t="s">
        <v>67</v>
      </c>
      <c r="G2704" t="s">
        <v>24</v>
      </c>
      <c r="H2704" s="3">
        <v>44894.970249113561</v>
      </c>
      <c r="I2704">
        <v>7</v>
      </c>
      <c r="J2704" s="3">
        <v>28696.793608135162</v>
      </c>
      <c r="K2704" s="3">
        <v>16198.1766409784</v>
      </c>
    </row>
    <row r="2705" spans="1:11" x14ac:dyDescent="0.3">
      <c r="A2705" t="s">
        <v>2781</v>
      </c>
      <c r="B2705" s="2">
        <v>46023</v>
      </c>
      <c r="C2705">
        <v>2026</v>
      </c>
      <c r="D2705">
        <v>1</v>
      </c>
      <c r="E2705" t="s">
        <v>62</v>
      </c>
      <c r="F2705" t="s">
        <v>48</v>
      </c>
      <c r="G2705" t="s">
        <v>24</v>
      </c>
      <c r="H2705" s="3">
        <v>69420.041658206581</v>
      </c>
      <c r="I2705">
        <v>11</v>
      </c>
      <c r="J2705" s="3">
        <v>45670.84814610496</v>
      </c>
      <c r="K2705" s="3">
        <v>23749.193512101621</v>
      </c>
    </row>
    <row r="2706" spans="1:11" x14ac:dyDescent="0.3">
      <c r="A2706" t="s">
        <v>2782</v>
      </c>
      <c r="B2706" s="2">
        <v>46023</v>
      </c>
      <c r="C2706">
        <v>2026</v>
      </c>
      <c r="D2706">
        <v>1</v>
      </c>
      <c r="E2706" t="s">
        <v>50</v>
      </c>
      <c r="F2706" t="s">
        <v>67</v>
      </c>
      <c r="G2706" t="s">
        <v>29</v>
      </c>
      <c r="H2706" s="3">
        <v>85049.08763669843</v>
      </c>
      <c r="I2706">
        <v>20</v>
      </c>
      <c r="J2706" s="3">
        <v>54512.189685335397</v>
      </c>
      <c r="K2706" s="3">
        <v>30536.897951363029</v>
      </c>
    </row>
    <row r="2707" spans="1:11" x14ac:dyDescent="0.3">
      <c r="A2707" t="s">
        <v>2783</v>
      </c>
      <c r="B2707" s="2">
        <v>46023</v>
      </c>
      <c r="C2707">
        <v>2026</v>
      </c>
      <c r="D2707">
        <v>1</v>
      </c>
      <c r="E2707" t="s">
        <v>50</v>
      </c>
      <c r="F2707" t="s">
        <v>48</v>
      </c>
      <c r="G2707" t="s">
        <v>29</v>
      </c>
      <c r="H2707" s="3">
        <v>114458.899325871</v>
      </c>
      <c r="I2707">
        <v>27</v>
      </c>
      <c r="J2707" s="3">
        <v>72766.724202932804</v>
      </c>
      <c r="K2707" s="3">
        <v>41692.175122938148</v>
      </c>
    </row>
    <row r="2708" spans="1:11" x14ac:dyDescent="0.3">
      <c r="A2708" t="s">
        <v>2784</v>
      </c>
      <c r="B2708" s="2">
        <v>46023</v>
      </c>
      <c r="C2708">
        <v>2026</v>
      </c>
      <c r="D2708">
        <v>1</v>
      </c>
      <c r="E2708" t="s">
        <v>54</v>
      </c>
      <c r="F2708" t="s">
        <v>67</v>
      </c>
      <c r="G2708" t="s">
        <v>29</v>
      </c>
      <c r="H2708" s="3">
        <v>68677.497222285223</v>
      </c>
      <c r="I2708">
        <v>16</v>
      </c>
      <c r="J2708" s="3">
        <v>42704.003869415712</v>
      </c>
      <c r="K2708" s="3">
        <v>25973.493352869511</v>
      </c>
    </row>
    <row r="2709" spans="1:11" x14ac:dyDescent="0.3">
      <c r="A2709" t="s">
        <v>2785</v>
      </c>
      <c r="B2709" s="2">
        <v>46023</v>
      </c>
      <c r="C2709">
        <v>2026</v>
      </c>
      <c r="D2709">
        <v>1</v>
      </c>
      <c r="E2709" t="s">
        <v>54</v>
      </c>
      <c r="F2709" t="s">
        <v>48</v>
      </c>
      <c r="G2709" t="s">
        <v>29</v>
      </c>
      <c r="H2709" s="3">
        <v>87694.889551375265</v>
      </c>
      <c r="I2709">
        <v>20</v>
      </c>
      <c r="J2709" s="3">
        <v>55298.458064429913</v>
      </c>
      <c r="K2709" s="3">
        <v>32396.431486945348</v>
      </c>
    </row>
    <row r="2710" spans="1:11" x14ac:dyDescent="0.3">
      <c r="A2710" t="s">
        <v>2786</v>
      </c>
      <c r="B2710" s="2">
        <v>46023</v>
      </c>
      <c r="C2710">
        <v>2026</v>
      </c>
      <c r="D2710">
        <v>1</v>
      </c>
      <c r="E2710" t="s">
        <v>58</v>
      </c>
      <c r="F2710" t="s">
        <v>67</v>
      </c>
      <c r="G2710" t="s">
        <v>29</v>
      </c>
      <c r="H2710" s="3">
        <v>49418.094825559339</v>
      </c>
      <c r="I2710">
        <v>11</v>
      </c>
      <c r="J2710" s="3">
        <v>31850.294770496279</v>
      </c>
      <c r="K2710" s="3">
        <v>17567.80005506306</v>
      </c>
    </row>
    <row r="2711" spans="1:11" x14ac:dyDescent="0.3">
      <c r="A2711" t="s">
        <v>2787</v>
      </c>
      <c r="B2711" s="2">
        <v>46023</v>
      </c>
      <c r="C2711">
        <v>2026</v>
      </c>
      <c r="D2711">
        <v>1</v>
      </c>
      <c r="E2711" t="s">
        <v>58</v>
      </c>
      <c r="F2711" t="s">
        <v>48</v>
      </c>
      <c r="G2711" t="s">
        <v>29</v>
      </c>
      <c r="H2711" s="3">
        <v>65841.917022941154</v>
      </c>
      <c r="I2711">
        <v>15</v>
      </c>
      <c r="J2711" s="3">
        <v>42580.107718496161</v>
      </c>
      <c r="K2711" s="3">
        <v>23261.809304444989</v>
      </c>
    </row>
    <row r="2712" spans="1:11" x14ac:dyDescent="0.3">
      <c r="A2712" t="s">
        <v>2788</v>
      </c>
      <c r="B2712" s="2">
        <v>46023</v>
      </c>
      <c r="C2712">
        <v>2026</v>
      </c>
      <c r="D2712">
        <v>1</v>
      </c>
      <c r="E2712" t="s">
        <v>62</v>
      </c>
      <c r="F2712" t="s">
        <v>67</v>
      </c>
      <c r="G2712" t="s">
        <v>29</v>
      </c>
      <c r="H2712" s="3">
        <v>35593.062915187897</v>
      </c>
      <c r="I2712">
        <v>8</v>
      </c>
      <c r="J2712" s="3">
        <v>22772.908266990711</v>
      </c>
      <c r="K2712" s="3">
        <v>12820.154648197191</v>
      </c>
    </row>
    <row r="2713" spans="1:11" x14ac:dyDescent="0.3">
      <c r="A2713" t="s">
        <v>2789</v>
      </c>
      <c r="B2713" s="2">
        <v>46023</v>
      </c>
      <c r="C2713">
        <v>2026</v>
      </c>
      <c r="D2713">
        <v>1</v>
      </c>
      <c r="E2713" t="s">
        <v>62</v>
      </c>
      <c r="F2713" t="s">
        <v>48</v>
      </c>
      <c r="G2713" t="s">
        <v>29</v>
      </c>
      <c r="H2713" s="3">
        <v>47432.924140157287</v>
      </c>
      <c r="I2713">
        <v>11</v>
      </c>
      <c r="J2713" s="3">
        <v>30989.19699313528</v>
      </c>
      <c r="K2713" s="3">
        <v>16443.727147022011</v>
      </c>
    </row>
    <row r="2714" spans="1:11" x14ac:dyDescent="0.3">
      <c r="A2714" t="s">
        <v>2790</v>
      </c>
      <c r="B2714" s="2">
        <v>46023</v>
      </c>
      <c r="C2714">
        <v>2026</v>
      </c>
      <c r="D2714">
        <v>1</v>
      </c>
      <c r="E2714" t="s">
        <v>50</v>
      </c>
      <c r="F2714" t="s">
        <v>67</v>
      </c>
      <c r="G2714" t="s">
        <v>34</v>
      </c>
      <c r="H2714" s="3">
        <v>81591.286370460904</v>
      </c>
      <c r="I2714">
        <v>96</v>
      </c>
      <c r="J2714" s="3">
        <v>39443.961978551939</v>
      </c>
      <c r="K2714" s="3">
        <v>42147.324391908973</v>
      </c>
    </row>
    <row r="2715" spans="1:11" x14ac:dyDescent="0.3">
      <c r="A2715" t="s">
        <v>2791</v>
      </c>
      <c r="B2715" s="2">
        <v>46023</v>
      </c>
      <c r="C2715">
        <v>2026</v>
      </c>
      <c r="D2715">
        <v>1</v>
      </c>
      <c r="E2715" t="s">
        <v>50</v>
      </c>
      <c r="F2715" t="s">
        <v>48</v>
      </c>
      <c r="G2715" t="s">
        <v>34</v>
      </c>
      <c r="H2715" s="3">
        <v>101866.1950859979</v>
      </c>
      <c r="I2715">
        <v>120</v>
      </c>
      <c r="J2715" s="3">
        <v>48237.920036947951</v>
      </c>
      <c r="K2715" s="3">
        <v>53628.275049049917</v>
      </c>
    </row>
    <row r="2716" spans="1:11" x14ac:dyDescent="0.3">
      <c r="A2716" t="s">
        <v>2792</v>
      </c>
      <c r="B2716" s="2">
        <v>46023</v>
      </c>
      <c r="C2716">
        <v>2026</v>
      </c>
      <c r="D2716">
        <v>1</v>
      </c>
      <c r="E2716" t="s">
        <v>54</v>
      </c>
      <c r="F2716" t="s">
        <v>67</v>
      </c>
      <c r="G2716" t="s">
        <v>34</v>
      </c>
      <c r="H2716" s="3">
        <v>60894.205976637699</v>
      </c>
      <c r="I2716">
        <v>72</v>
      </c>
      <c r="J2716" s="3">
        <v>29081.639462364481</v>
      </c>
      <c r="K2716" s="3">
        <v>31812.566514273221</v>
      </c>
    </row>
    <row r="2717" spans="1:11" x14ac:dyDescent="0.3">
      <c r="A2717" t="s">
        <v>2793</v>
      </c>
      <c r="B2717" s="2">
        <v>46023</v>
      </c>
      <c r="C2717">
        <v>2026</v>
      </c>
      <c r="D2717">
        <v>1</v>
      </c>
      <c r="E2717" t="s">
        <v>54</v>
      </c>
      <c r="F2717" t="s">
        <v>48</v>
      </c>
      <c r="G2717" t="s">
        <v>34</v>
      </c>
      <c r="H2717" s="3">
        <v>87971.014168437905</v>
      </c>
      <c r="I2717">
        <v>103</v>
      </c>
      <c r="J2717" s="3">
        <v>41159.810934613983</v>
      </c>
      <c r="K2717" s="3">
        <v>46811.203233823922</v>
      </c>
    </row>
    <row r="2718" spans="1:11" x14ac:dyDescent="0.3">
      <c r="A2718" t="s">
        <v>2794</v>
      </c>
      <c r="B2718" s="2">
        <v>46023</v>
      </c>
      <c r="C2718">
        <v>2026</v>
      </c>
      <c r="D2718">
        <v>1</v>
      </c>
      <c r="E2718" t="s">
        <v>58</v>
      </c>
      <c r="F2718" t="s">
        <v>67</v>
      </c>
      <c r="G2718" t="s">
        <v>34</v>
      </c>
      <c r="H2718" s="3">
        <v>40144.160749948991</v>
      </c>
      <c r="I2718">
        <v>47</v>
      </c>
      <c r="J2718" s="3">
        <v>19231.689632497921</v>
      </c>
      <c r="K2718" s="3">
        <v>20912.47111745107</v>
      </c>
    </row>
    <row r="2719" spans="1:11" x14ac:dyDescent="0.3">
      <c r="A2719" t="s">
        <v>2795</v>
      </c>
      <c r="B2719" s="2">
        <v>46023</v>
      </c>
      <c r="C2719">
        <v>2026</v>
      </c>
      <c r="D2719">
        <v>1</v>
      </c>
      <c r="E2719" t="s">
        <v>58</v>
      </c>
      <c r="F2719" t="s">
        <v>48</v>
      </c>
      <c r="G2719" t="s">
        <v>34</v>
      </c>
      <c r="H2719" s="3">
        <v>60065.206357566058</v>
      </c>
      <c r="I2719">
        <v>71</v>
      </c>
      <c r="J2719" s="3">
        <v>29408.438551140669</v>
      </c>
      <c r="K2719" s="3">
        <v>30656.7678064254</v>
      </c>
    </row>
    <row r="2720" spans="1:11" x14ac:dyDescent="0.3">
      <c r="A2720" t="s">
        <v>2796</v>
      </c>
      <c r="B2720" s="2">
        <v>46023</v>
      </c>
      <c r="C2720">
        <v>2026</v>
      </c>
      <c r="D2720">
        <v>1</v>
      </c>
      <c r="E2720" t="s">
        <v>62</v>
      </c>
      <c r="F2720" t="s">
        <v>67</v>
      </c>
      <c r="G2720" t="s">
        <v>34</v>
      </c>
      <c r="H2720" s="3">
        <v>32307.818101348548</v>
      </c>
      <c r="I2720">
        <v>38</v>
      </c>
      <c r="J2720" s="3">
        <v>15699.04425341354</v>
      </c>
      <c r="K2720" s="3">
        <v>16608.773847935008</v>
      </c>
    </row>
    <row r="2721" spans="1:11" x14ac:dyDescent="0.3">
      <c r="A2721" t="s">
        <v>2797</v>
      </c>
      <c r="B2721" s="2">
        <v>46023</v>
      </c>
      <c r="C2721">
        <v>2026</v>
      </c>
      <c r="D2721">
        <v>1</v>
      </c>
      <c r="E2721" t="s">
        <v>62</v>
      </c>
      <c r="F2721" t="s">
        <v>48</v>
      </c>
      <c r="G2721" t="s">
        <v>34</v>
      </c>
      <c r="H2721" s="3">
        <v>43397.238442940557</v>
      </c>
      <c r="I2721">
        <v>51</v>
      </c>
      <c r="J2721" s="3">
        <v>21356.3608498709</v>
      </c>
      <c r="K2721" s="3">
        <v>22040.87759306965</v>
      </c>
    </row>
    <row r="2722" spans="1:11" x14ac:dyDescent="0.3">
      <c r="A2722" t="s">
        <v>2798</v>
      </c>
      <c r="B2722" s="2">
        <v>46023</v>
      </c>
      <c r="C2722">
        <v>2026</v>
      </c>
      <c r="D2722">
        <v>1</v>
      </c>
      <c r="E2722" t="s">
        <v>50</v>
      </c>
      <c r="F2722" t="s">
        <v>67</v>
      </c>
      <c r="G2722" t="s">
        <v>37</v>
      </c>
      <c r="H2722" s="3">
        <v>57451.273106370812</v>
      </c>
      <c r="I2722">
        <v>80</v>
      </c>
      <c r="J2722" s="3">
        <v>31425.928894176232</v>
      </c>
      <c r="K2722" s="3">
        <v>26025.344212194581</v>
      </c>
    </row>
    <row r="2723" spans="1:11" x14ac:dyDescent="0.3">
      <c r="A2723" t="s">
        <v>2799</v>
      </c>
      <c r="B2723" s="2">
        <v>46023</v>
      </c>
      <c r="C2723">
        <v>2026</v>
      </c>
      <c r="D2723">
        <v>1</v>
      </c>
      <c r="E2723" t="s">
        <v>50</v>
      </c>
      <c r="F2723" t="s">
        <v>48</v>
      </c>
      <c r="G2723" t="s">
        <v>37</v>
      </c>
      <c r="H2723" s="3">
        <v>80734.824500045623</v>
      </c>
      <c r="I2723">
        <v>112</v>
      </c>
      <c r="J2723" s="3">
        <v>45480.057068654693</v>
      </c>
      <c r="K2723" s="3">
        <v>35254.767431390937</v>
      </c>
    </row>
    <row r="2724" spans="1:11" x14ac:dyDescent="0.3">
      <c r="A2724" t="s">
        <v>2800</v>
      </c>
      <c r="B2724" s="2">
        <v>46023</v>
      </c>
      <c r="C2724">
        <v>2026</v>
      </c>
      <c r="D2724">
        <v>1</v>
      </c>
      <c r="E2724" t="s">
        <v>54</v>
      </c>
      <c r="F2724" t="s">
        <v>67</v>
      </c>
      <c r="G2724" t="s">
        <v>37</v>
      </c>
      <c r="H2724" s="3">
        <v>46138.496912135823</v>
      </c>
      <c r="I2724">
        <v>64</v>
      </c>
      <c r="J2724" s="3">
        <v>25287.877513769479</v>
      </c>
      <c r="K2724" s="3">
        <v>20850.619398366329</v>
      </c>
    </row>
    <row r="2725" spans="1:11" x14ac:dyDescent="0.3">
      <c r="A2725" t="s">
        <v>2801</v>
      </c>
      <c r="B2725" s="2">
        <v>46023</v>
      </c>
      <c r="C2725">
        <v>2026</v>
      </c>
      <c r="D2725">
        <v>1</v>
      </c>
      <c r="E2725" t="s">
        <v>54</v>
      </c>
      <c r="F2725" t="s">
        <v>48</v>
      </c>
      <c r="G2725" t="s">
        <v>37</v>
      </c>
      <c r="H2725" s="3">
        <v>68674.483287154348</v>
      </c>
      <c r="I2725">
        <v>95</v>
      </c>
      <c r="J2725" s="3">
        <v>38771.463225004758</v>
      </c>
      <c r="K2725" s="3">
        <v>29903.02006214959</v>
      </c>
    </row>
    <row r="2726" spans="1:11" x14ac:dyDescent="0.3">
      <c r="A2726" t="s">
        <v>2802</v>
      </c>
      <c r="B2726" s="2">
        <v>46023</v>
      </c>
      <c r="C2726">
        <v>2026</v>
      </c>
      <c r="D2726">
        <v>1</v>
      </c>
      <c r="E2726" t="s">
        <v>58</v>
      </c>
      <c r="F2726" t="s">
        <v>67</v>
      </c>
      <c r="G2726" t="s">
        <v>37</v>
      </c>
      <c r="H2726" s="3">
        <v>34373.635805491664</v>
      </c>
      <c r="I2726">
        <v>48</v>
      </c>
      <c r="J2726" s="3">
        <v>18898.061863843381</v>
      </c>
      <c r="K2726" s="3">
        <v>15475.573941648279</v>
      </c>
    </row>
    <row r="2727" spans="1:11" x14ac:dyDescent="0.3">
      <c r="A2727" t="s">
        <v>2803</v>
      </c>
      <c r="B2727" s="2">
        <v>46023</v>
      </c>
      <c r="C2727">
        <v>2026</v>
      </c>
      <c r="D2727">
        <v>1</v>
      </c>
      <c r="E2727" t="s">
        <v>58</v>
      </c>
      <c r="F2727" t="s">
        <v>48</v>
      </c>
      <c r="G2727" t="s">
        <v>37</v>
      </c>
      <c r="H2727" s="3">
        <v>46739.857674045437</v>
      </c>
      <c r="I2727">
        <v>65</v>
      </c>
      <c r="J2727" s="3">
        <v>26034.17506889188</v>
      </c>
      <c r="K2727" s="3">
        <v>20705.68260515355</v>
      </c>
    </row>
    <row r="2728" spans="1:11" x14ac:dyDescent="0.3">
      <c r="A2728" t="s">
        <v>2804</v>
      </c>
      <c r="B2728" s="2">
        <v>46023</v>
      </c>
      <c r="C2728">
        <v>2026</v>
      </c>
      <c r="D2728">
        <v>1</v>
      </c>
      <c r="E2728" t="s">
        <v>62</v>
      </c>
      <c r="F2728" t="s">
        <v>67</v>
      </c>
      <c r="G2728" t="s">
        <v>37</v>
      </c>
      <c r="H2728" s="3">
        <v>24360.38114195074</v>
      </c>
      <c r="I2728">
        <v>34</v>
      </c>
      <c r="J2728" s="3">
        <v>13753.95919234865</v>
      </c>
      <c r="K2728" s="3">
        <v>10606.421949602091</v>
      </c>
    </row>
    <row r="2729" spans="1:11" x14ac:dyDescent="0.3">
      <c r="A2729" t="s">
        <v>2805</v>
      </c>
      <c r="B2729" s="2">
        <v>46023</v>
      </c>
      <c r="C2729">
        <v>2026</v>
      </c>
      <c r="D2729">
        <v>1</v>
      </c>
      <c r="E2729" t="s">
        <v>62</v>
      </c>
      <c r="F2729" t="s">
        <v>48</v>
      </c>
      <c r="G2729" t="s">
        <v>37</v>
      </c>
      <c r="H2729" s="3">
        <v>35249.550615575718</v>
      </c>
      <c r="I2729">
        <v>49</v>
      </c>
      <c r="J2729" s="3">
        <v>19319.752292423818</v>
      </c>
      <c r="K2729" s="3">
        <v>15929.798323151899</v>
      </c>
    </row>
    <row r="2730" spans="1:11" x14ac:dyDescent="0.3">
      <c r="A2730" t="s">
        <v>2806</v>
      </c>
      <c r="B2730" s="2">
        <v>46023</v>
      </c>
      <c r="C2730">
        <v>2026</v>
      </c>
      <c r="D2730">
        <v>1</v>
      </c>
      <c r="E2730" t="s">
        <v>50</v>
      </c>
      <c r="F2730" t="s">
        <v>67</v>
      </c>
      <c r="G2730" t="s">
        <v>40</v>
      </c>
      <c r="H2730" s="3">
        <v>60941.088573407833</v>
      </c>
      <c r="I2730">
        <v>11</v>
      </c>
      <c r="J2730" s="3">
        <v>42214.647189558062</v>
      </c>
      <c r="K2730" s="3">
        <v>18726.441383849771</v>
      </c>
    </row>
    <row r="2731" spans="1:11" x14ac:dyDescent="0.3">
      <c r="A2731" t="s">
        <v>2807</v>
      </c>
      <c r="B2731" s="2">
        <v>46023</v>
      </c>
      <c r="C2731">
        <v>2026</v>
      </c>
      <c r="D2731">
        <v>1</v>
      </c>
      <c r="E2731" t="s">
        <v>50</v>
      </c>
      <c r="F2731" t="s">
        <v>48</v>
      </c>
      <c r="G2731" t="s">
        <v>40</v>
      </c>
      <c r="H2731" s="3">
        <v>86706.625204745767</v>
      </c>
      <c r="I2731">
        <v>16</v>
      </c>
      <c r="J2731" s="3">
        <v>61215.543625806968</v>
      </c>
      <c r="K2731" s="3">
        <v>25491.0815789388</v>
      </c>
    </row>
    <row r="2732" spans="1:11" x14ac:dyDescent="0.3">
      <c r="A2732" t="s">
        <v>2808</v>
      </c>
      <c r="B2732" s="2">
        <v>46023</v>
      </c>
      <c r="C2732">
        <v>2026</v>
      </c>
      <c r="D2732">
        <v>1</v>
      </c>
      <c r="E2732" t="s">
        <v>54</v>
      </c>
      <c r="F2732" t="s">
        <v>67</v>
      </c>
      <c r="G2732" t="s">
        <v>40</v>
      </c>
      <c r="H2732" s="3">
        <v>47017.264099688371</v>
      </c>
      <c r="I2732">
        <v>9</v>
      </c>
      <c r="J2732" s="3">
        <v>32364.244443318319</v>
      </c>
      <c r="K2732" s="3">
        <v>14653.01965637005</v>
      </c>
    </row>
    <row r="2733" spans="1:11" x14ac:dyDescent="0.3">
      <c r="A2733" t="s">
        <v>2809</v>
      </c>
      <c r="B2733" s="2">
        <v>46023</v>
      </c>
      <c r="C2733">
        <v>2026</v>
      </c>
      <c r="D2733">
        <v>1</v>
      </c>
      <c r="E2733" t="s">
        <v>54</v>
      </c>
      <c r="F2733" t="s">
        <v>48</v>
      </c>
      <c r="G2733" t="s">
        <v>40</v>
      </c>
      <c r="H2733" s="3">
        <v>62998.580441636077</v>
      </c>
      <c r="I2733">
        <v>12</v>
      </c>
      <c r="J2733" s="3">
        <v>42435.498417898518</v>
      </c>
      <c r="K2733" s="3">
        <v>20563.082023737559</v>
      </c>
    </row>
    <row r="2734" spans="1:11" x14ac:dyDescent="0.3">
      <c r="A2734" t="s">
        <v>2810</v>
      </c>
      <c r="B2734" s="2">
        <v>46023</v>
      </c>
      <c r="C2734">
        <v>2026</v>
      </c>
      <c r="D2734">
        <v>1</v>
      </c>
      <c r="E2734" t="s">
        <v>58</v>
      </c>
      <c r="F2734" t="s">
        <v>67</v>
      </c>
      <c r="G2734" t="s">
        <v>40</v>
      </c>
      <c r="H2734" s="3">
        <v>31996.223210954049</v>
      </c>
      <c r="I2734">
        <v>6</v>
      </c>
      <c r="J2734" s="3">
        <v>22929.010215757749</v>
      </c>
      <c r="K2734" s="3">
        <v>9067.2129951963034</v>
      </c>
    </row>
    <row r="2735" spans="1:11" x14ac:dyDescent="0.3">
      <c r="A2735" t="s">
        <v>2811</v>
      </c>
      <c r="B2735" s="2">
        <v>46023</v>
      </c>
      <c r="C2735">
        <v>2026</v>
      </c>
      <c r="D2735">
        <v>1</v>
      </c>
      <c r="E2735" t="s">
        <v>58</v>
      </c>
      <c r="F2735" t="s">
        <v>48</v>
      </c>
      <c r="G2735" t="s">
        <v>40</v>
      </c>
      <c r="H2735" s="3">
        <v>44566.425585995727</v>
      </c>
      <c r="I2735">
        <v>8</v>
      </c>
      <c r="J2735" s="3">
        <v>30490.811974145148</v>
      </c>
      <c r="K2735" s="3">
        <v>14075.61361185058</v>
      </c>
    </row>
    <row r="2736" spans="1:11" x14ac:dyDescent="0.3">
      <c r="A2736" t="s">
        <v>2812</v>
      </c>
      <c r="B2736" s="2">
        <v>46023</v>
      </c>
      <c r="C2736">
        <v>2026</v>
      </c>
      <c r="D2736">
        <v>1</v>
      </c>
      <c r="E2736" t="s">
        <v>62</v>
      </c>
      <c r="F2736" t="s">
        <v>67</v>
      </c>
      <c r="G2736" t="s">
        <v>40</v>
      </c>
      <c r="H2736" s="3">
        <v>23346.979537210329</v>
      </c>
      <c r="I2736">
        <v>4</v>
      </c>
      <c r="J2736" s="3">
        <v>16155.4502911414</v>
      </c>
      <c r="K2736" s="3">
        <v>7191.5292460689288</v>
      </c>
    </row>
    <row r="2737" spans="1:11" x14ac:dyDescent="0.3">
      <c r="A2737" t="s">
        <v>2813</v>
      </c>
      <c r="B2737" s="2">
        <v>46023</v>
      </c>
      <c r="C2737">
        <v>2026</v>
      </c>
      <c r="D2737">
        <v>1</v>
      </c>
      <c r="E2737" t="s">
        <v>62</v>
      </c>
      <c r="F2737" t="s">
        <v>48</v>
      </c>
      <c r="G2737" t="s">
        <v>40</v>
      </c>
      <c r="H2737" s="3">
        <v>36309.091340190389</v>
      </c>
      <c r="I2737">
        <v>7</v>
      </c>
      <c r="J2737" s="3">
        <v>25574.584537478411</v>
      </c>
      <c r="K2737" s="3">
        <v>10734.506802711971</v>
      </c>
    </row>
    <row r="2738" spans="1:11" x14ac:dyDescent="0.3">
      <c r="A2738" t="s">
        <v>2814</v>
      </c>
      <c r="B2738" s="2">
        <v>46023</v>
      </c>
      <c r="C2738">
        <v>2026</v>
      </c>
      <c r="D2738">
        <v>1</v>
      </c>
      <c r="E2738" t="s">
        <v>50</v>
      </c>
      <c r="F2738" t="s">
        <v>67</v>
      </c>
      <c r="G2738" t="s">
        <v>43</v>
      </c>
      <c r="H2738" s="3">
        <v>123039.0284989761</v>
      </c>
      <c r="I2738">
        <v>35</v>
      </c>
      <c r="J2738" s="3">
        <v>71797.92335753674</v>
      </c>
      <c r="K2738" s="3">
        <v>51241.105141439402</v>
      </c>
    </row>
    <row r="2739" spans="1:11" x14ac:dyDescent="0.3">
      <c r="A2739" t="s">
        <v>2815</v>
      </c>
      <c r="B2739" s="2">
        <v>46023</v>
      </c>
      <c r="C2739">
        <v>2026</v>
      </c>
      <c r="D2739">
        <v>1</v>
      </c>
      <c r="E2739" t="s">
        <v>50</v>
      </c>
      <c r="F2739" t="s">
        <v>48</v>
      </c>
      <c r="G2739" t="s">
        <v>43</v>
      </c>
      <c r="H2739" s="3">
        <v>174280.5018008296</v>
      </c>
      <c r="I2739">
        <v>50</v>
      </c>
      <c r="J2739" s="3">
        <v>100960.0747359239</v>
      </c>
      <c r="K2739" s="3">
        <v>73320.427064905685</v>
      </c>
    </row>
    <row r="2740" spans="1:11" x14ac:dyDescent="0.3">
      <c r="A2740" t="s">
        <v>2816</v>
      </c>
      <c r="B2740" s="2">
        <v>46023</v>
      </c>
      <c r="C2740">
        <v>2026</v>
      </c>
      <c r="D2740">
        <v>1</v>
      </c>
      <c r="E2740" t="s">
        <v>54</v>
      </c>
      <c r="F2740" t="s">
        <v>67</v>
      </c>
      <c r="G2740" t="s">
        <v>43</v>
      </c>
      <c r="H2740" s="3">
        <v>99890.277944634014</v>
      </c>
      <c r="I2740">
        <v>29</v>
      </c>
      <c r="J2740" s="3">
        <v>59204.437329573499</v>
      </c>
      <c r="K2740" s="3">
        <v>40685.840615060522</v>
      </c>
    </row>
    <row r="2741" spans="1:11" x14ac:dyDescent="0.3">
      <c r="A2741" t="s">
        <v>2817</v>
      </c>
      <c r="B2741" s="2">
        <v>46023</v>
      </c>
      <c r="C2741">
        <v>2026</v>
      </c>
      <c r="D2741">
        <v>1</v>
      </c>
      <c r="E2741" t="s">
        <v>54</v>
      </c>
      <c r="F2741" t="s">
        <v>48</v>
      </c>
      <c r="G2741" t="s">
        <v>43</v>
      </c>
      <c r="H2741" s="3">
        <v>138263.27368087761</v>
      </c>
      <c r="I2741">
        <v>40</v>
      </c>
      <c r="J2741" s="3">
        <v>78942.457044469105</v>
      </c>
      <c r="K2741" s="3">
        <v>59320.816636408497</v>
      </c>
    </row>
    <row r="2742" spans="1:11" x14ac:dyDescent="0.3">
      <c r="A2742" t="s">
        <v>2818</v>
      </c>
      <c r="B2742" s="2">
        <v>46023</v>
      </c>
      <c r="C2742">
        <v>2026</v>
      </c>
      <c r="D2742">
        <v>1</v>
      </c>
      <c r="E2742" t="s">
        <v>58</v>
      </c>
      <c r="F2742" t="s">
        <v>67</v>
      </c>
      <c r="G2742" t="s">
        <v>43</v>
      </c>
      <c r="H2742" s="3">
        <v>68476.342056124791</v>
      </c>
      <c r="I2742">
        <v>20</v>
      </c>
      <c r="J2742" s="3">
        <v>40191.671115017409</v>
      </c>
      <c r="K2742" s="3">
        <v>28284.670941107379</v>
      </c>
    </row>
    <row r="2743" spans="1:11" x14ac:dyDescent="0.3">
      <c r="A2743" t="s">
        <v>2819</v>
      </c>
      <c r="B2743" s="2">
        <v>46023</v>
      </c>
      <c r="C2743">
        <v>2026</v>
      </c>
      <c r="D2743">
        <v>1</v>
      </c>
      <c r="E2743" t="s">
        <v>58</v>
      </c>
      <c r="F2743" t="s">
        <v>48</v>
      </c>
      <c r="G2743" t="s">
        <v>43</v>
      </c>
      <c r="H2743" s="3">
        <v>86299.010758794291</v>
      </c>
      <c r="I2743">
        <v>25</v>
      </c>
      <c r="J2743" s="3">
        <v>51140.993179452802</v>
      </c>
      <c r="K2743" s="3">
        <v>35158.017579341489</v>
      </c>
    </row>
    <row r="2744" spans="1:11" x14ac:dyDescent="0.3">
      <c r="A2744" t="s">
        <v>2820</v>
      </c>
      <c r="B2744" s="2">
        <v>46023</v>
      </c>
      <c r="C2744">
        <v>2026</v>
      </c>
      <c r="D2744">
        <v>1</v>
      </c>
      <c r="E2744" t="s">
        <v>62</v>
      </c>
      <c r="F2744" t="s">
        <v>67</v>
      </c>
      <c r="G2744" t="s">
        <v>43</v>
      </c>
      <c r="H2744" s="3">
        <v>52796.269147517312</v>
      </c>
      <c r="I2744">
        <v>15</v>
      </c>
      <c r="J2744" s="3">
        <v>30998.437746157539</v>
      </c>
      <c r="K2744" s="3">
        <v>21797.83140135977</v>
      </c>
    </row>
    <row r="2745" spans="1:11" x14ac:dyDescent="0.3">
      <c r="A2745" t="s">
        <v>2821</v>
      </c>
      <c r="B2745" s="2">
        <v>46023</v>
      </c>
      <c r="C2745">
        <v>2026</v>
      </c>
      <c r="D2745">
        <v>1</v>
      </c>
      <c r="E2745" t="s">
        <v>62</v>
      </c>
      <c r="F2745" t="s">
        <v>48</v>
      </c>
      <c r="G2745" t="s">
        <v>43</v>
      </c>
      <c r="H2745" s="3">
        <v>70951.261452755236</v>
      </c>
      <c r="I2745">
        <v>20</v>
      </c>
      <c r="J2745" s="3">
        <v>40698.250272356992</v>
      </c>
      <c r="K2745" s="3">
        <v>30253.011180398251</v>
      </c>
    </row>
    <row r="2746" spans="1:11" x14ac:dyDescent="0.3">
      <c r="A2746" t="s">
        <v>2822</v>
      </c>
      <c r="B2746" s="2">
        <v>46054</v>
      </c>
      <c r="C2746">
        <v>2026</v>
      </c>
      <c r="D2746">
        <v>2</v>
      </c>
      <c r="E2746" t="s">
        <v>50</v>
      </c>
      <c r="F2746" t="s">
        <v>67</v>
      </c>
      <c r="G2746" t="s">
        <v>19</v>
      </c>
      <c r="H2746" s="3">
        <v>109392.0452048814</v>
      </c>
      <c r="I2746">
        <v>21</v>
      </c>
      <c r="J2746" s="3">
        <v>69769.264746501038</v>
      </c>
      <c r="K2746" s="3">
        <v>39622.780458380323</v>
      </c>
    </row>
    <row r="2747" spans="1:11" x14ac:dyDescent="0.3">
      <c r="A2747" t="s">
        <v>2823</v>
      </c>
      <c r="B2747" s="2">
        <v>46054</v>
      </c>
      <c r="C2747">
        <v>2026</v>
      </c>
      <c r="D2747">
        <v>2</v>
      </c>
      <c r="E2747" t="s">
        <v>50</v>
      </c>
      <c r="F2747" t="s">
        <v>48</v>
      </c>
      <c r="G2747" t="s">
        <v>19</v>
      </c>
      <c r="H2747" s="3">
        <v>153578.84153297209</v>
      </c>
      <c r="I2747">
        <v>30</v>
      </c>
      <c r="J2747" s="3">
        <v>95396.339920718543</v>
      </c>
      <c r="K2747" s="3">
        <v>58182.501612253604</v>
      </c>
    </row>
    <row r="2748" spans="1:11" x14ac:dyDescent="0.3">
      <c r="A2748" t="s">
        <v>2824</v>
      </c>
      <c r="B2748" s="2">
        <v>46054</v>
      </c>
      <c r="C2748">
        <v>2026</v>
      </c>
      <c r="D2748">
        <v>2</v>
      </c>
      <c r="E2748" t="s">
        <v>54</v>
      </c>
      <c r="F2748" t="s">
        <v>67</v>
      </c>
      <c r="G2748" t="s">
        <v>19</v>
      </c>
      <c r="H2748" s="3">
        <v>83269.046577381916</v>
      </c>
      <c r="I2748">
        <v>16</v>
      </c>
      <c r="J2748" s="3">
        <v>52956.753581438737</v>
      </c>
      <c r="K2748" s="3">
        <v>30312.292995943179</v>
      </c>
    </row>
    <row r="2749" spans="1:11" x14ac:dyDescent="0.3">
      <c r="A2749" t="s">
        <v>2825</v>
      </c>
      <c r="B2749" s="2">
        <v>46054</v>
      </c>
      <c r="C2749">
        <v>2026</v>
      </c>
      <c r="D2749">
        <v>2</v>
      </c>
      <c r="E2749" t="s">
        <v>54</v>
      </c>
      <c r="F2749" t="s">
        <v>48</v>
      </c>
      <c r="G2749" t="s">
        <v>19</v>
      </c>
      <c r="H2749" s="3">
        <v>131291.2505355794</v>
      </c>
      <c r="I2749">
        <v>25</v>
      </c>
      <c r="J2749" s="3">
        <v>81019.567525365375</v>
      </c>
      <c r="K2749" s="3">
        <v>50271.683010213987</v>
      </c>
    </row>
    <row r="2750" spans="1:11" x14ac:dyDescent="0.3">
      <c r="A2750" t="s">
        <v>2826</v>
      </c>
      <c r="B2750" s="2">
        <v>46054</v>
      </c>
      <c r="C2750">
        <v>2026</v>
      </c>
      <c r="D2750">
        <v>2</v>
      </c>
      <c r="E2750" t="s">
        <v>58</v>
      </c>
      <c r="F2750" t="s">
        <v>67</v>
      </c>
      <c r="G2750" t="s">
        <v>19</v>
      </c>
      <c r="H2750" s="3">
        <v>58855.283848158091</v>
      </c>
      <c r="I2750">
        <v>11</v>
      </c>
      <c r="J2750" s="3">
        <v>35912.262144368382</v>
      </c>
      <c r="K2750" s="3">
        <v>22943.021703789709</v>
      </c>
    </row>
    <row r="2751" spans="1:11" x14ac:dyDescent="0.3">
      <c r="A2751" t="s">
        <v>2827</v>
      </c>
      <c r="B2751" s="2">
        <v>46054</v>
      </c>
      <c r="C2751">
        <v>2026</v>
      </c>
      <c r="D2751">
        <v>2</v>
      </c>
      <c r="E2751" t="s">
        <v>58</v>
      </c>
      <c r="F2751" t="s">
        <v>48</v>
      </c>
      <c r="G2751" t="s">
        <v>19</v>
      </c>
      <c r="H2751" s="3">
        <v>84359.663230164238</v>
      </c>
      <c r="I2751">
        <v>16</v>
      </c>
      <c r="J2751" s="3">
        <v>52556.412614174573</v>
      </c>
      <c r="K2751" s="3">
        <v>31803.250615989669</v>
      </c>
    </row>
    <row r="2752" spans="1:11" x14ac:dyDescent="0.3">
      <c r="A2752" t="s">
        <v>2828</v>
      </c>
      <c r="B2752" s="2">
        <v>46054</v>
      </c>
      <c r="C2752">
        <v>2026</v>
      </c>
      <c r="D2752">
        <v>2</v>
      </c>
      <c r="E2752" t="s">
        <v>62</v>
      </c>
      <c r="F2752" t="s">
        <v>67</v>
      </c>
      <c r="G2752" t="s">
        <v>19</v>
      </c>
      <c r="H2752" s="3">
        <v>46726.065578752547</v>
      </c>
      <c r="I2752">
        <v>9</v>
      </c>
      <c r="J2752" s="3">
        <v>28857.63567990555</v>
      </c>
      <c r="K2752" s="3">
        <v>17868.429898847</v>
      </c>
    </row>
    <row r="2753" spans="1:11" x14ac:dyDescent="0.3">
      <c r="A2753" t="s">
        <v>2829</v>
      </c>
      <c r="B2753" s="2">
        <v>46054</v>
      </c>
      <c r="C2753">
        <v>2026</v>
      </c>
      <c r="D2753">
        <v>2</v>
      </c>
      <c r="E2753" t="s">
        <v>62</v>
      </c>
      <c r="F2753" t="s">
        <v>48</v>
      </c>
      <c r="G2753" t="s">
        <v>19</v>
      </c>
      <c r="H2753" s="3">
        <v>62689.677441612017</v>
      </c>
      <c r="I2753">
        <v>12</v>
      </c>
      <c r="J2753" s="3">
        <v>38043.618311103652</v>
      </c>
      <c r="K2753" s="3">
        <v>24646.059130508369</v>
      </c>
    </row>
    <row r="2754" spans="1:11" x14ac:dyDescent="0.3">
      <c r="A2754" t="s">
        <v>2830</v>
      </c>
      <c r="B2754" s="2">
        <v>46054</v>
      </c>
      <c r="C2754">
        <v>2026</v>
      </c>
      <c r="D2754">
        <v>2</v>
      </c>
      <c r="E2754" t="s">
        <v>50</v>
      </c>
      <c r="F2754" t="s">
        <v>67</v>
      </c>
      <c r="G2754" t="s">
        <v>24</v>
      </c>
      <c r="H2754" s="3">
        <v>112278.64621689569</v>
      </c>
      <c r="I2754">
        <v>18</v>
      </c>
      <c r="J2754" s="3">
        <v>76064.408098424989</v>
      </c>
      <c r="K2754" s="3">
        <v>36214.238118470683</v>
      </c>
    </row>
    <row r="2755" spans="1:11" x14ac:dyDescent="0.3">
      <c r="A2755" t="s">
        <v>2831</v>
      </c>
      <c r="B2755" s="2">
        <v>46054</v>
      </c>
      <c r="C2755">
        <v>2026</v>
      </c>
      <c r="D2755">
        <v>2</v>
      </c>
      <c r="E2755" t="s">
        <v>50</v>
      </c>
      <c r="F2755" t="s">
        <v>48</v>
      </c>
      <c r="G2755" t="s">
        <v>24</v>
      </c>
      <c r="H2755" s="3">
        <v>156112.23438473229</v>
      </c>
      <c r="I2755">
        <v>26</v>
      </c>
      <c r="J2755" s="3">
        <v>101880.0040346649</v>
      </c>
      <c r="K2755" s="3">
        <v>54232.230350067337</v>
      </c>
    </row>
    <row r="2756" spans="1:11" x14ac:dyDescent="0.3">
      <c r="A2756" t="s">
        <v>2832</v>
      </c>
      <c r="B2756" s="2">
        <v>46054</v>
      </c>
      <c r="C2756">
        <v>2026</v>
      </c>
      <c r="D2756">
        <v>2</v>
      </c>
      <c r="E2756" t="s">
        <v>54</v>
      </c>
      <c r="F2756" t="s">
        <v>67</v>
      </c>
      <c r="G2756" t="s">
        <v>24</v>
      </c>
      <c r="H2756" s="3">
        <v>92916.837796449327</v>
      </c>
      <c r="I2756">
        <v>15</v>
      </c>
      <c r="J2756" s="3">
        <v>59293.731155498237</v>
      </c>
      <c r="K2756" s="3">
        <v>33623.106640951082</v>
      </c>
    </row>
    <row r="2757" spans="1:11" x14ac:dyDescent="0.3">
      <c r="A2757" t="s">
        <v>2833</v>
      </c>
      <c r="B2757" s="2">
        <v>46054</v>
      </c>
      <c r="C2757">
        <v>2026</v>
      </c>
      <c r="D2757">
        <v>2</v>
      </c>
      <c r="E2757" t="s">
        <v>54</v>
      </c>
      <c r="F2757" t="s">
        <v>48</v>
      </c>
      <c r="G2757" t="s">
        <v>24</v>
      </c>
      <c r="H2757" s="3">
        <v>121855.3470333125</v>
      </c>
      <c r="I2757">
        <v>20</v>
      </c>
      <c r="J2757" s="3">
        <v>82347.23737080954</v>
      </c>
      <c r="K2757" s="3">
        <v>39508.10966250296</v>
      </c>
    </row>
    <row r="2758" spans="1:11" x14ac:dyDescent="0.3">
      <c r="A2758" t="s">
        <v>2834</v>
      </c>
      <c r="B2758" s="2">
        <v>46054</v>
      </c>
      <c r="C2758">
        <v>2026</v>
      </c>
      <c r="D2758">
        <v>2</v>
      </c>
      <c r="E2758" t="s">
        <v>58</v>
      </c>
      <c r="F2758" t="s">
        <v>67</v>
      </c>
      <c r="G2758" t="s">
        <v>24</v>
      </c>
      <c r="H2758" s="3">
        <v>56813.70644843224</v>
      </c>
      <c r="I2758">
        <v>9</v>
      </c>
      <c r="J2758" s="3">
        <v>37156.671907502357</v>
      </c>
      <c r="K2758" s="3">
        <v>19657.034540929879</v>
      </c>
    </row>
    <row r="2759" spans="1:11" x14ac:dyDescent="0.3">
      <c r="A2759" t="s">
        <v>2835</v>
      </c>
      <c r="B2759" s="2">
        <v>46054</v>
      </c>
      <c r="C2759">
        <v>2026</v>
      </c>
      <c r="D2759">
        <v>2</v>
      </c>
      <c r="E2759" t="s">
        <v>58</v>
      </c>
      <c r="F2759" t="s">
        <v>48</v>
      </c>
      <c r="G2759" t="s">
        <v>24</v>
      </c>
      <c r="H2759" s="3">
        <v>94127.9367070507</v>
      </c>
      <c r="I2759">
        <v>15</v>
      </c>
      <c r="J2759" s="3">
        <v>61444.745305002747</v>
      </c>
      <c r="K2759" s="3">
        <v>32683.191402047949</v>
      </c>
    </row>
    <row r="2760" spans="1:11" x14ac:dyDescent="0.3">
      <c r="A2760" t="s">
        <v>2836</v>
      </c>
      <c r="B2760" s="2">
        <v>46054</v>
      </c>
      <c r="C2760">
        <v>2026</v>
      </c>
      <c r="D2760">
        <v>2</v>
      </c>
      <c r="E2760" t="s">
        <v>62</v>
      </c>
      <c r="F2760" t="s">
        <v>67</v>
      </c>
      <c r="G2760" t="s">
        <v>24</v>
      </c>
      <c r="H2760" s="3">
        <v>45773.958022123559</v>
      </c>
      <c r="I2760">
        <v>8</v>
      </c>
      <c r="J2760" s="3">
        <v>29250.804020259871</v>
      </c>
      <c r="K2760" s="3">
        <v>16523.154001863692</v>
      </c>
    </row>
    <row r="2761" spans="1:11" x14ac:dyDescent="0.3">
      <c r="A2761" t="s">
        <v>2837</v>
      </c>
      <c r="B2761" s="2">
        <v>46054</v>
      </c>
      <c r="C2761">
        <v>2026</v>
      </c>
      <c r="D2761">
        <v>2</v>
      </c>
      <c r="E2761" t="s">
        <v>62</v>
      </c>
      <c r="F2761" t="s">
        <v>48</v>
      </c>
      <c r="G2761" t="s">
        <v>24</v>
      </c>
      <c r="H2761" s="3">
        <v>67409.735810930651</v>
      </c>
      <c r="I2761">
        <v>11</v>
      </c>
      <c r="J2761" s="3">
        <v>45884.619734618878</v>
      </c>
      <c r="K2761" s="3">
        <v>21525.11607631177</v>
      </c>
    </row>
    <row r="2762" spans="1:11" x14ac:dyDescent="0.3">
      <c r="A2762" t="s">
        <v>2838</v>
      </c>
      <c r="B2762" s="2">
        <v>46054</v>
      </c>
      <c r="C2762">
        <v>2026</v>
      </c>
      <c r="D2762">
        <v>2</v>
      </c>
      <c r="E2762" t="s">
        <v>50</v>
      </c>
      <c r="F2762" t="s">
        <v>67</v>
      </c>
      <c r="G2762" t="s">
        <v>29</v>
      </c>
      <c r="H2762" s="3">
        <v>74182.81120950522</v>
      </c>
      <c r="I2762">
        <v>17</v>
      </c>
      <c r="J2762" s="3">
        <v>46375.027136152232</v>
      </c>
      <c r="K2762" s="3">
        <v>27807.784073352988</v>
      </c>
    </row>
    <row r="2763" spans="1:11" x14ac:dyDescent="0.3">
      <c r="A2763" t="s">
        <v>2839</v>
      </c>
      <c r="B2763" s="2">
        <v>46054</v>
      </c>
      <c r="C2763">
        <v>2026</v>
      </c>
      <c r="D2763">
        <v>2</v>
      </c>
      <c r="E2763" t="s">
        <v>50</v>
      </c>
      <c r="F2763" t="s">
        <v>48</v>
      </c>
      <c r="G2763" t="s">
        <v>29</v>
      </c>
      <c r="H2763" s="3">
        <v>101755.4605707781</v>
      </c>
      <c r="I2763">
        <v>24</v>
      </c>
      <c r="J2763" s="3">
        <v>65192.01058541183</v>
      </c>
      <c r="K2763" s="3">
        <v>36563.449985366293</v>
      </c>
    </row>
    <row r="2764" spans="1:11" x14ac:dyDescent="0.3">
      <c r="A2764" t="s">
        <v>2840</v>
      </c>
      <c r="B2764" s="2">
        <v>46054</v>
      </c>
      <c r="C2764">
        <v>2026</v>
      </c>
      <c r="D2764">
        <v>2</v>
      </c>
      <c r="E2764" t="s">
        <v>54</v>
      </c>
      <c r="F2764" t="s">
        <v>67</v>
      </c>
      <c r="G2764" t="s">
        <v>29</v>
      </c>
      <c r="H2764" s="3">
        <v>65842.266455441742</v>
      </c>
      <c r="I2764">
        <v>15</v>
      </c>
      <c r="J2764" s="3">
        <v>42831.275701459337</v>
      </c>
      <c r="K2764" s="3">
        <v>23010.990753982409</v>
      </c>
    </row>
    <row r="2765" spans="1:11" x14ac:dyDescent="0.3">
      <c r="A2765" t="s">
        <v>2841</v>
      </c>
      <c r="B2765" s="2">
        <v>46054</v>
      </c>
      <c r="C2765">
        <v>2026</v>
      </c>
      <c r="D2765">
        <v>2</v>
      </c>
      <c r="E2765" t="s">
        <v>54</v>
      </c>
      <c r="F2765" t="s">
        <v>48</v>
      </c>
      <c r="G2765" t="s">
        <v>29</v>
      </c>
      <c r="H2765" s="3">
        <v>89190.963184077569</v>
      </c>
      <c r="I2765">
        <v>21</v>
      </c>
      <c r="J2765" s="3">
        <v>57515.522108222744</v>
      </c>
      <c r="K2765" s="3">
        <v>31675.441075854829</v>
      </c>
    </row>
    <row r="2766" spans="1:11" x14ac:dyDescent="0.3">
      <c r="A2766" t="s">
        <v>2842</v>
      </c>
      <c r="B2766" s="2">
        <v>46054</v>
      </c>
      <c r="C2766">
        <v>2026</v>
      </c>
      <c r="D2766">
        <v>2</v>
      </c>
      <c r="E2766" t="s">
        <v>58</v>
      </c>
      <c r="F2766" t="s">
        <v>67</v>
      </c>
      <c r="G2766" t="s">
        <v>29</v>
      </c>
      <c r="H2766" s="3">
        <v>42683.68503423829</v>
      </c>
      <c r="I2766">
        <v>10</v>
      </c>
      <c r="J2766" s="3">
        <v>27288.22543915912</v>
      </c>
      <c r="K2766" s="3">
        <v>15395.45959507917</v>
      </c>
    </row>
    <row r="2767" spans="1:11" x14ac:dyDescent="0.3">
      <c r="A2767" t="s">
        <v>2843</v>
      </c>
      <c r="B2767" s="2">
        <v>46054</v>
      </c>
      <c r="C2767">
        <v>2026</v>
      </c>
      <c r="D2767">
        <v>2</v>
      </c>
      <c r="E2767" t="s">
        <v>58</v>
      </c>
      <c r="F2767" t="s">
        <v>48</v>
      </c>
      <c r="G2767" t="s">
        <v>29</v>
      </c>
      <c r="H2767" s="3">
        <v>57315.913740257172</v>
      </c>
      <c r="I2767">
        <v>13</v>
      </c>
      <c r="J2767" s="3">
        <v>35558.610007287687</v>
      </c>
      <c r="K2767" s="3">
        <v>21757.303732969482</v>
      </c>
    </row>
    <row r="2768" spans="1:11" x14ac:dyDescent="0.3">
      <c r="A2768" t="s">
        <v>2844</v>
      </c>
      <c r="B2768" s="2">
        <v>46054</v>
      </c>
      <c r="C2768">
        <v>2026</v>
      </c>
      <c r="D2768">
        <v>2</v>
      </c>
      <c r="E2768" t="s">
        <v>62</v>
      </c>
      <c r="F2768" t="s">
        <v>67</v>
      </c>
      <c r="G2768" t="s">
        <v>29</v>
      </c>
      <c r="H2768" s="3">
        <v>30880.379228709549</v>
      </c>
      <c r="I2768">
        <v>7</v>
      </c>
      <c r="J2768" s="3">
        <v>19475.389599181039</v>
      </c>
      <c r="K2768" s="3">
        <v>11404.9896295285</v>
      </c>
    </row>
    <row r="2769" spans="1:11" x14ac:dyDescent="0.3">
      <c r="A2769" t="s">
        <v>2845</v>
      </c>
      <c r="B2769" s="2">
        <v>46054</v>
      </c>
      <c r="C2769">
        <v>2026</v>
      </c>
      <c r="D2769">
        <v>2</v>
      </c>
      <c r="E2769" t="s">
        <v>62</v>
      </c>
      <c r="F2769" t="s">
        <v>48</v>
      </c>
      <c r="G2769" t="s">
        <v>29</v>
      </c>
      <c r="H2769" s="3">
        <v>44514.669970852083</v>
      </c>
      <c r="I2769">
        <v>10</v>
      </c>
      <c r="J2769" s="3">
        <v>28585.694484533029</v>
      </c>
      <c r="K2769" s="3">
        <v>15928.975486319039</v>
      </c>
    </row>
    <row r="2770" spans="1:11" x14ac:dyDescent="0.3">
      <c r="A2770" t="s">
        <v>2846</v>
      </c>
      <c r="B2770" s="2">
        <v>46054</v>
      </c>
      <c r="C2770">
        <v>2026</v>
      </c>
      <c r="D2770">
        <v>2</v>
      </c>
      <c r="E2770" t="s">
        <v>50</v>
      </c>
      <c r="F2770" t="s">
        <v>67</v>
      </c>
      <c r="G2770" t="s">
        <v>34</v>
      </c>
      <c r="H2770" s="3">
        <v>66814.549655539566</v>
      </c>
      <c r="I2770">
        <v>79</v>
      </c>
      <c r="J2770" s="3">
        <v>31616.56579093391</v>
      </c>
      <c r="K2770" s="3">
        <v>35197.98386460566</v>
      </c>
    </row>
    <row r="2771" spans="1:11" x14ac:dyDescent="0.3">
      <c r="A2771" t="s">
        <v>2847</v>
      </c>
      <c r="B2771" s="2">
        <v>46054</v>
      </c>
      <c r="C2771">
        <v>2026</v>
      </c>
      <c r="D2771">
        <v>2</v>
      </c>
      <c r="E2771" t="s">
        <v>50</v>
      </c>
      <c r="F2771" t="s">
        <v>48</v>
      </c>
      <c r="G2771" t="s">
        <v>34</v>
      </c>
      <c r="H2771" s="3">
        <v>94514.352989598439</v>
      </c>
      <c r="I2771">
        <v>111</v>
      </c>
      <c r="J2771" s="3">
        <v>45532.953585479139</v>
      </c>
      <c r="K2771" s="3">
        <v>48981.3994041193</v>
      </c>
    </row>
    <row r="2772" spans="1:11" x14ac:dyDescent="0.3">
      <c r="A2772" t="s">
        <v>2848</v>
      </c>
      <c r="B2772" s="2">
        <v>46054</v>
      </c>
      <c r="C2772">
        <v>2026</v>
      </c>
      <c r="D2772">
        <v>2</v>
      </c>
      <c r="E2772" t="s">
        <v>54</v>
      </c>
      <c r="F2772" t="s">
        <v>67</v>
      </c>
      <c r="G2772" t="s">
        <v>34</v>
      </c>
      <c r="H2772" s="3">
        <v>58268.145554476163</v>
      </c>
      <c r="I2772">
        <v>69</v>
      </c>
      <c r="J2772" s="3">
        <v>28311.924571026131</v>
      </c>
      <c r="K2772" s="3">
        <v>29956.220983450032</v>
      </c>
    </row>
    <row r="2773" spans="1:11" x14ac:dyDescent="0.3">
      <c r="A2773" t="s">
        <v>2849</v>
      </c>
      <c r="B2773" s="2">
        <v>46054</v>
      </c>
      <c r="C2773">
        <v>2026</v>
      </c>
      <c r="D2773">
        <v>2</v>
      </c>
      <c r="E2773" t="s">
        <v>54</v>
      </c>
      <c r="F2773" t="s">
        <v>48</v>
      </c>
      <c r="G2773" t="s">
        <v>34</v>
      </c>
      <c r="H2773" s="3">
        <v>80945.9406201323</v>
      </c>
      <c r="I2773">
        <v>95</v>
      </c>
      <c r="J2773" s="3">
        <v>39527.199958110992</v>
      </c>
      <c r="K2773" s="3">
        <v>41418.740662021308</v>
      </c>
    </row>
    <row r="2774" spans="1:11" x14ac:dyDescent="0.3">
      <c r="A2774" t="s">
        <v>2850</v>
      </c>
      <c r="B2774" s="2">
        <v>46054</v>
      </c>
      <c r="C2774">
        <v>2026</v>
      </c>
      <c r="D2774">
        <v>2</v>
      </c>
      <c r="E2774" t="s">
        <v>58</v>
      </c>
      <c r="F2774" t="s">
        <v>67</v>
      </c>
      <c r="G2774" t="s">
        <v>34</v>
      </c>
      <c r="H2774" s="3">
        <v>38183.598596630247</v>
      </c>
      <c r="I2774">
        <v>45</v>
      </c>
      <c r="J2774" s="3">
        <v>17923.603041273011</v>
      </c>
      <c r="K2774" s="3">
        <v>20259.99555535724</v>
      </c>
    </row>
    <row r="2775" spans="1:11" x14ac:dyDescent="0.3">
      <c r="A2775" t="s">
        <v>2851</v>
      </c>
      <c r="B2775" s="2">
        <v>46054</v>
      </c>
      <c r="C2775">
        <v>2026</v>
      </c>
      <c r="D2775">
        <v>2</v>
      </c>
      <c r="E2775" t="s">
        <v>58</v>
      </c>
      <c r="F2775" t="s">
        <v>48</v>
      </c>
      <c r="G2775" t="s">
        <v>34</v>
      </c>
      <c r="H2775" s="3">
        <v>55907.823975450126</v>
      </c>
      <c r="I2775">
        <v>66</v>
      </c>
      <c r="J2775" s="3">
        <v>27896.83132466711</v>
      </c>
      <c r="K2775" s="3">
        <v>28010.992650783021</v>
      </c>
    </row>
    <row r="2776" spans="1:11" x14ac:dyDescent="0.3">
      <c r="A2776" t="s">
        <v>2852</v>
      </c>
      <c r="B2776" s="2">
        <v>46054</v>
      </c>
      <c r="C2776">
        <v>2026</v>
      </c>
      <c r="D2776">
        <v>2</v>
      </c>
      <c r="E2776" t="s">
        <v>62</v>
      </c>
      <c r="F2776" t="s">
        <v>67</v>
      </c>
      <c r="G2776" t="s">
        <v>34</v>
      </c>
      <c r="H2776" s="3">
        <v>29272.031283687851</v>
      </c>
      <c r="I2776">
        <v>34</v>
      </c>
      <c r="J2776" s="3">
        <v>14244.67848604251</v>
      </c>
      <c r="K2776" s="3">
        <v>15027.352797645341</v>
      </c>
    </row>
    <row r="2777" spans="1:11" x14ac:dyDescent="0.3">
      <c r="A2777" t="s">
        <v>2853</v>
      </c>
      <c r="B2777" s="2">
        <v>46054</v>
      </c>
      <c r="C2777">
        <v>2026</v>
      </c>
      <c r="D2777">
        <v>2</v>
      </c>
      <c r="E2777" t="s">
        <v>62</v>
      </c>
      <c r="F2777" t="s">
        <v>48</v>
      </c>
      <c r="G2777" t="s">
        <v>34</v>
      </c>
      <c r="H2777" s="3">
        <v>43863.613145205563</v>
      </c>
      <c r="I2777">
        <v>52</v>
      </c>
      <c r="J2777" s="3">
        <v>21053.884676968399</v>
      </c>
      <c r="K2777" s="3">
        <v>22809.728468237168</v>
      </c>
    </row>
    <row r="2778" spans="1:11" x14ac:dyDescent="0.3">
      <c r="A2778" t="s">
        <v>2854</v>
      </c>
      <c r="B2778" s="2">
        <v>46054</v>
      </c>
      <c r="C2778">
        <v>2026</v>
      </c>
      <c r="D2778">
        <v>2</v>
      </c>
      <c r="E2778" t="s">
        <v>50</v>
      </c>
      <c r="F2778" t="s">
        <v>67</v>
      </c>
      <c r="G2778" t="s">
        <v>37</v>
      </c>
      <c r="H2778" s="3">
        <v>59290.430868435651</v>
      </c>
      <c r="I2778">
        <v>82</v>
      </c>
      <c r="J2778" s="3">
        <v>33249.268002869227</v>
      </c>
      <c r="K2778" s="3">
        <v>26041.162865566421</v>
      </c>
    </row>
    <row r="2779" spans="1:11" x14ac:dyDescent="0.3">
      <c r="A2779" t="s">
        <v>2855</v>
      </c>
      <c r="B2779" s="2">
        <v>46054</v>
      </c>
      <c r="C2779">
        <v>2026</v>
      </c>
      <c r="D2779">
        <v>2</v>
      </c>
      <c r="E2779" t="s">
        <v>50</v>
      </c>
      <c r="F2779" t="s">
        <v>48</v>
      </c>
      <c r="G2779" t="s">
        <v>37</v>
      </c>
      <c r="H2779" s="3">
        <v>85775.575053961453</v>
      </c>
      <c r="I2779">
        <v>119</v>
      </c>
      <c r="J2779" s="3">
        <v>49185.218977294833</v>
      </c>
      <c r="K2779" s="3">
        <v>36590.35607666662</v>
      </c>
    </row>
    <row r="2780" spans="1:11" x14ac:dyDescent="0.3">
      <c r="A2780" t="s">
        <v>2856</v>
      </c>
      <c r="B2780" s="2">
        <v>46054</v>
      </c>
      <c r="C2780">
        <v>2026</v>
      </c>
      <c r="D2780">
        <v>2</v>
      </c>
      <c r="E2780" t="s">
        <v>54</v>
      </c>
      <c r="F2780" t="s">
        <v>67</v>
      </c>
      <c r="G2780" t="s">
        <v>37</v>
      </c>
      <c r="H2780" s="3">
        <v>47389.52018126021</v>
      </c>
      <c r="I2780">
        <v>66</v>
      </c>
      <c r="J2780" s="3">
        <v>25389.251572577341</v>
      </c>
      <c r="K2780" s="3">
        <v>22000.268608682869</v>
      </c>
    </row>
    <row r="2781" spans="1:11" x14ac:dyDescent="0.3">
      <c r="A2781" t="s">
        <v>2857</v>
      </c>
      <c r="B2781" s="2">
        <v>46054</v>
      </c>
      <c r="C2781">
        <v>2026</v>
      </c>
      <c r="D2781">
        <v>2</v>
      </c>
      <c r="E2781" t="s">
        <v>54</v>
      </c>
      <c r="F2781" t="s">
        <v>48</v>
      </c>
      <c r="G2781" t="s">
        <v>37</v>
      </c>
      <c r="H2781" s="3">
        <v>67500.022998103712</v>
      </c>
      <c r="I2781">
        <v>94</v>
      </c>
      <c r="J2781" s="3">
        <v>36974.480836824121</v>
      </c>
      <c r="K2781" s="3">
        <v>30525.542161279591</v>
      </c>
    </row>
    <row r="2782" spans="1:11" x14ac:dyDescent="0.3">
      <c r="A2782" t="s">
        <v>2858</v>
      </c>
      <c r="B2782" s="2">
        <v>46054</v>
      </c>
      <c r="C2782">
        <v>2026</v>
      </c>
      <c r="D2782">
        <v>2</v>
      </c>
      <c r="E2782" t="s">
        <v>58</v>
      </c>
      <c r="F2782" t="s">
        <v>67</v>
      </c>
      <c r="G2782" t="s">
        <v>37</v>
      </c>
      <c r="H2782" s="3">
        <v>36944.737860348789</v>
      </c>
      <c r="I2782">
        <v>51</v>
      </c>
      <c r="J2782" s="3">
        <v>19449.687534683369</v>
      </c>
      <c r="K2782" s="3">
        <v>17495.050325665419</v>
      </c>
    </row>
    <row r="2783" spans="1:11" x14ac:dyDescent="0.3">
      <c r="A2783" t="s">
        <v>2859</v>
      </c>
      <c r="B2783" s="2">
        <v>46054</v>
      </c>
      <c r="C2783">
        <v>2026</v>
      </c>
      <c r="D2783">
        <v>2</v>
      </c>
      <c r="E2783" t="s">
        <v>58</v>
      </c>
      <c r="F2783" t="s">
        <v>48</v>
      </c>
      <c r="G2783" t="s">
        <v>37</v>
      </c>
      <c r="H2783" s="3">
        <v>49428.338558801988</v>
      </c>
      <c r="I2783">
        <v>69</v>
      </c>
      <c r="J2783" s="3">
        <v>27279.858414619121</v>
      </c>
      <c r="K2783" s="3">
        <v>22148.48014418286</v>
      </c>
    </row>
    <row r="2784" spans="1:11" x14ac:dyDescent="0.3">
      <c r="A2784" t="s">
        <v>2860</v>
      </c>
      <c r="B2784" s="2">
        <v>46054</v>
      </c>
      <c r="C2784">
        <v>2026</v>
      </c>
      <c r="D2784">
        <v>2</v>
      </c>
      <c r="E2784" t="s">
        <v>62</v>
      </c>
      <c r="F2784" t="s">
        <v>67</v>
      </c>
      <c r="G2784" t="s">
        <v>37</v>
      </c>
      <c r="H2784" s="3">
        <v>27717.800334056639</v>
      </c>
      <c r="I2784">
        <v>38</v>
      </c>
      <c r="J2784" s="3">
        <v>15345.056637676011</v>
      </c>
      <c r="K2784" s="3">
        <v>12372.743696380619</v>
      </c>
    </row>
    <row r="2785" spans="1:11" x14ac:dyDescent="0.3">
      <c r="A2785" t="s">
        <v>2861</v>
      </c>
      <c r="B2785" s="2">
        <v>46054</v>
      </c>
      <c r="C2785">
        <v>2026</v>
      </c>
      <c r="D2785">
        <v>2</v>
      </c>
      <c r="E2785" t="s">
        <v>62</v>
      </c>
      <c r="F2785" t="s">
        <v>48</v>
      </c>
      <c r="G2785" t="s">
        <v>37</v>
      </c>
      <c r="H2785" s="3">
        <v>37068.824746014783</v>
      </c>
      <c r="I2785">
        <v>51</v>
      </c>
      <c r="J2785" s="3">
        <v>20373.48184372723</v>
      </c>
      <c r="K2785" s="3">
        <v>16695.342902287561</v>
      </c>
    </row>
    <row r="2786" spans="1:11" x14ac:dyDescent="0.3">
      <c r="A2786" t="s">
        <v>2862</v>
      </c>
      <c r="B2786" s="2">
        <v>46054</v>
      </c>
      <c r="C2786">
        <v>2026</v>
      </c>
      <c r="D2786">
        <v>2</v>
      </c>
      <c r="E2786" t="s">
        <v>50</v>
      </c>
      <c r="F2786" t="s">
        <v>67</v>
      </c>
      <c r="G2786" t="s">
        <v>40</v>
      </c>
      <c r="H2786" s="3">
        <v>52088.068668764157</v>
      </c>
      <c r="I2786">
        <v>10</v>
      </c>
      <c r="J2786" s="3">
        <v>35517.327482712513</v>
      </c>
      <c r="K2786" s="3">
        <v>16570.741186051659</v>
      </c>
    </row>
    <row r="2787" spans="1:11" x14ac:dyDescent="0.3">
      <c r="A2787" t="s">
        <v>2863</v>
      </c>
      <c r="B2787" s="2">
        <v>46054</v>
      </c>
      <c r="C2787">
        <v>2026</v>
      </c>
      <c r="D2787">
        <v>2</v>
      </c>
      <c r="E2787" t="s">
        <v>50</v>
      </c>
      <c r="F2787" t="s">
        <v>48</v>
      </c>
      <c r="G2787" t="s">
        <v>40</v>
      </c>
      <c r="H2787" s="3">
        <v>75485.895877228293</v>
      </c>
      <c r="I2787">
        <v>14</v>
      </c>
      <c r="J2787" s="3">
        <v>50163.776918338692</v>
      </c>
      <c r="K2787" s="3">
        <v>25322.118958889601</v>
      </c>
    </row>
    <row r="2788" spans="1:11" x14ac:dyDescent="0.3">
      <c r="A2788" t="s">
        <v>2864</v>
      </c>
      <c r="B2788" s="2">
        <v>46054</v>
      </c>
      <c r="C2788">
        <v>2026</v>
      </c>
      <c r="D2788">
        <v>2</v>
      </c>
      <c r="E2788" t="s">
        <v>54</v>
      </c>
      <c r="F2788" t="s">
        <v>67</v>
      </c>
      <c r="G2788" t="s">
        <v>40</v>
      </c>
      <c r="H2788" s="3">
        <v>43748.322227377343</v>
      </c>
      <c r="I2788">
        <v>8</v>
      </c>
      <c r="J2788" s="3">
        <v>30389.303418443251</v>
      </c>
      <c r="K2788" s="3">
        <v>13359.018808934081</v>
      </c>
    </row>
    <row r="2789" spans="1:11" x14ac:dyDescent="0.3">
      <c r="A2789" t="s">
        <v>2865</v>
      </c>
      <c r="B2789" s="2">
        <v>46054</v>
      </c>
      <c r="C2789">
        <v>2026</v>
      </c>
      <c r="D2789">
        <v>2</v>
      </c>
      <c r="E2789" t="s">
        <v>54</v>
      </c>
      <c r="F2789" t="s">
        <v>48</v>
      </c>
      <c r="G2789" t="s">
        <v>40</v>
      </c>
      <c r="H2789" s="3">
        <v>65065.311209484062</v>
      </c>
      <c r="I2789">
        <v>12</v>
      </c>
      <c r="J2789" s="3">
        <v>46071.217591244793</v>
      </c>
      <c r="K2789" s="3">
        <v>18994.093618239269</v>
      </c>
    </row>
    <row r="2790" spans="1:11" x14ac:dyDescent="0.3">
      <c r="A2790" t="s">
        <v>2866</v>
      </c>
      <c r="B2790" s="2">
        <v>46054</v>
      </c>
      <c r="C2790">
        <v>2026</v>
      </c>
      <c r="D2790">
        <v>2</v>
      </c>
      <c r="E2790" t="s">
        <v>58</v>
      </c>
      <c r="F2790" t="s">
        <v>67</v>
      </c>
      <c r="G2790" t="s">
        <v>40</v>
      </c>
      <c r="H2790" s="3">
        <v>32048.413252032798</v>
      </c>
      <c r="I2790">
        <v>6</v>
      </c>
      <c r="J2790" s="3">
        <v>21878.155393837809</v>
      </c>
      <c r="K2790" s="3">
        <v>10170.257858195</v>
      </c>
    </row>
    <row r="2791" spans="1:11" x14ac:dyDescent="0.3">
      <c r="A2791" t="s">
        <v>2867</v>
      </c>
      <c r="B2791" s="2">
        <v>46054</v>
      </c>
      <c r="C2791">
        <v>2026</v>
      </c>
      <c r="D2791">
        <v>2</v>
      </c>
      <c r="E2791" t="s">
        <v>58</v>
      </c>
      <c r="F2791" t="s">
        <v>48</v>
      </c>
      <c r="G2791" t="s">
        <v>40</v>
      </c>
      <c r="H2791" s="3">
        <v>41899.058269016277</v>
      </c>
      <c r="I2791">
        <v>8</v>
      </c>
      <c r="J2791" s="3">
        <v>29139.351365492599</v>
      </c>
      <c r="K2791" s="3">
        <v>12759.706903523689</v>
      </c>
    </row>
    <row r="2792" spans="1:11" x14ac:dyDescent="0.3">
      <c r="A2792" t="s">
        <v>2868</v>
      </c>
      <c r="B2792" s="2">
        <v>46054</v>
      </c>
      <c r="C2792">
        <v>2026</v>
      </c>
      <c r="D2792">
        <v>2</v>
      </c>
      <c r="E2792" t="s">
        <v>62</v>
      </c>
      <c r="F2792" t="s">
        <v>67</v>
      </c>
      <c r="G2792" t="s">
        <v>40</v>
      </c>
      <c r="H2792" s="3">
        <v>23681.692888036279</v>
      </c>
      <c r="I2792">
        <v>4</v>
      </c>
      <c r="J2792" s="3">
        <v>15879.135097276119</v>
      </c>
      <c r="K2792" s="3">
        <v>7802.5577907601601</v>
      </c>
    </row>
    <row r="2793" spans="1:11" x14ac:dyDescent="0.3">
      <c r="A2793" t="s">
        <v>2869</v>
      </c>
      <c r="B2793" s="2">
        <v>46054</v>
      </c>
      <c r="C2793">
        <v>2026</v>
      </c>
      <c r="D2793">
        <v>2</v>
      </c>
      <c r="E2793" t="s">
        <v>62</v>
      </c>
      <c r="F2793" t="s">
        <v>48</v>
      </c>
      <c r="G2793" t="s">
        <v>40</v>
      </c>
      <c r="H2793" s="3">
        <v>33540.546763918108</v>
      </c>
      <c r="I2793">
        <v>6</v>
      </c>
      <c r="J2793" s="3">
        <v>23333.440154810149</v>
      </c>
      <c r="K2793" s="3">
        <v>10207.106609107959</v>
      </c>
    </row>
    <row r="2794" spans="1:11" x14ac:dyDescent="0.3">
      <c r="A2794" t="s">
        <v>2870</v>
      </c>
      <c r="B2794" s="2">
        <v>46054</v>
      </c>
      <c r="C2794">
        <v>2026</v>
      </c>
      <c r="D2794">
        <v>2</v>
      </c>
      <c r="E2794" t="s">
        <v>50</v>
      </c>
      <c r="F2794" t="s">
        <v>67</v>
      </c>
      <c r="G2794" t="s">
        <v>43</v>
      </c>
      <c r="H2794" s="3">
        <v>126495.9161566957</v>
      </c>
      <c r="I2794">
        <v>36</v>
      </c>
      <c r="J2794" s="3">
        <v>74104.126013345245</v>
      </c>
      <c r="K2794" s="3">
        <v>52391.790143350489</v>
      </c>
    </row>
    <row r="2795" spans="1:11" x14ac:dyDescent="0.3">
      <c r="A2795" t="s">
        <v>2871</v>
      </c>
      <c r="B2795" s="2">
        <v>46054</v>
      </c>
      <c r="C2795">
        <v>2026</v>
      </c>
      <c r="D2795">
        <v>2</v>
      </c>
      <c r="E2795" t="s">
        <v>50</v>
      </c>
      <c r="F2795" t="s">
        <v>48</v>
      </c>
      <c r="G2795" t="s">
        <v>43</v>
      </c>
      <c r="H2795" s="3">
        <v>181478.32688026069</v>
      </c>
      <c r="I2795">
        <v>52</v>
      </c>
      <c r="J2795" s="3">
        <v>105602.8048716484</v>
      </c>
      <c r="K2795" s="3">
        <v>75875.52200861233</v>
      </c>
    </row>
    <row r="2796" spans="1:11" x14ac:dyDescent="0.3">
      <c r="A2796" t="s">
        <v>2872</v>
      </c>
      <c r="B2796" s="2">
        <v>46054</v>
      </c>
      <c r="C2796">
        <v>2026</v>
      </c>
      <c r="D2796">
        <v>2</v>
      </c>
      <c r="E2796" t="s">
        <v>54</v>
      </c>
      <c r="F2796" t="s">
        <v>67</v>
      </c>
      <c r="G2796" t="s">
        <v>43</v>
      </c>
      <c r="H2796" s="3">
        <v>85177.385033265135</v>
      </c>
      <c r="I2796">
        <v>24</v>
      </c>
      <c r="J2796" s="3">
        <v>49566.844515582263</v>
      </c>
      <c r="K2796" s="3">
        <v>35610.540517682872</v>
      </c>
    </row>
    <row r="2797" spans="1:11" x14ac:dyDescent="0.3">
      <c r="A2797" t="s">
        <v>2873</v>
      </c>
      <c r="B2797" s="2">
        <v>46054</v>
      </c>
      <c r="C2797">
        <v>2026</v>
      </c>
      <c r="D2797">
        <v>2</v>
      </c>
      <c r="E2797" t="s">
        <v>54</v>
      </c>
      <c r="F2797" t="s">
        <v>48</v>
      </c>
      <c r="G2797" t="s">
        <v>43</v>
      </c>
      <c r="H2797" s="3">
        <v>132222.86446616289</v>
      </c>
      <c r="I2797">
        <v>38</v>
      </c>
      <c r="J2797" s="3">
        <v>77458.777966866139</v>
      </c>
      <c r="K2797" s="3">
        <v>54764.086499296747</v>
      </c>
    </row>
    <row r="2798" spans="1:11" x14ac:dyDescent="0.3">
      <c r="A2798" t="s">
        <v>2874</v>
      </c>
      <c r="B2798" s="2">
        <v>46054</v>
      </c>
      <c r="C2798">
        <v>2026</v>
      </c>
      <c r="D2798">
        <v>2</v>
      </c>
      <c r="E2798" t="s">
        <v>58</v>
      </c>
      <c r="F2798" t="s">
        <v>67</v>
      </c>
      <c r="G2798" t="s">
        <v>43</v>
      </c>
      <c r="H2798" s="3">
        <v>63619.154643367801</v>
      </c>
      <c r="I2798">
        <v>18</v>
      </c>
      <c r="J2798" s="3">
        <v>37793.686734341332</v>
      </c>
      <c r="K2798" s="3">
        <v>25825.46790902648</v>
      </c>
    </row>
    <row r="2799" spans="1:11" x14ac:dyDescent="0.3">
      <c r="A2799" t="s">
        <v>2875</v>
      </c>
      <c r="B2799" s="2">
        <v>46054</v>
      </c>
      <c r="C2799">
        <v>2026</v>
      </c>
      <c r="D2799">
        <v>2</v>
      </c>
      <c r="E2799" t="s">
        <v>58</v>
      </c>
      <c r="F2799" t="s">
        <v>48</v>
      </c>
      <c r="G2799" t="s">
        <v>43</v>
      </c>
      <c r="H2799" s="3">
        <v>98777.038236418288</v>
      </c>
      <c r="I2799">
        <v>28</v>
      </c>
      <c r="J2799" s="3">
        <v>56901.977423805612</v>
      </c>
      <c r="K2799" s="3">
        <v>41875.060812612683</v>
      </c>
    </row>
    <row r="2800" spans="1:11" x14ac:dyDescent="0.3">
      <c r="A2800" t="s">
        <v>2876</v>
      </c>
      <c r="B2800" s="2">
        <v>46054</v>
      </c>
      <c r="C2800">
        <v>2026</v>
      </c>
      <c r="D2800">
        <v>2</v>
      </c>
      <c r="E2800" t="s">
        <v>62</v>
      </c>
      <c r="F2800" t="s">
        <v>67</v>
      </c>
      <c r="G2800" t="s">
        <v>43</v>
      </c>
      <c r="H2800" s="3">
        <v>50028.771441017037</v>
      </c>
      <c r="I2800">
        <v>14</v>
      </c>
      <c r="J2800" s="3">
        <v>29305.985569474331</v>
      </c>
      <c r="K2800" s="3">
        <v>20722.78587154271</v>
      </c>
    </row>
    <row r="2801" spans="1:11" x14ac:dyDescent="0.3">
      <c r="A2801" t="s">
        <v>2877</v>
      </c>
      <c r="B2801" s="2">
        <v>46054</v>
      </c>
      <c r="C2801">
        <v>2026</v>
      </c>
      <c r="D2801">
        <v>2</v>
      </c>
      <c r="E2801" t="s">
        <v>62</v>
      </c>
      <c r="F2801" t="s">
        <v>48</v>
      </c>
      <c r="G2801" t="s">
        <v>43</v>
      </c>
      <c r="H2801" s="3">
        <v>67255.565776933028</v>
      </c>
      <c r="I2801">
        <v>19</v>
      </c>
      <c r="J2801" s="3">
        <v>39651.162420565677</v>
      </c>
      <c r="K2801" s="3">
        <v>27604.40335636734</v>
      </c>
    </row>
    <row r="2802" spans="1:11" x14ac:dyDescent="0.3">
      <c r="A2802" t="s">
        <v>2878</v>
      </c>
      <c r="B2802" s="2">
        <v>46082</v>
      </c>
      <c r="C2802">
        <v>2026</v>
      </c>
      <c r="D2802">
        <v>3</v>
      </c>
      <c r="E2802" t="s">
        <v>50</v>
      </c>
      <c r="F2802" t="s">
        <v>67</v>
      </c>
      <c r="G2802" t="s">
        <v>19</v>
      </c>
      <c r="H2802" s="3">
        <v>130488.56787345069</v>
      </c>
      <c r="I2802">
        <v>25</v>
      </c>
      <c r="J2802" s="3">
        <v>79302.433553923052</v>
      </c>
      <c r="K2802" s="3">
        <v>51186.134319527613</v>
      </c>
    </row>
    <row r="2803" spans="1:11" x14ac:dyDescent="0.3">
      <c r="A2803" t="s">
        <v>2879</v>
      </c>
      <c r="B2803" s="2">
        <v>46082</v>
      </c>
      <c r="C2803">
        <v>2026</v>
      </c>
      <c r="D2803">
        <v>3</v>
      </c>
      <c r="E2803" t="s">
        <v>50</v>
      </c>
      <c r="F2803" t="s">
        <v>48</v>
      </c>
      <c r="G2803" t="s">
        <v>19</v>
      </c>
      <c r="H2803" s="3">
        <v>166628.05931073529</v>
      </c>
      <c r="I2803">
        <v>32</v>
      </c>
      <c r="J2803" s="3">
        <v>106650.4199400303</v>
      </c>
      <c r="K2803" s="3">
        <v>59977.639370704972</v>
      </c>
    </row>
    <row r="2804" spans="1:11" x14ac:dyDescent="0.3">
      <c r="A2804" t="s">
        <v>2880</v>
      </c>
      <c r="B2804" s="2">
        <v>46082</v>
      </c>
      <c r="C2804">
        <v>2026</v>
      </c>
      <c r="D2804">
        <v>3</v>
      </c>
      <c r="E2804" t="s">
        <v>54</v>
      </c>
      <c r="F2804" t="s">
        <v>67</v>
      </c>
      <c r="G2804" t="s">
        <v>19</v>
      </c>
      <c r="H2804" s="3">
        <v>94092.310437305277</v>
      </c>
      <c r="I2804">
        <v>18</v>
      </c>
      <c r="J2804" s="3">
        <v>57441.002314928133</v>
      </c>
      <c r="K2804" s="3">
        <v>36651.308122377137</v>
      </c>
    </row>
    <row r="2805" spans="1:11" x14ac:dyDescent="0.3">
      <c r="A2805" t="s">
        <v>2881</v>
      </c>
      <c r="B2805" s="2">
        <v>46082</v>
      </c>
      <c r="C2805">
        <v>2026</v>
      </c>
      <c r="D2805">
        <v>3</v>
      </c>
      <c r="E2805" t="s">
        <v>54</v>
      </c>
      <c r="F2805" t="s">
        <v>48</v>
      </c>
      <c r="G2805" t="s">
        <v>19</v>
      </c>
      <c r="H2805" s="3">
        <v>135487.8813317804</v>
      </c>
      <c r="I2805">
        <v>26</v>
      </c>
      <c r="J2805" s="3">
        <v>82990.26785119735</v>
      </c>
      <c r="K2805" s="3">
        <v>52497.613480583081</v>
      </c>
    </row>
    <row r="2806" spans="1:11" x14ac:dyDescent="0.3">
      <c r="A2806" t="s">
        <v>2882</v>
      </c>
      <c r="B2806" s="2">
        <v>46082</v>
      </c>
      <c r="C2806">
        <v>2026</v>
      </c>
      <c r="D2806">
        <v>3</v>
      </c>
      <c r="E2806" t="s">
        <v>58</v>
      </c>
      <c r="F2806" t="s">
        <v>67</v>
      </c>
      <c r="G2806" t="s">
        <v>19</v>
      </c>
      <c r="H2806" s="3">
        <v>68916.157591506271</v>
      </c>
      <c r="I2806">
        <v>13</v>
      </c>
      <c r="J2806" s="3">
        <v>41975.596837486111</v>
      </c>
      <c r="K2806" s="3">
        <v>26940.56075402016</v>
      </c>
    </row>
    <row r="2807" spans="1:11" x14ac:dyDescent="0.3">
      <c r="A2807" t="s">
        <v>2883</v>
      </c>
      <c r="B2807" s="2">
        <v>46082</v>
      </c>
      <c r="C2807">
        <v>2026</v>
      </c>
      <c r="D2807">
        <v>3</v>
      </c>
      <c r="E2807" t="s">
        <v>58</v>
      </c>
      <c r="F2807" t="s">
        <v>48</v>
      </c>
      <c r="G2807" t="s">
        <v>19</v>
      </c>
      <c r="H2807" s="3">
        <v>90444.922490173223</v>
      </c>
      <c r="I2807">
        <v>17</v>
      </c>
      <c r="J2807" s="3">
        <v>57891.175399535023</v>
      </c>
      <c r="K2807" s="3">
        <v>32553.747090638211</v>
      </c>
    </row>
    <row r="2808" spans="1:11" x14ac:dyDescent="0.3">
      <c r="A2808" t="s">
        <v>2884</v>
      </c>
      <c r="B2808" s="2">
        <v>46082</v>
      </c>
      <c r="C2808">
        <v>2026</v>
      </c>
      <c r="D2808">
        <v>3</v>
      </c>
      <c r="E2808" t="s">
        <v>62</v>
      </c>
      <c r="F2808" t="s">
        <v>67</v>
      </c>
      <c r="G2808" t="s">
        <v>19</v>
      </c>
      <c r="H2808" s="3">
        <v>54077.581058649033</v>
      </c>
      <c r="I2808">
        <v>10</v>
      </c>
      <c r="J2808" s="3">
        <v>33861.781771223898</v>
      </c>
      <c r="K2808" s="3">
        <v>20215.799287425129</v>
      </c>
    </row>
    <row r="2809" spans="1:11" x14ac:dyDescent="0.3">
      <c r="A2809" t="s">
        <v>2885</v>
      </c>
      <c r="B2809" s="2">
        <v>46082</v>
      </c>
      <c r="C2809">
        <v>2026</v>
      </c>
      <c r="D2809">
        <v>3</v>
      </c>
      <c r="E2809" t="s">
        <v>62</v>
      </c>
      <c r="F2809" t="s">
        <v>48</v>
      </c>
      <c r="G2809" t="s">
        <v>19</v>
      </c>
      <c r="H2809" s="3">
        <v>72636.542150964509</v>
      </c>
      <c r="I2809">
        <v>14</v>
      </c>
      <c r="J2809" s="3">
        <v>44275.432352702133</v>
      </c>
      <c r="K2809" s="3">
        <v>28361.10979826238</v>
      </c>
    </row>
    <row r="2810" spans="1:11" x14ac:dyDescent="0.3">
      <c r="A2810" t="s">
        <v>2886</v>
      </c>
      <c r="B2810" s="2">
        <v>46082</v>
      </c>
      <c r="C2810">
        <v>2026</v>
      </c>
      <c r="D2810">
        <v>3</v>
      </c>
      <c r="E2810" t="s">
        <v>50</v>
      </c>
      <c r="F2810" t="s">
        <v>67</v>
      </c>
      <c r="G2810" t="s">
        <v>24</v>
      </c>
      <c r="H2810" s="3">
        <v>135267.22869166391</v>
      </c>
      <c r="I2810">
        <v>22</v>
      </c>
      <c r="J2810" s="3">
        <v>91054.057038326107</v>
      </c>
      <c r="K2810" s="3">
        <v>44213.171653337748</v>
      </c>
    </row>
    <row r="2811" spans="1:11" x14ac:dyDescent="0.3">
      <c r="A2811" t="s">
        <v>2887</v>
      </c>
      <c r="B2811" s="2">
        <v>46082</v>
      </c>
      <c r="C2811">
        <v>2026</v>
      </c>
      <c r="D2811">
        <v>3</v>
      </c>
      <c r="E2811" t="s">
        <v>50</v>
      </c>
      <c r="F2811" t="s">
        <v>48</v>
      </c>
      <c r="G2811" t="s">
        <v>24</v>
      </c>
      <c r="H2811" s="3">
        <v>168698.3601414274</v>
      </c>
      <c r="I2811">
        <v>28</v>
      </c>
      <c r="J2811" s="3">
        <v>111743.1452757777</v>
      </c>
      <c r="K2811" s="3">
        <v>56955.214865649723</v>
      </c>
    </row>
    <row r="2812" spans="1:11" x14ac:dyDescent="0.3">
      <c r="A2812" t="s">
        <v>2888</v>
      </c>
      <c r="B2812" s="2">
        <v>46082</v>
      </c>
      <c r="C2812">
        <v>2026</v>
      </c>
      <c r="D2812">
        <v>3</v>
      </c>
      <c r="E2812" t="s">
        <v>54</v>
      </c>
      <c r="F2812" t="s">
        <v>67</v>
      </c>
      <c r="G2812" t="s">
        <v>24</v>
      </c>
      <c r="H2812" s="3">
        <v>115951.28877058229</v>
      </c>
      <c r="I2812">
        <v>19</v>
      </c>
      <c r="J2812" s="3">
        <v>76882.217513320313</v>
      </c>
      <c r="K2812" s="3">
        <v>39069.071257261967</v>
      </c>
    </row>
    <row r="2813" spans="1:11" x14ac:dyDescent="0.3">
      <c r="A2813" t="s">
        <v>2889</v>
      </c>
      <c r="B2813" s="2">
        <v>46082</v>
      </c>
      <c r="C2813">
        <v>2026</v>
      </c>
      <c r="D2813">
        <v>3</v>
      </c>
      <c r="E2813" t="s">
        <v>54</v>
      </c>
      <c r="F2813" t="s">
        <v>48</v>
      </c>
      <c r="G2813" t="s">
        <v>24</v>
      </c>
      <c r="H2813" s="3">
        <v>153055.79653906339</v>
      </c>
      <c r="I2813">
        <v>25</v>
      </c>
      <c r="J2813" s="3">
        <v>100390.46182090889</v>
      </c>
      <c r="K2813" s="3">
        <v>52665.334718154452</v>
      </c>
    </row>
    <row r="2814" spans="1:11" x14ac:dyDescent="0.3">
      <c r="A2814" t="s">
        <v>2890</v>
      </c>
      <c r="B2814" s="2">
        <v>46082</v>
      </c>
      <c r="C2814">
        <v>2026</v>
      </c>
      <c r="D2814">
        <v>3</v>
      </c>
      <c r="E2814" t="s">
        <v>58</v>
      </c>
      <c r="F2814" t="s">
        <v>67</v>
      </c>
      <c r="G2814" t="s">
        <v>24</v>
      </c>
      <c r="H2814" s="3">
        <v>73939.030402311168</v>
      </c>
      <c r="I2814">
        <v>12</v>
      </c>
      <c r="J2814" s="3">
        <v>48141.47629917552</v>
      </c>
      <c r="K2814" s="3">
        <v>25797.554103135652</v>
      </c>
    </row>
    <row r="2815" spans="1:11" x14ac:dyDescent="0.3">
      <c r="A2815" t="s">
        <v>2891</v>
      </c>
      <c r="B2815" s="2">
        <v>46082</v>
      </c>
      <c r="C2815">
        <v>2026</v>
      </c>
      <c r="D2815">
        <v>3</v>
      </c>
      <c r="E2815" t="s">
        <v>58</v>
      </c>
      <c r="F2815" t="s">
        <v>48</v>
      </c>
      <c r="G2815" t="s">
        <v>24</v>
      </c>
      <c r="H2815" s="3">
        <v>113177.02280329179</v>
      </c>
      <c r="I2815">
        <v>19</v>
      </c>
      <c r="J2815" s="3">
        <v>75150.97610473173</v>
      </c>
      <c r="K2815" s="3">
        <v>38026.046698560021</v>
      </c>
    </row>
    <row r="2816" spans="1:11" x14ac:dyDescent="0.3">
      <c r="A2816" t="s">
        <v>2892</v>
      </c>
      <c r="B2816" s="2">
        <v>46082</v>
      </c>
      <c r="C2816">
        <v>2026</v>
      </c>
      <c r="D2816">
        <v>3</v>
      </c>
      <c r="E2816" t="s">
        <v>62</v>
      </c>
      <c r="F2816" t="s">
        <v>67</v>
      </c>
      <c r="G2816" t="s">
        <v>24</v>
      </c>
      <c r="H2816" s="3">
        <v>53032.911928728972</v>
      </c>
      <c r="I2816">
        <v>9</v>
      </c>
      <c r="J2816" s="3">
        <v>34658.300023786571</v>
      </c>
      <c r="K2816" s="3">
        <v>18374.611904942401</v>
      </c>
    </row>
    <row r="2817" spans="1:11" x14ac:dyDescent="0.3">
      <c r="A2817" t="s">
        <v>2893</v>
      </c>
      <c r="B2817" s="2">
        <v>46082</v>
      </c>
      <c r="C2817">
        <v>2026</v>
      </c>
      <c r="D2817">
        <v>3</v>
      </c>
      <c r="E2817" t="s">
        <v>62</v>
      </c>
      <c r="F2817" t="s">
        <v>48</v>
      </c>
      <c r="G2817" t="s">
        <v>24</v>
      </c>
      <c r="H2817" s="3">
        <v>76641.278899572702</v>
      </c>
      <c r="I2817">
        <v>13</v>
      </c>
      <c r="J2817" s="3">
        <v>52237.397155513747</v>
      </c>
      <c r="K2817" s="3">
        <v>24403.881744058959</v>
      </c>
    </row>
    <row r="2818" spans="1:11" x14ac:dyDescent="0.3">
      <c r="A2818" t="s">
        <v>2894</v>
      </c>
      <c r="B2818" s="2">
        <v>46082</v>
      </c>
      <c r="C2818">
        <v>2026</v>
      </c>
      <c r="D2818">
        <v>3</v>
      </c>
      <c r="E2818" t="s">
        <v>50</v>
      </c>
      <c r="F2818" t="s">
        <v>67</v>
      </c>
      <c r="G2818" t="s">
        <v>29</v>
      </c>
      <c r="H2818" s="3">
        <v>89120.959928360302</v>
      </c>
      <c r="I2818">
        <v>21</v>
      </c>
      <c r="J2818" s="3">
        <v>55734.266865446392</v>
      </c>
      <c r="K2818" s="3">
        <v>33386.69306291391</v>
      </c>
    </row>
    <row r="2819" spans="1:11" x14ac:dyDescent="0.3">
      <c r="A2819" t="s">
        <v>2895</v>
      </c>
      <c r="B2819" s="2">
        <v>46082</v>
      </c>
      <c r="C2819">
        <v>2026</v>
      </c>
      <c r="D2819">
        <v>3</v>
      </c>
      <c r="E2819" t="s">
        <v>50</v>
      </c>
      <c r="F2819" t="s">
        <v>48</v>
      </c>
      <c r="G2819" t="s">
        <v>29</v>
      </c>
      <c r="H2819" s="3">
        <v>117482.476765403</v>
      </c>
      <c r="I2819">
        <v>27</v>
      </c>
      <c r="J2819" s="3">
        <v>77267.816837217353</v>
      </c>
      <c r="K2819" s="3">
        <v>40214.659928185691</v>
      </c>
    </row>
    <row r="2820" spans="1:11" x14ac:dyDescent="0.3">
      <c r="A2820" t="s">
        <v>2896</v>
      </c>
      <c r="B2820" s="2">
        <v>46082</v>
      </c>
      <c r="C2820">
        <v>2026</v>
      </c>
      <c r="D2820">
        <v>3</v>
      </c>
      <c r="E2820" t="s">
        <v>54</v>
      </c>
      <c r="F2820" t="s">
        <v>67</v>
      </c>
      <c r="G2820" t="s">
        <v>29</v>
      </c>
      <c r="H2820" s="3">
        <v>77937.261056036674</v>
      </c>
      <c r="I2820">
        <v>18</v>
      </c>
      <c r="J2820" s="3">
        <v>49779.900867078963</v>
      </c>
      <c r="K2820" s="3">
        <v>28157.360188957718</v>
      </c>
    </row>
    <row r="2821" spans="1:11" x14ac:dyDescent="0.3">
      <c r="A2821" t="s">
        <v>2897</v>
      </c>
      <c r="B2821" s="2">
        <v>46082</v>
      </c>
      <c r="C2821">
        <v>2026</v>
      </c>
      <c r="D2821">
        <v>3</v>
      </c>
      <c r="E2821" t="s">
        <v>54</v>
      </c>
      <c r="F2821" t="s">
        <v>48</v>
      </c>
      <c r="G2821" t="s">
        <v>29</v>
      </c>
      <c r="H2821" s="3">
        <v>103131.93792567081</v>
      </c>
      <c r="I2821">
        <v>24</v>
      </c>
      <c r="J2821" s="3">
        <v>66359.77802884487</v>
      </c>
      <c r="K2821" s="3">
        <v>36772.159896825913</v>
      </c>
    </row>
    <row r="2822" spans="1:11" x14ac:dyDescent="0.3">
      <c r="A2822" t="s">
        <v>2898</v>
      </c>
      <c r="B2822" s="2">
        <v>46082</v>
      </c>
      <c r="C2822">
        <v>2026</v>
      </c>
      <c r="D2822">
        <v>3</v>
      </c>
      <c r="E2822" t="s">
        <v>58</v>
      </c>
      <c r="F2822" t="s">
        <v>67</v>
      </c>
      <c r="G2822" t="s">
        <v>29</v>
      </c>
      <c r="H2822" s="3">
        <v>48760.719136793989</v>
      </c>
      <c r="I2822">
        <v>11</v>
      </c>
      <c r="J2822" s="3">
        <v>31674.864531320709</v>
      </c>
      <c r="K2822" s="3">
        <v>17085.85460547328</v>
      </c>
    </row>
    <row r="2823" spans="1:11" x14ac:dyDescent="0.3">
      <c r="A2823" t="s">
        <v>2899</v>
      </c>
      <c r="B2823" s="2">
        <v>46082</v>
      </c>
      <c r="C2823">
        <v>2026</v>
      </c>
      <c r="D2823">
        <v>3</v>
      </c>
      <c r="E2823" t="s">
        <v>58</v>
      </c>
      <c r="F2823" t="s">
        <v>48</v>
      </c>
      <c r="G2823" t="s">
        <v>29</v>
      </c>
      <c r="H2823" s="3">
        <v>71582.068017455109</v>
      </c>
      <c r="I2823">
        <v>17</v>
      </c>
      <c r="J2823" s="3">
        <v>45292.803939329162</v>
      </c>
      <c r="K2823" s="3">
        <v>26289.264078125951</v>
      </c>
    </row>
    <row r="2824" spans="1:11" x14ac:dyDescent="0.3">
      <c r="A2824" t="s">
        <v>2900</v>
      </c>
      <c r="B2824" s="2">
        <v>46082</v>
      </c>
      <c r="C2824">
        <v>2026</v>
      </c>
      <c r="D2824">
        <v>3</v>
      </c>
      <c r="E2824" t="s">
        <v>62</v>
      </c>
      <c r="F2824" t="s">
        <v>67</v>
      </c>
      <c r="G2824" t="s">
        <v>29</v>
      </c>
      <c r="H2824" s="3">
        <v>38048.186048638803</v>
      </c>
      <c r="I2824">
        <v>9</v>
      </c>
      <c r="J2824" s="3">
        <v>24729.652191127869</v>
      </c>
      <c r="K2824" s="3">
        <v>13318.53385751094</v>
      </c>
    </row>
    <row r="2825" spans="1:11" x14ac:dyDescent="0.3">
      <c r="A2825" t="s">
        <v>2901</v>
      </c>
      <c r="B2825" s="2">
        <v>46082</v>
      </c>
      <c r="C2825">
        <v>2026</v>
      </c>
      <c r="D2825">
        <v>3</v>
      </c>
      <c r="E2825" t="s">
        <v>62</v>
      </c>
      <c r="F2825" t="s">
        <v>48</v>
      </c>
      <c r="G2825" t="s">
        <v>29</v>
      </c>
      <c r="H2825" s="3">
        <v>48672.456185663577</v>
      </c>
      <c r="I2825">
        <v>11</v>
      </c>
      <c r="J2825" s="3">
        <v>29632.233991405519</v>
      </c>
      <c r="K2825" s="3">
        <v>19040.222194258062</v>
      </c>
    </row>
    <row r="2826" spans="1:11" x14ac:dyDescent="0.3">
      <c r="A2826" t="s">
        <v>2902</v>
      </c>
      <c r="B2826" s="2">
        <v>46082</v>
      </c>
      <c r="C2826">
        <v>2026</v>
      </c>
      <c r="D2826">
        <v>3</v>
      </c>
      <c r="E2826" t="s">
        <v>50</v>
      </c>
      <c r="F2826" t="s">
        <v>67</v>
      </c>
      <c r="G2826" t="s">
        <v>34</v>
      </c>
      <c r="H2826" s="3">
        <v>81918.181652991771</v>
      </c>
      <c r="I2826">
        <v>96</v>
      </c>
      <c r="J2826" s="3">
        <v>38811.137977112972</v>
      </c>
      <c r="K2826" s="3">
        <v>43107.043675878813</v>
      </c>
    </row>
    <row r="2827" spans="1:11" x14ac:dyDescent="0.3">
      <c r="A2827" t="s">
        <v>2903</v>
      </c>
      <c r="B2827" s="2">
        <v>46082</v>
      </c>
      <c r="C2827">
        <v>2026</v>
      </c>
      <c r="D2827">
        <v>3</v>
      </c>
      <c r="E2827" t="s">
        <v>50</v>
      </c>
      <c r="F2827" t="s">
        <v>48</v>
      </c>
      <c r="G2827" t="s">
        <v>34</v>
      </c>
      <c r="H2827" s="3">
        <v>116080.3028803335</v>
      </c>
      <c r="I2827">
        <v>137</v>
      </c>
      <c r="J2827" s="3">
        <v>54791.77154415103</v>
      </c>
      <c r="K2827" s="3">
        <v>61288.531336182466</v>
      </c>
    </row>
    <row r="2828" spans="1:11" x14ac:dyDescent="0.3">
      <c r="A2828" t="s">
        <v>2904</v>
      </c>
      <c r="B2828" s="2">
        <v>46082</v>
      </c>
      <c r="C2828">
        <v>2026</v>
      </c>
      <c r="D2828">
        <v>3</v>
      </c>
      <c r="E2828" t="s">
        <v>54</v>
      </c>
      <c r="F2828" t="s">
        <v>67</v>
      </c>
      <c r="G2828" t="s">
        <v>34</v>
      </c>
      <c r="H2828" s="3">
        <v>59941.232946456817</v>
      </c>
      <c r="I2828">
        <v>71</v>
      </c>
      <c r="J2828" s="3">
        <v>28122.61076183249</v>
      </c>
      <c r="K2828" s="3">
        <v>31818.622184624339</v>
      </c>
    </row>
    <row r="2829" spans="1:11" x14ac:dyDescent="0.3">
      <c r="A2829" t="s">
        <v>2905</v>
      </c>
      <c r="B2829" s="2">
        <v>46082</v>
      </c>
      <c r="C2829">
        <v>2026</v>
      </c>
      <c r="D2829">
        <v>3</v>
      </c>
      <c r="E2829" t="s">
        <v>54</v>
      </c>
      <c r="F2829" t="s">
        <v>48</v>
      </c>
      <c r="G2829" t="s">
        <v>34</v>
      </c>
      <c r="H2829" s="3">
        <v>88451.217440761684</v>
      </c>
      <c r="I2829">
        <v>104</v>
      </c>
      <c r="J2829" s="3">
        <v>42292.311903624053</v>
      </c>
      <c r="K2829" s="3">
        <v>46158.905537137631</v>
      </c>
    </row>
    <row r="2830" spans="1:11" x14ac:dyDescent="0.3">
      <c r="A2830" t="s">
        <v>2906</v>
      </c>
      <c r="B2830" s="2">
        <v>46082</v>
      </c>
      <c r="C2830">
        <v>2026</v>
      </c>
      <c r="D2830">
        <v>3</v>
      </c>
      <c r="E2830" t="s">
        <v>58</v>
      </c>
      <c r="F2830" t="s">
        <v>67</v>
      </c>
      <c r="G2830" t="s">
        <v>34</v>
      </c>
      <c r="H2830" s="3">
        <v>47100.635117276368</v>
      </c>
      <c r="I2830">
        <v>55</v>
      </c>
      <c r="J2830" s="3">
        <v>22765.285608113882</v>
      </c>
      <c r="K2830" s="3">
        <v>24335.34950916249</v>
      </c>
    </row>
    <row r="2831" spans="1:11" x14ac:dyDescent="0.3">
      <c r="A2831" t="s">
        <v>2907</v>
      </c>
      <c r="B2831" s="2">
        <v>46082</v>
      </c>
      <c r="C2831">
        <v>2026</v>
      </c>
      <c r="D2831">
        <v>3</v>
      </c>
      <c r="E2831" t="s">
        <v>58</v>
      </c>
      <c r="F2831" t="s">
        <v>48</v>
      </c>
      <c r="G2831" t="s">
        <v>34</v>
      </c>
      <c r="H2831" s="3">
        <v>70417.923235986906</v>
      </c>
      <c r="I2831">
        <v>83</v>
      </c>
      <c r="J2831" s="3">
        <v>34228.109124970899</v>
      </c>
      <c r="K2831" s="3">
        <v>36189.814111016007</v>
      </c>
    </row>
    <row r="2832" spans="1:11" x14ac:dyDescent="0.3">
      <c r="A2832" t="s">
        <v>2908</v>
      </c>
      <c r="B2832" s="2">
        <v>46082</v>
      </c>
      <c r="C2832">
        <v>2026</v>
      </c>
      <c r="D2832">
        <v>3</v>
      </c>
      <c r="E2832" t="s">
        <v>62</v>
      </c>
      <c r="F2832" t="s">
        <v>67</v>
      </c>
      <c r="G2832" t="s">
        <v>34</v>
      </c>
      <c r="H2832" s="3">
        <v>36183.910693540842</v>
      </c>
      <c r="I2832">
        <v>43</v>
      </c>
      <c r="J2832" s="3">
        <v>17443.582189830351</v>
      </c>
      <c r="K2832" s="3">
        <v>18740.328503710491</v>
      </c>
    </row>
    <row r="2833" spans="1:11" x14ac:dyDescent="0.3">
      <c r="A2833" t="s">
        <v>2909</v>
      </c>
      <c r="B2833" s="2">
        <v>46082</v>
      </c>
      <c r="C2833">
        <v>2026</v>
      </c>
      <c r="D2833">
        <v>3</v>
      </c>
      <c r="E2833" t="s">
        <v>62</v>
      </c>
      <c r="F2833" t="s">
        <v>48</v>
      </c>
      <c r="G2833" t="s">
        <v>34</v>
      </c>
      <c r="H2833" s="3">
        <v>46976.146950000977</v>
      </c>
      <c r="I2833">
        <v>55</v>
      </c>
      <c r="J2833" s="3">
        <v>22278.36292677699</v>
      </c>
      <c r="K2833" s="3">
        <v>24697.78402322398</v>
      </c>
    </row>
    <row r="2834" spans="1:11" x14ac:dyDescent="0.3">
      <c r="A2834" t="s">
        <v>2910</v>
      </c>
      <c r="B2834" s="2">
        <v>46082</v>
      </c>
      <c r="C2834">
        <v>2026</v>
      </c>
      <c r="D2834">
        <v>3</v>
      </c>
      <c r="E2834" t="s">
        <v>50</v>
      </c>
      <c r="F2834" t="s">
        <v>67</v>
      </c>
      <c r="G2834" t="s">
        <v>37</v>
      </c>
      <c r="H2834" s="3">
        <v>68581.582292980311</v>
      </c>
      <c r="I2834">
        <v>95</v>
      </c>
      <c r="J2834" s="3">
        <v>37970.416800001047</v>
      </c>
      <c r="K2834" s="3">
        <v>30611.16549297926</v>
      </c>
    </row>
    <row r="2835" spans="1:11" x14ac:dyDescent="0.3">
      <c r="A2835" t="s">
        <v>2911</v>
      </c>
      <c r="B2835" s="2">
        <v>46082</v>
      </c>
      <c r="C2835">
        <v>2026</v>
      </c>
      <c r="D2835">
        <v>3</v>
      </c>
      <c r="E2835" t="s">
        <v>50</v>
      </c>
      <c r="F2835" t="s">
        <v>48</v>
      </c>
      <c r="G2835" t="s">
        <v>37</v>
      </c>
      <c r="H2835" s="3">
        <v>89415.474553498978</v>
      </c>
      <c r="I2835">
        <v>124</v>
      </c>
      <c r="J2835" s="3">
        <v>49288.530341838923</v>
      </c>
      <c r="K2835" s="3">
        <v>40126.944211660062</v>
      </c>
    </row>
    <row r="2836" spans="1:11" x14ac:dyDescent="0.3">
      <c r="A2836" t="s">
        <v>2912</v>
      </c>
      <c r="B2836" s="2">
        <v>46082</v>
      </c>
      <c r="C2836">
        <v>2026</v>
      </c>
      <c r="D2836">
        <v>3</v>
      </c>
      <c r="E2836" t="s">
        <v>54</v>
      </c>
      <c r="F2836" t="s">
        <v>67</v>
      </c>
      <c r="G2836" t="s">
        <v>37</v>
      </c>
      <c r="H2836" s="3">
        <v>58578.904860613933</v>
      </c>
      <c r="I2836">
        <v>81</v>
      </c>
      <c r="J2836" s="3">
        <v>32761.245810874239</v>
      </c>
      <c r="K2836" s="3">
        <v>25817.65904973969</v>
      </c>
    </row>
    <row r="2837" spans="1:11" x14ac:dyDescent="0.3">
      <c r="A2837" t="s">
        <v>2913</v>
      </c>
      <c r="B2837" s="2">
        <v>46082</v>
      </c>
      <c r="C2837">
        <v>2026</v>
      </c>
      <c r="D2837">
        <v>3</v>
      </c>
      <c r="E2837" t="s">
        <v>54</v>
      </c>
      <c r="F2837" t="s">
        <v>48</v>
      </c>
      <c r="G2837" t="s">
        <v>37</v>
      </c>
      <c r="H2837" s="3">
        <v>67934.291076291134</v>
      </c>
      <c r="I2837">
        <v>94</v>
      </c>
      <c r="J2837" s="3">
        <v>37886.388468795682</v>
      </c>
      <c r="K2837" s="3">
        <v>30047.902607495449</v>
      </c>
    </row>
    <row r="2838" spans="1:11" x14ac:dyDescent="0.3">
      <c r="A2838" t="s">
        <v>2914</v>
      </c>
      <c r="B2838" s="2">
        <v>46082</v>
      </c>
      <c r="C2838">
        <v>2026</v>
      </c>
      <c r="D2838">
        <v>3</v>
      </c>
      <c r="E2838" t="s">
        <v>58</v>
      </c>
      <c r="F2838" t="s">
        <v>67</v>
      </c>
      <c r="G2838" t="s">
        <v>37</v>
      </c>
      <c r="H2838" s="3">
        <v>35794.124145458467</v>
      </c>
      <c r="I2838">
        <v>50</v>
      </c>
      <c r="J2838" s="3">
        <v>19697.567957781659</v>
      </c>
      <c r="K2838" s="3">
        <v>16096.556187676821</v>
      </c>
    </row>
    <row r="2839" spans="1:11" x14ac:dyDescent="0.3">
      <c r="A2839" t="s">
        <v>2915</v>
      </c>
      <c r="B2839" s="2">
        <v>46082</v>
      </c>
      <c r="C2839">
        <v>2026</v>
      </c>
      <c r="D2839">
        <v>3</v>
      </c>
      <c r="E2839" t="s">
        <v>58</v>
      </c>
      <c r="F2839" t="s">
        <v>48</v>
      </c>
      <c r="G2839" t="s">
        <v>37</v>
      </c>
      <c r="H2839" s="3">
        <v>46324.917662462649</v>
      </c>
      <c r="I2839">
        <v>64</v>
      </c>
      <c r="J2839" s="3">
        <v>25067.20951518957</v>
      </c>
      <c r="K2839" s="3">
        <v>21257.708147273079</v>
      </c>
    </row>
    <row r="2840" spans="1:11" x14ac:dyDescent="0.3">
      <c r="A2840" t="s">
        <v>2916</v>
      </c>
      <c r="B2840" s="2">
        <v>46082</v>
      </c>
      <c r="C2840">
        <v>2026</v>
      </c>
      <c r="D2840">
        <v>3</v>
      </c>
      <c r="E2840" t="s">
        <v>62</v>
      </c>
      <c r="F2840" t="s">
        <v>67</v>
      </c>
      <c r="G2840" t="s">
        <v>37</v>
      </c>
      <c r="H2840" s="3">
        <v>28058.511425234781</v>
      </c>
      <c r="I2840">
        <v>39</v>
      </c>
      <c r="J2840" s="3">
        <v>15250.80527074465</v>
      </c>
      <c r="K2840" s="3">
        <v>12807.70615449013</v>
      </c>
    </row>
    <row r="2841" spans="1:11" x14ac:dyDescent="0.3">
      <c r="A2841" t="s">
        <v>2917</v>
      </c>
      <c r="B2841" s="2">
        <v>46082</v>
      </c>
      <c r="C2841">
        <v>2026</v>
      </c>
      <c r="D2841">
        <v>3</v>
      </c>
      <c r="E2841" t="s">
        <v>62</v>
      </c>
      <c r="F2841" t="s">
        <v>48</v>
      </c>
      <c r="G2841" t="s">
        <v>37</v>
      </c>
      <c r="H2841" s="3">
        <v>36955.134458755172</v>
      </c>
      <c r="I2841">
        <v>51</v>
      </c>
      <c r="J2841" s="3">
        <v>20124.180309192121</v>
      </c>
      <c r="K2841" s="3">
        <v>16830.954149563051</v>
      </c>
    </row>
    <row r="2842" spans="1:11" x14ac:dyDescent="0.3">
      <c r="A2842" t="s">
        <v>2918</v>
      </c>
      <c r="B2842" s="2">
        <v>46082</v>
      </c>
      <c r="C2842">
        <v>2026</v>
      </c>
      <c r="D2842">
        <v>3</v>
      </c>
      <c r="E2842" t="s">
        <v>50</v>
      </c>
      <c r="F2842" t="s">
        <v>67</v>
      </c>
      <c r="G2842" t="s">
        <v>40</v>
      </c>
      <c r="H2842" s="3">
        <v>60841.310639450057</v>
      </c>
      <c r="I2842">
        <v>11</v>
      </c>
      <c r="J2842" s="3">
        <v>41742.273626627517</v>
      </c>
      <c r="K2842" s="3">
        <v>19099.03701282254</v>
      </c>
    </row>
    <row r="2843" spans="1:11" x14ac:dyDescent="0.3">
      <c r="A2843" t="s">
        <v>2919</v>
      </c>
      <c r="B2843" s="2">
        <v>46082</v>
      </c>
      <c r="C2843">
        <v>2026</v>
      </c>
      <c r="D2843">
        <v>3</v>
      </c>
      <c r="E2843" t="s">
        <v>50</v>
      </c>
      <c r="F2843" t="s">
        <v>48</v>
      </c>
      <c r="G2843" t="s">
        <v>40</v>
      </c>
      <c r="H2843" s="3">
        <v>82843.832097215491</v>
      </c>
      <c r="I2843">
        <v>15</v>
      </c>
      <c r="J2843" s="3">
        <v>57438.046698819737</v>
      </c>
      <c r="K2843" s="3">
        <v>25405.78539839575</v>
      </c>
    </row>
    <row r="2844" spans="1:11" x14ac:dyDescent="0.3">
      <c r="A2844" t="s">
        <v>2920</v>
      </c>
      <c r="B2844" s="2">
        <v>46082</v>
      </c>
      <c r="C2844">
        <v>2026</v>
      </c>
      <c r="D2844">
        <v>3</v>
      </c>
      <c r="E2844" t="s">
        <v>54</v>
      </c>
      <c r="F2844" t="s">
        <v>67</v>
      </c>
      <c r="G2844" t="s">
        <v>40</v>
      </c>
      <c r="H2844" s="3">
        <v>47654.390368400957</v>
      </c>
      <c r="I2844">
        <v>9</v>
      </c>
      <c r="J2844" s="3">
        <v>33304.817852839238</v>
      </c>
      <c r="K2844" s="3">
        <v>14349.572515561729</v>
      </c>
    </row>
    <row r="2845" spans="1:11" x14ac:dyDescent="0.3">
      <c r="A2845" t="s">
        <v>2921</v>
      </c>
      <c r="B2845" s="2">
        <v>46082</v>
      </c>
      <c r="C2845">
        <v>2026</v>
      </c>
      <c r="D2845">
        <v>3</v>
      </c>
      <c r="E2845" t="s">
        <v>54</v>
      </c>
      <c r="F2845" t="s">
        <v>48</v>
      </c>
      <c r="G2845" t="s">
        <v>40</v>
      </c>
      <c r="H2845" s="3">
        <v>63415.49279189168</v>
      </c>
      <c r="I2845">
        <v>12</v>
      </c>
      <c r="J2845" s="3">
        <v>43716.427899918337</v>
      </c>
      <c r="K2845" s="3">
        <v>19699.064891973339</v>
      </c>
    </row>
    <row r="2846" spans="1:11" x14ac:dyDescent="0.3">
      <c r="A2846" t="s">
        <v>2922</v>
      </c>
      <c r="B2846" s="2">
        <v>46082</v>
      </c>
      <c r="C2846">
        <v>2026</v>
      </c>
      <c r="D2846">
        <v>3</v>
      </c>
      <c r="E2846" t="s">
        <v>58</v>
      </c>
      <c r="F2846" t="s">
        <v>67</v>
      </c>
      <c r="G2846" t="s">
        <v>40</v>
      </c>
      <c r="H2846" s="3">
        <v>35561.625626724053</v>
      </c>
      <c r="I2846">
        <v>7</v>
      </c>
      <c r="J2846" s="3">
        <v>24544.64360442878</v>
      </c>
      <c r="K2846" s="3">
        <v>11016.982022295269</v>
      </c>
    </row>
    <row r="2847" spans="1:11" x14ac:dyDescent="0.3">
      <c r="A2847" t="s">
        <v>2923</v>
      </c>
      <c r="B2847" s="2">
        <v>46082</v>
      </c>
      <c r="C2847">
        <v>2026</v>
      </c>
      <c r="D2847">
        <v>3</v>
      </c>
      <c r="E2847" t="s">
        <v>58</v>
      </c>
      <c r="F2847" t="s">
        <v>48</v>
      </c>
      <c r="G2847" t="s">
        <v>40</v>
      </c>
      <c r="H2847" s="3">
        <v>47220.705244236189</v>
      </c>
      <c r="I2847">
        <v>9</v>
      </c>
      <c r="J2847" s="3">
        <v>32666.333066390489</v>
      </c>
      <c r="K2847" s="3">
        <v>14554.3721778457</v>
      </c>
    </row>
    <row r="2848" spans="1:11" x14ac:dyDescent="0.3">
      <c r="A2848" t="s">
        <v>2924</v>
      </c>
      <c r="B2848" s="2">
        <v>46082</v>
      </c>
      <c r="C2848">
        <v>2026</v>
      </c>
      <c r="D2848">
        <v>3</v>
      </c>
      <c r="E2848" t="s">
        <v>62</v>
      </c>
      <c r="F2848" t="s">
        <v>67</v>
      </c>
      <c r="G2848" t="s">
        <v>40</v>
      </c>
      <c r="H2848" s="3">
        <v>27114.244613908701</v>
      </c>
      <c r="I2848">
        <v>5</v>
      </c>
      <c r="J2848" s="3">
        <v>18535.093068502061</v>
      </c>
      <c r="K2848" s="3">
        <v>8579.1515454066357</v>
      </c>
    </row>
    <row r="2849" spans="1:11" x14ac:dyDescent="0.3">
      <c r="A2849" t="s">
        <v>2925</v>
      </c>
      <c r="B2849" s="2">
        <v>46082</v>
      </c>
      <c r="C2849">
        <v>2026</v>
      </c>
      <c r="D2849">
        <v>3</v>
      </c>
      <c r="E2849" t="s">
        <v>62</v>
      </c>
      <c r="F2849" t="s">
        <v>48</v>
      </c>
      <c r="G2849" t="s">
        <v>40</v>
      </c>
      <c r="H2849" s="3">
        <v>36606.868323162802</v>
      </c>
      <c r="I2849">
        <v>7</v>
      </c>
      <c r="J2849" s="3">
        <v>24838.002793449032</v>
      </c>
      <c r="K2849" s="3">
        <v>11768.86552971377</v>
      </c>
    </row>
    <row r="2850" spans="1:11" x14ac:dyDescent="0.3">
      <c r="A2850" t="s">
        <v>2926</v>
      </c>
      <c r="B2850" s="2">
        <v>46082</v>
      </c>
      <c r="C2850">
        <v>2026</v>
      </c>
      <c r="D2850">
        <v>3</v>
      </c>
      <c r="E2850" t="s">
        <v>50</v>
      </c>
      <c r="F2850" t="s">
        <v>67</v>
      </c>
      <c r="G2850" t="s">
        <v>43</v>
      </c>
      <c r="H2850" s="3">
        <v>122605.0705065826</v>
      </c>
      <c r="I2850">
        <v>35</v>
      </c>
      <c r="J2850" s="3">
        <v>70051.295863141466</v>
      </c>
      <c r="K2850" s="3">
        <v>52553.774643441138</v>
      </c>
    </row>
    <row r="2851" spans="1:11" x14ac:dyDescent="0.3">
      <c r="A2851" t="s">
        <v>2927</v>
      </c>
      <c r="B2851" s="2">
        <v>46082</v>
      </c>
      <c r="C2851">
        <v>2026</v>
      </c>
      <c r="D2851">
        <v>3</v>
      </c>
      <c r="E2851" t="s">
        <v>50</v>
      </c>
      <c r="F2851" t="s">
        <v>48</v>
      </c>
      <c r="G2851" t="s">
        <v>43</v>
      </c>
      <c r="H2851" s="3">
        <v>176930.89745584829</v>
      </c>
      <c r="I2851">
        <v>51</v>
      </c>
      <c r="J2851" s="3">
        <v>103083.03959317649</v>
      </c>
      <c r="K2851" s="3">
        <v>73847.857862671837</v>
      </c>
    </row>
    <row r="2852" spans="1:11" x14ac:dyDescent="0.3">
      <c r="A2852" t="s">
        <v>2928</v>
      </c>
      <c r="B2852" s="2">
        <v>46082</v>
      </c>
      <c r="C2852">
        <v>2026</v>
      </c>
      <c r="D2852">
        <v>3</v>
      </c>
      <c r="E2852" t="s">
        <v>54</v>
      </c>
      <c r="F2852" t="s">
        <v>67</v>
      </c>
      <c r="G2852" t="s">
        <v>43</v>
      </c>
      <c r="H2852" s="3">
        <v>114497.76091222141</v>
      </c>
      <c r="I2852">
        <v>33</v>
      </c>
      <c r="J2852" s="3">
        <v>68129.007826950925</v>
      </c>
      <c r="K2852" s="3">
        <v>46368.753085270509</v>
      </c>
    </row>
    <row r="2853" spans="1:11" x14ac:dyDescent="0.3">
      <c r="A2853" t="s">
        <v>2929</v>
      </c>
      <c r="B2853" s="2">
        <v>46082</v>
      </c>
      <c r="C2853">
        <v>2026</v>
      </c>
      <c r="D2853">
        <v>3</v>
      </c>
      <c r="E2853" t="s">
        <v>54</v>
      </c>
      <c r="F2853" t="s">
        <v>48</v>
      </c>
      <c r="G2853" t="s">
        <v>43</v>
      </c>
      <c r="H2853" s="3">
        <v>144813.867237495</v>
      </c>
      <c r="I2853">
        <v>41</v>
      </c>
      <c r="J2853" s="3">
        <v>84359.157812768157</v>
      </c>
      <c r="K2853" s="3">
        <v>60454.709424726869</v>
      </c>
    </row>
    <row r="2854" spans="1:11" x14ac:dyDescent="0.3">
      <c r="A2854" t="s">
        <v>2930</v>
      </c>
      <c r="B2854" s="2">
        <v>46082</v>
      </c>
      <c r="C2854">
        <v>2026</v>
      </c>
      <c r="D2854">
        <v>3</v>
      </c>
      <c r="E2854" t="s">
        <v>58</v>
      </c>
      <c r="F2854" t="s">
        <v>67</v>
      </c>
      <c r="G2854" t="s">
        <v>43</v>
      </c>
      <c r="H2854" s="3">
        <v>71632.07603325152</v>
      </c>
      <c r="I2854">
        <v>20</v>
      </c>
      <c r="J2854" s="3">
        <v>42082.017282449633</v>
      </c>
      <c r="K2854" s="3">
        <v>29550.058750801891</v>
      </c>
    </row>
    <row r="2855" spans="1:11" x14ac:dyDescent="0.3">
      <c r="A2855" t="s">
        <v>2931</v>
      </c>
      <c r="B2855" s="2">
        <v>46082</v>
      </c>
      <c r="C2855">
        <v>2026</v>
      </c>
      <c r="D2855">
        <v>3</v>
      </c>
      <c r="E2855" t="s">
        <v>58</v>
      </c>
      <c r="F2855" t="s">
        <v>48</v>
      </c>
      <c r="G2855" t="s">
        <v>43</v>
      </c>
      <c r="H2855" s="3">
        <v>98640.73533976289</v>
      </c>
      <c r="I2855">
        <v>28</v>
      </c>
      <c r="J2855" s="3">
        <v>58686.65075982736</v>
      </c>
      <c r="K2855" s="3">
        <v>39954.08457993553</v>
      </c>
    </row>
    <row r="2856" spans="1:11" x14ac:dyDescent="0.3">
      <c r="A2856" t="s">
        <v>2932</v>
      </c>
      <c r="B2856" s="2">
        <v>46082</v>
      </c>
      <c r="C2856">
        <v>2026</v>
      </c>
      <c r="D2856">
        <v>3</v>
      </c>
      <c r="E2856" t="s">
        <v>62</v>
      </c>
      <c r="F2856" t="s">
        <v>67</v>
      </c>
      <c r="G2856" t="s">
        <v>43</v>
      </c>
      <c r="H2856" s="3">
        <v>54567.871874471813</v>
      </c>
      <c r="I2856">
        <v>16</v>
      </c>
      <c r="J2856" s="3">
        <v>32496.789592200981</v>
      </c>
      <c r="K2856" s="3">
        <v>22071.082282270829</v>
      </c>
    </row>
    <row r="2857" spans="1:11" x14ac:dyDescent="0.3">
      <c r="A2857" t="s">
        <v>2933</v>
      </c>
      <c r="B2857" s="2">
        <v>46082</v>
      </c>
      <c r="C2857">
        <v>2026</v>
      </c>
      <c r="D2857">
        <v>3</v>
      </c>
      <c r="E2857" t="s">
        <v>62</v>
      </c>
      <c r="F2857" t="s">
        <v>48</v>
      </c>
      <c r="G2857" t="s">
        <v>43</v>
      </c>
      <c r="H2857" s="3">
        <v>70132.654176597614</v>
      </c>
      <c r="I2857">
        <v>20</v>
      </c>
      <c r="J2857" s="3">
        <v>40574.220409660433</v>
      </c>
      <c r="K2857" s="3">
        <v>29558.433766937189</v>
      </c>
    </row>
    <row r="2858" spans="1:11" x14ac:dyDescent="0.3">
      <c r="A2858" t="s">
        <v>2934</v>
      </c>
      <c r="B2858" s="2">
        <v>46113</v>
      </c>
      <c r="C2858">
        <v>2026</v>
      </c>
      <c r="D2858">
        <v>4</v>
      </c>
      <c r="E2858" t="s">
        <v>50</v>
      </c>
      <c r="F2858" t="s">
        <v>67</v>
      </c>
      <c r="G2858" t="s">
        <v>19</v>
      </c>
      <c r="H2858" s="3">
        <v>129147.1945735686</v>
      </c>
      <c r="I2858">
        <v>25</v>
      </c>
      <c r="J2858" s="3">
        <v>81508.30502840846</v>
      </c>
      <c r="K2858" s="3">
        <v>47638.889545160098</v>
      </c>
    </row>
    <row r="2859" spans="1:11" x14ac:dyDescent="0.3">
      <c r="A2859" t="s">
        <v>2935</v>
      </c>
      <c r="B2859" s="2">
        <v>46113</v>
      </c>
      <c r="C2859">
        <v>2026</v>
      </c>
      <c r="D2859">
        <v>4</v>
      </c>
      <c r="E2859" t="s">
        <v>50</v>
      </c>
      <c r="F2859" t="s">
        <v>48</v>
      </c>
      <c r="G2859" t="s">
        <v>19</v>
      </c>
      <c r="H2859" s="3">
        <v>182554.18236170369</v>
      </c>
      <c r="I2859">
        <v>35</v>
      </c>
      <c r="J2859" s="3">
        <v>115480.3486718385</v>
      </c>
      <c r="K2859" s="3">
        <v>67073.833689865278</v>
      </c>
    </row>
    <row r="2860" spans="1:11" x14ac:dyDescent="0.3">
      <c r="A2860" t="s">
        <v>2936</v>
      </c>
      <c r="B2860" s="2">
        <v>46113</v>
      </c>
      <c r="C2860">
        <v>2026</v>
      </c>
      <c r="D2860">
        <v>4</v>
      </c>
      <c r="E2860" t="s">
        <v>54</v>
      </c>
      <c r="F2860" t="s">
        <v>67</v>
      </c>
      <c r="G2860" t="s">
        <v>19</v>
      </c>
      <c r="H2860" s="3">
        <v>112217.6211758935</v>
      </c>
      <c r="I2860">
        <v>22</v>
      </c>
      <c r="J2860" s="3">
        <v>68159.959183038998</v>
      </c>
      <c r="K2860" s="3">
        <v>44057.661992854511</v>
      </c>
    </row>
    <row r="2861" spans="1:11" x14ac:dyDescent="0.3">
      <c r="A2861" t="s">
        <v>2937</v>
      </c>
      <c r="B2861" s="2">
        <v>46113</v>
      </c>
      <c r="C2861">
        <v>2026</v>
      </c>
      <c r="D2861">
        <v>4</v>
      </c>
      <c r="E2861" t="s">
        <v>54</v>
      </c>
      <c r="F2861" t="s">
        <v>48</v>
      </c>
      <c r="G2861" t="s">
        <v>19</v>
      </c>
      <c r="H2861" s="3">
        <v>148937.40569772371</v>
      </c>
      <c r="I2861">
        <v>29</v>
      </c>
      <c r="J2861" s="3">
        <v>90971.858125508123</v>
      </c>
      <c r="K2861" s="3">
        <v>57965.547572215553</v>
      </c>
    </row>
    <row r="2862" spans="1:11" x14ac:dyDescent="0.3">
      <c r="A2862" t="s">
        <v>2938</v>
      </c>
      <c r="B2862" s="2">
        <v>46113</v>
      </c>
      <c r="C2862">
        <v>2026</v>
      </c>
      <c r="D2862">
        <v>4</v>
      </c>
      <c r="E2862" t="s">
        <v>58</v>
      </c>
      <c r="F2862" t="s">
        <v>67</v>
      </c>
      <c r="G2862" t="s">
        <v>19</v>
      </c>
      <c r="H2862" s="3">
        <v>72148.866276797533</v>
      </c>
      <c r="I2862">
        <v>14</v>
      </c>
      <c r="J2862" s="3">
        <v>45691.341093042363</v>
      </c>
      <c r="K2862" s="3">
        <v>26457.52518375517</v>
      </c>
    </row>
    <row r="2863" spans="1:11" x14ac:dyDescent="0.3">
      <c r="A2863" t="s">
        <v>2939</v>
      </c>
      <c r="B2863" s="2">
        <v>46113</v>
      </c>
      <c r="C2863">
        <v>2026</v>
      </c>
      <c r="D2863">
        <v>4</v>
      </c>
      <c r="E2863" t="s">
        <v>58</v>
      </c>
      <c r="F2863" t="s">
        <v>48</v>
      </c>
      <c r="G2863" t="s">
        <v>19</v>
      </c>
      <c r="H2863" s="3">
        <v>105162.2082747453</v>
      </c>
      <c r="I2863">
        <v>20</v>
      </c>
      <c r="J2863" s="3">
        <v>65028.220333378587</v>
      </c>
      <c r="K2863" s="3">
        <v>40133.987941366751</v>
      </c>
    </row>
    <row r="2864" spans="1:11" x14ac:dyDescent="0.3">
      <c r="A2864" t="s">
        <v>2940</v>
      </c>
      <c r="B2864" s="2">
        <v>46113</v>
      </c>
      <c r="C2864">
        <v>2026</v>
      </c>
      <c r="D2864">
        <v>4</v>
      </c>
      <c r="E2864" t="s">
        <v>62</v>
      </c>
      <c r="F2864" t="s">
        <v>67</v>
      </c>
      <c r="G2864" t="s">
        <v>19</v>
      </c>
      <c r="H2864" s="3">
        <v>59508.061403292741</v>
      </c>
      <c r="I2864">
        <v>11</v>
      </c>
      <c r="J2864" s="3">
        <v>35420.821414472673</v>
      </c>
      <c r="K2864" s="3">
        <v>24087.239988820071</v>
      </c>
    </row>
    <row r="2865" spans="1:11" x14ac:dyDescent="0.3">
      <c r="A2865" t="s">
        <v>2941</v>
      </c>
      <c r="B2865" s="2">
        <v>46113</v>
      </c>
      <c r="C2865">
        <v>2026</v>
      </c>
      <c r="D2865">
        <v>4</v>
      </c>
      <c r="E2865" t="s">
        <v>62</v>
      </c>
      <c r="F2865" t="s">
        <v>48</v>
      </c>
      <c r="G2865" t="s">
        <v>19</v>
      </c>
      <c r="H2865" s="3">
        <v>78620.325357015055</v>
      </c>
      <c r="I2865">
        <v>15</v>
      </c>
      <c r="J2865" s="3">
        <v>47516.517206620527</v>
      </c>
      <c r="K2865" s="3">
        <v>31103.808150394529</v>
      </c>
    </row>
    <row r="2866" spans="1:11" x14ac:dyDescent="0.3">
      <c r="A2866" t="s">
        <v>2942</v>
      </c>
      <c r="B2866" s="2">
        <v>46113</v>
      </c>
      <c r="C2866">
        <v>2026</v>
      </c>
      <c r="D2866">
        <v>4</v>
      </c>
      <c r="E2866" t="s">
        <v>50</v>
      </c>
      <c r="F2866" t="s">
        <v>67</v>
      </c>
      <c r="G2866" t="s">
        <v>24</v>
      </c>
      <c r="H2866" s="3">
        <v>144975.6439109132</v>
      </c>
      <c r="I2866">
        <v>24</v>
      </c>
      <c r="J2866" s="3">
        <v>95254.433020066033</v>
      </c>
      <c r="K2866" s="3">
        <v>49721.2108908472</v>
      </c>
    </row>
    <row r="2867" spans="1:11" x14ac:dyDescent="0.3">
      <c r="A2867" t="s">
        <v>2943</v>
      </c>
      <c r="B2867" s="2">
        <v>46113</v>
      </c>
      <c r="C2867">
        <v>2026</v>
      </c>
      <c r="D2867">
        <v>4</v>
      </c>
      <c r="E2867" t="s">
        <v>50</v>
      </c>
      <c r="F2867" t="s">
        <v>48</v>
      </c>
      <c r="G2867" t="s">
        <v>24</v>
      </c>
      <c r="H2867" s="3">
        <v>186357.13252118829</v>
      </c>
      <c r="I2867">
        <v>31</v>
      </c>
      <c r="J2867" s="3">
        <v>120420.8208994985</v>
      </c>
      <c r="K2867" s="3">
        <v>65936.311621689762</v>
      </c>
    </row>
    <row r="2868" spans="1:11" x14ac:dyDescent="0.3">
      <c r="A2868" t="s">
        <v>2944</v>
      </c>
      <c r="B2868" s="2">
        <v>46113</v>
      </c>
      <c r="C2868">
        <v>2026</v>
      </c>
      <c r="D2868">
        <v>4</v>
      </c>
      <c r="E2868" t="s">
        <v>54</v>
      </c>
      <c r="F2868" t="s">
        <v>67</v>
      </c>
      <c r="G2868" t="s">
        <v>24</v>
      </c>
      <c r="H2868" s="3">
        <v>107832.39315973139</v>
      </c>
      <c r="I2868">
        <v>18</v>
      </c>
      <c r="J2868" s="3">
        <v>70639.76344744979</v>
      </c>
      <c r="K2868" s="3">
        <v>37192.629712281647</v>
      </c>
    </row>
    <row r="2869" spans="1:11" x14ac:dyDescent="0.3">
      <c r="A2869" t="s">
        <v>2945</v>
      </c>
      <c r="B2869" s="2">
        <v>46113</v>
      </c>
      <c r="C2869">
        <v>2026</v>
      </c>
      <c r="D2869">
        <v>4</v>
      </c>
      <c r="E2869" t="s">
        <v>54</v>
      </c>
      <c r="F2869" t="s">
        <v>48</v>
      </c>
      <c r="G2869" t="s">
        <v>24</v>
      </c>
      <c r="H2869" s="3">
        <v>148183.60272036269</v>
      </c>
      <c r="I2869">
        <v>24</v>
      </c>
      <c r="J2869" s="3">
        <v>97858.208776817934</v>
      </c>
      <c r="K2869" s="3">
        <v>50325.393943544717</v>
      </c>
    </row>
    <row r="2870" spans="1:11" x14ac:dyDescent="0.3">
      <c r="A2870" t="s">
        <v>2946</v>
      </c>
      <c r="B2870" s="2">
        <v>46113</v>
      </c>
      <c r="C2870">
        <v>2026</v>
      </c>
      <c r="D2870">
        <v>4</v>
      </c>
      <c r="E2870" t="s">
        <v>58</v>
      </c>
      <c r="F2870" t="s">
        <v>67</v>
      </c>
      <c r="G2870" t="s">
        <v>24</v>
      </c>
      <c r="H2870" s="3">
        <v>72925.197269146549</v>
      </c>
      <c r="I2870">
        <v>12</v>
      </c>
      <c r="J2870" s="3">
        <v>49397.456438465291</v>
      </c>
      <c r="K2870" s="3">
        <v>23527.740830681261</v>
      </c>
    </row>
    <row r="2871" spans="1:11" x14ac:dyDescent="0.3">
      <c r="A2871" t="s">
        <v>2947</v>
      </c>
      <c r="B2871" s="2">
        <v>46113</v>
      </c>
      <c r="C2871">
        <v>2026</v>
      </c>
      <c r="D2871">
        <v>4</v>
      </c>
      <c r="E2871" t="s">
        <v>58</v>
      </c>
      <c r="F2871" t="s">
        <v>48</v>
      </c>
      <c r="G2871" t="s">
        <v>24</v>
      </c>
      <c r="H2871" s="3">
        <v>106219.420041554</v>
      </c>
      <c r="I2871">
        <v>17</v>
      </c>
      <c r="J2871" s="3">
        <v>69738.297290643124</v>
      </c>
      <c r="K2871" s="3">
        <v>36481.122750910887</v>
      </c>
    </row>
    <row r="2872" spans="1:11" x14ac:dyDescent="0.3">
      <c r="A2872" t="s">
        <v>2948</v>
      </c>
      <c r="B2872" s="2">
        <v>46113</v>
      </c>
      <c r="C2872">
        <v>2026</v>
      </c>
      <c r="D2872">
        <v>4</v>
      </c>
      <c r="E2872" t="s">
        <v>62</v>
      </c>
      <c r="F2872" t="s">
        <v>67</v>
      </c>
      <c r="G2872" t="s">
        <v>24</v>
      </c>
      <c r="H2872" s="3">
        <v>51155.437628461972</v>
      </c>
      <c r="I2872">
        <v>8</v>
      </c>
      <c r="J2872" s="3">
        <v>34414.401014952608</v>
      </c>
      <c r="K2872" s="3">
        <v>16741.036613509361</v>
      </c>
    </row>
    <row r="2873" spans="1:11" x14ac:dyDescent="0.3">
      <c r="A2873" t="s">
        <v>2949</v>
      </c>
      <c r="B2873" s="2">
        <v>46113</v>
      </c>
      <c r="C2873">
        <v>2026</v>
      </c>
      <c r="D2873">
        <v>4</v>
      </c>
      <c r="E2873" t="s">
        <v>62</v>
      </c>
      <c r="F2873" t="s">
        <v>48</v>
      </c>
      <c r="G2873" t="s">
        <v>24</v>
      </c>
      <c r="H2873" s="3">
        <v>80785.645389769707</v>
      </c>
      <c r="I2873">
        <v>13</v>
      </c>
      <c r="J2873" s="3">
        <v>54689.754901400309</v>
      </c>
      <c r="K2873" s="3">
        <v>26095.890488369401</v>
      </c>
    </row>
    <row r="2874" spans="1:11" x14ac:dyDescent="0.3">
      <c r="A2874" t="s">
        <v>2950</v>
      </c>
      <c r="B2874" s="2">
        <v>46113</v>
      </c>
      <c r="C2874">
        <v>2026</v>
      </c>
      <c r="D2874">
        <v>4</v>
      </c>
      <c r="E2874" t="s">
        <v>50</v>
      </c>
      <c r="F2874" t="s">
        <v>67</v>
      </c>
      <c r="G2874" t="s">
        <v>29</v>
      </c>
      <c r="H2874" s="3">
        <v>94701.589788935016</v>
      </c>
      <c r="I2874">
        <v>22</v>
      </c>
      <c r="J2874" s="3">
        <v>62173.795261315907</v>
      </c>
      <c r="K2874" s="3">
        <v>32527.794527619099</v>
      </c>
    </row>
    <row r="2875" spans="1:11" x14ac:dyDescent="0.3">
      <c r="A2875" t="s">
        <v>2951</v>
      </c>
      <c r="B2875" s="2">
        <v>46113</v>
      </c>
      <c r="C2875">
        <v>2026</v>
      </c>
      <c r="D2875">
        <v>4</v>
      </c>
      <c r="E2875" t="s">
        <v>50</v>
      </c>
      <c r="F2875" t="s">
        <v>48</v>
      </c>
      <c r="G2875" t="s">
        <v>29</v>
      </c>
      <c r="H2875" s="3">
        <v>119288.4952919413</v>
      </c>
      <c r="I2875">
        <v>28</v>
      </c>
      <c r="J2875" s="3">
        <v>76735.947735964844</v>
      </c>
      <c r="K2875" s="3">
        <v>42552.547555976453</v>
      </c>
    </row>
    <row r="2876" spans="1:11" x14ac:dyDescent="0.3">
      <c r="A2876" t="s">
        <v>2952</v>
      </c>
      <c r="B2876" s="2">
        <v>46113</v>
      </c>
      <c r="C2876">
        <v>2026</v>
      </c>
      <c r="D2876">
        <v>4</v>
      </c>
      <c r="E2876" t="s">
        <v>54</v>
      </c>
      <c r="F2876" t="s">
        <v>67</v>
      </c>
      <c r="G2876" t="s">
        <v>29</v>
      </c>
      <c r="H2876" s="3">
        <v>75128.405634534109</v>
      </c>
      <c r="I2876">
        <v>17</v>
      </c>
      <c r="J2876" s="3">
        <v>46382.993620449961</v>
      </c>
      <c r="K2876" s="3">
        <v>28745.412014084151</v>
      </c>
    </row>
    <row r="2877" spans="1:11" x14ac:dyDescent="0.3">
      <c r="A2877" t="s">
        <v>2953</v>
      </c>
      <c r="B2877" s="2">
        <v>46113</v>
      </c>
      <c r="C2877">
        <v>2026</v>
      </c>
      <c r="D2877">
        <v>4</v>
      </c>
      <c r="E2877" t="s">
        <v>54</v>
      </c>
      <c r="F2877" t="s">
        <v>48</v>
      </c>
      <c r="G2877" t="s">
        <v>29</v>
      </c>
      <c r="H2877" s="3">
        <v>105111.2788538765</v>
      </c>
      <c r="I2877">
        <v>24</v>
      </c>
      <c r="J2877" s="3">
        <v>67829.222969997601</v>
      </c>
      <c r="K2877" s="3">
        <v>37282.055883878871</v>
      </c>
    </row>
    <row r="2878" spans="1:11" x14ac:dyDescent="0.3">
      <c r="A2878" t="s">
        <v>2954</v>
      </c>
      <c r="B2878" s="2">
        <v>46113</v>
      </c>
      <c r="C2878">
        <v>2026</v>
      </c>
      <c r="D2878">
        <v>4</v>
      </c>
      <c r="E2878" t="s">
        <v>58</v>
      </c>
      <c r="F2878" t="s">
        <v>67</v>
      </c>
      <c r="G2878" t="s">
        <v>29</v>
      </c>
      <c r="H2878" s="3">
        <v>51125.780254126897</v>
      </c>
      <c r="I2878">
        <v>12</v>
      </c>
      <c r="J2878" s="3">
        <v>33337.974384139146</v>
      </c>
      <c r="K2878" s="3">
        <v>17787.805869987751</v>
      </c>
    </row>
    <row r="2879" spans="1:11" x14ac:dyDescent="0.3">
      <c r="A2879" t="s">
        <v>2955</v>
      </c>
      <c r="B2879" s="2">
        <v>46113</v>
      </c>
      <c r="C2879">
        <v>2026</v>
      </c>
      <c r="D2879">
        <v>4</v>
      </c>
      <c r="E2879" t="s">
        <v>58</v>
      </c>
      <c r="F2879" t="s">
        <v>48</v>
      </c>
      <c r="G2879" t="s">
        <v>29</v>
      </c>
      <c r="H2879" s="3">
        <v>71867.512597591092</v>
      </c>
      <c r="I2879">
        <v>17</v>
      </c>
      <c r="J2879" s="3">
        <v>45928.091491590887</v>
      </c>
      <c r="K2879" s="3">
        <v>25939.421106000209</v>
      </c>
    </row>
    <row r="2880" spans="1:11" x14ac:dyDescent="0.3">
      <c r="A2880" t="s">
        <v>2956</v>
      </c>
      <c r="B2880" s="2">
        <v>46113</v>
      </c>
      <c r="C2880">
        <v>2026</v>
      </c>
      <c r="D2880">
        <v>4</v>
      </c>
      <c r="E2880" t="s">
        <v>62</v>
      </c>
      <c r="F2880" t="s">
        <v>67</v>
      </c>
      <c r="G2880" t="s">
        <v>29</v>
      </c>
      <c r="H2880" s="3">
        <v>37885.5653902306</v>
      </c>
      <c r="I2880">
        <v>9</v>
      </c>
      <c r="J2880" s="3">
        <v>25008.171022990839</v>
      </c>
      <c r="K2880" s="3">
        <v>12877.39436723976</v>
      </c>
    </row>
    <row r="2881" spans="1:11" x14ac:dyDescent="0.3">
      <c r="A2881" t="s">
        <v>2957</v>
      </c>
      <c r="B2881" s="2">
        <v>46113</v>
      </c>
      <c r="C2881">
        <v>2026</v>
      </c>
      <c r="D2881">
        <v>4</v>
      </c>
      <c r="E2881" t="s">
        <v>62</v>
      </c>
      <c r="F2881" t="s">
        <v>48</v>
      </c>
      <c r="G2881" t="s">
        <v>29</v>
      </c>
      <c r="H2881" s="3">
        <v>61114.333338409138</v>
      </c>
      <c r="I2881">
        <v>14</v>
      </c>
      <c r="J2881" s="3">
        <v>39718.528080927019</v>
      </c>
      <c r="K2881" s="3">
        <v>21395.805257482119</v>
      </c>
    </row>
    <row r="2882" spans="1:11" x14ac:dyDescent="0.3">
      <c r="A2882" t="s">
        <v>2958</v>
      </c>
      <c r="B2882" s="2">
        <v>46113</v>
      </c>
      <c r="C2882">
        <v>2026</v>
      </c>
      <c r="D2882">
        <v>4</v>
      </c>
      <c r="E2882" t="s">
        <v>50</v>
      </c>
      <c r="F2882" t="s">
        <v>67</v>
      </c>
      <c r="G2882" t="s">
        <v>34</v>
      </c>
      <c r="H2882" s="3">
        <v>85801.453019701788</v>
      </c>
      <c r="I2882">
        <v>101</v>
      </c>
      <c r="J2882" s="3">
        <v>41605.972457375989</v>
      </c>
      <c r="K2882" s="3">
        <v>44195.4805623258</v>
      </c>
    </row>
    <row r="2883" spans="1:11" x14ac:dyDescent="0.3">
      <c r="A2883" t="s">
        <v>2959</v>
      </c>
      <c r="B2883" s="2">
        <v>46113</v>
      </c>
      <c r="C2883">
        <v>2026</v>
      </c>
      <c r="D2883">
        <v>4</v>
      </c>
      <c r="E2883" t="s">
        <v>50</v>
      </c>
      <c r="F2883" t="s">
        <v>48</v>
      </c>
      <c r="G2883" t="s">
        <v>34</v>
      </c>
      <c r="H2883" s="3">
        <v>127690.9326643501</v>
      </c>
      <c r="I2883">
        <v>150</v>
      </c>
      <c r="J2883" s="3">
        <v>62490.196827222659</v>
      </c>
      <c r="K2883" s="3">
        <v>65200.735837127409</v>
      </c>
    </row>
    <row r="2884" spans="1:11" x14ac:dyDescent="0.3">
      <c r="A2884" t="s">
        <v>2960</v>
      </c>
      <c r="B2884" s="2">
        <v>46113</v>
      </c>
      <c r="C2884">
        <v>2026</v>
      </c>
      <c r="D2884">
        <v>4</v>
      </c>
      <c r="E2884" t="s">
        <v>54</v>
      </c>
      <c r="F2884" t="s">
        <v>67</v>
      </c>
      <c r="G2884" t="s">
        <v>34</v>
      </c>
      <c r="H2884" s="3">
        <v>72813.47441219342</v>
      </c>
      <c r="I2884">
        <v>86</v>
      </c>
      <c r="J2884" s="3">
        <v>35160.19349789562</v>
      </c>
      <c r="K2884" s="3">
        <v>37653.2809142978</v>
      </c>
    </row>
    <row r="2885" spans="1:11" x14ac:dyDescent="0.3">
      <c r="A2885" t="s">
        <v>2961</v>
      </c>
      <c r="B2885" s="2">
        <v>46113</v>
      </c>
      <c r="C2885">
        <v>2026</v>
      </c>
      <c r="D2885">
        <v>4</v>
      </c>
      <c r="E2885" t="s">
        <v>54</v>
      </c>
      <c r="F2885" t="s">
        <v>48</v>
      </c>
      <c r="G2885" t="s">
        <v>34</v>
      </c>
      <c r="H2885" s="3">
        <v>90758.682858707281</v>
      </c>
      <c r="I2885">
        <v>107</v>
      </c>
      <c r="J2885" s="3">
        <v>41609.41790542112</v>
      </c>
      <c r="K2885" s="3">
        <v>49149.264953286161</v>
      </c>
    </row>
    <row r="2886" spans="1:11" x14ac:dyDescent="0.3">
      <c r="A2886" t="s">
        <v>2962</v>
      </c>
      <c r="B2886" s="2">
        <v>46113</v>
      </c>
      <c r="C2886">
        <v>2026</v>
      </c>
      <c r="D2886">
        <v>4</v>
      </c>
      <c r="E2886" t="s">
        <v>58</v>
      </c>
      <c r="F2886" t="s">
        <v>67</v>
      </c>
      <c r="G2886" t="s">
        <v>34</v>
      </c>
      <c r="H2886" s="3">
        <v>45642.366419222133</v>
      </c>
      <c r="I2886">
        <v>54</v>
      </c>
      <c r="J2886" s="3">
        <v>21711.50041282273</v>
      </c>
      <c r="K2886" s="3">
        <v>23930.866006399399</v>
      </c>
    </row>
    <row r="2887" spans="1:11" x14ac:dyDescent="0.3">
      <c r="A2887" t="s">
        <v>2963</v>
      </c>
      <c r="B2887" s="2">
        <v>46113</v>
      </c>
      <c r="C2887">
        <v>2026</v>
      </c>
      <c r="D2887">
        <v>4</v>
      </c>
      <c r="E2887" t="s">
        <v>58</v>
      </c>
      <c r="F2887" t="s">
        <v>48</v>
      </c>
      <c r="G2887" t="s">
        <v>34</v>
      </c>
      <c r="H2887" s="3">
        <v>67698.571307442719</v>
      </c>
      <c r="I2887">
        <v>80</v>
      </c>
      <c r="J2887" s="3">
        <v>33195.556549687702</v>
      </c>
      <c r="K2887" s="3">
        <v>34503.014757755023</v>
      </c>
    </row>
    <row r="2888" spans="1:11" x14ac:dyDescent="0.3">
      <c r="A2888" t="s">
        <v>2964</v>
      </c>
      <c r="B2888" s="2">
        <v>46113</v>
      </c>
      <c r="C2888">
        <v>2026</v>
      </c>
      <c r="D2888">
        <v>4</v>
      </c>
      <c r="E2888" t="s">
        <v>62</v>
      </c>
      <c r="F2888" t="s">
        <v>67</v>
      </c>
      <c r="G2888" t="s">
        <v>34</v>
      </c>
      <c r="H2888" s="3">
        <v>38858.362464824277</v>
      </c>
      <c r="I2888">
        <v>46</v>
      </c>
      <c r="J2888" s="3">
        <v>18380.876293688842</v>
      </c>
      <c r="K2888" s="3">
        <v>20477.48617113545</v>
      </c>
    </row>
    <row r="2889" spans="1:11" x14ac:dyDescent="0.3">
      <c r="A2889" t="s">
        <v>2965</v>
      </c>
      <c r="B2889" s="2">
        <v>46113</v>
      </c>
      <c r="C2889">
        <v>2026</v>
      </c>
      <c r="D2889">
        <v>4</v>
      </c>
      <c r="E2889" t="s">
        <v>62</v>
      </c>
      <c r="F2889" t="s">
        <v>48</v>
      </c>
      <c r="G2889" t="s">
        <v>34</v>
      </c>
      <c r="H2889" s="3">
        <v>52556.238307636682</v>
      </c>
      <c r="I2889">
        <v>62</v>
      </c>
      <c r="J2889" s="3">
        <v>25125.51867422822</v>
      </c>
      <c r="K2889" s="3">
        <v>27430.719633408451</v>
      </c>
    </row>
    <row r="2890" spans="1:11" x14ac:dyDescent="0.3">
      <c r="A2890" t="s">
        <v>2966</v>
      </c>
      <c r="B2890" s="2">
        <v>46113</v>
      </c>
      <c r="C2890">
        <v>2026</v>
      </c>
      <c r="D2890">
        <v>4</v>
      </c>
      <c r="E2890" t="s">
        <v>50</v>
      </c>
      <c r="F2890" t="s">
        <v>67</v>
      </c>
      <c r="G2890" t="s">
        <v>37</v>
      </c>
      <c r="H2890" s="3">
        <v>67836.23280805684</v>
      </c>
      <c r="I2890">
        <v>94</v>
      </c>
      <c r="J2890" s="3">
        <v>36608.238226012487</v>
      </c>
      <c r="K2890" s="3">
        <v>31227.99458204435</v>
      </c>
    </row>
    <row r="2891" spans="1:11" x14ac:dyDescent="0.3">
      <c r="A2891" t="s">
        <v>2967</v>
      </c>
      <c r="B2891" s="2">
        <v>46113</v>
      </c>
      <c r="C2891">
        <v>2026</v>
      </c>
      <c r="D2891">
        <v>4</v>
      </c>
      <c r="E2891" t="s">
        <v>50</v>
      </c>
      <c r="F2891" t="s">
        <v>48</v>
      </c>
      <c r="G2891" t="s">
        <v>37</v>
      </c>
      <c r="H2891" s="3">
        <v>99820.549881642277</v>
      </c>
      <c r="I2891">
        <v>139</v>
      </c>
      <c r="J2891" s="3">
        <v>56664.216565456598</v>
      </c>
      <c r="K2891" s="3">
        <v>43156.333316185679</v>
      </c>
    </row>
    <row r="2892" spans="1:11" x14ac:dyDescent="0.3">
      <c r="A2892" t="s">
        <v>2968</v>
      </c>
      <c r="B2892" s="2">
        <v>46113</v>
      </c>
      <c r="C2892">
        <v>2026</v>
      </c>
      <c r="D2892">
        <v>4</v>
      </c>
      <c r="E2892" t="s">
        <v>54</v>
      </c>
      <c r="F2892" t="s">
        <v>67</v>
      </c>
      <c r="G2892" t="s">
        <v>37</v>
      </c>
      <c r="H2892" s="3">
        <v>60682.317636711647</v>
      </c>
      <c r="I2892">
        <v>84</v>
      </c>
      <c r="J2892" s="3">
        <v>34385.439608298679</v>
      </c>
      <c r="K2892" s="3">
        <v>26296.878028412979</v>
      </c>
    </row>
    <row r="2893" spans="1:11" x14ac:dyDescent="0.3">
      <c r="A2893" t="s">
        <v>2969</v>
      </c>
      <c r="B2893" s="2">
        <v>46113</v>
      </c>
      <c r="C2893">
        <v>2026</v>
      </c>
      <c r="D2893">
        <v>4</v>
      </c>
      <c r="E2893" t="s">
        <v>54</v>
      </c>
      <c r="F2893" t="s">
        <v>48</v>
      </c>
      <c r="G2893" t="s">
        <v>37</v>
      </c>
      <c r="H2893" s="3">
        <v>78522.671946790055</v>
      </c>
      <c r="I2893">
        <v>109</v>
      </c>
      <c r="J2893" s="3">
        <v>42500.372472493167</v>
      </c>
      <c r="K2893" s="3">
        <v>36022.299474296888</v>
      </c>
    </row>
    <row r="2894" spans="1:11" x14ac:dyDescent="0.3">
      <c r="A2894" t="s">
        <v>2970</v>
      </c>
      <c r="B2894" s="2">
        <v>46113</v>
      </c>
      <c r="C2894">
        <v>2026</v>
      </c>
      <c r="D2894">
        <v>4</v>
      </c>
      <c r="E2894" t="s">
        <v>58</v>
      </c>
      <c r="F2894" t="s">
        <v>67</v>
      </c>
      <c r="G2894" t="s">
        <v>37</v>
      </c>
      <c r="H2894" s="3">
        <v>40059.312331861373</v>
      </c>
      <c r="I2894">
        <v>56</v>
      </c>
      <c r="J2894" s="3">
        <v>22091.038282897862</v>
      </c>
      <c r="K2894" s="3">
        <v>17968.274048963511</v>
      </c>
    </row>
    <row r="2895" spans="1:11" x14ac:dyDescent="0.3">
      <c r="A2895" t="s">
        <v>2971</v>
      </c>
      <c r="B2895" s="2">
        <v>46113</v>
      </c>
      <c r="C2895">
        <v>2026</v>
      </c>
      <c r="D2895">
        <v>4</v>
      </c>
      <c r="E2895" t="s">
        <v>58</v>
      </c>
      <c r="F2895" t="s">
        <v>48</v>
      </c>
      <c r="G2895" t="s">
        <v>37</v>
      </c>
      <c r="H2895" s="3">
        <v>54103.748722880242</v>
      </c>
      <c r="I2895">
        <v>75</v>
      </c>
      <c r="J2895" s="3">
        <v>29392.570735804478</v>
      </c>
      <c r="K2895" s="3">
        <v>24711.17798707576</v>
      </c>
    </row>
    <row r="2896" spans="1:11" x14ac:dyDescent="0.3">
      <c r="A2896" t="s">
        <v>2972</v>
      </c>
      <c r="B2896" s="2">
        <v>46113</v>
      </c>
      <c r="C2896">
        <v>2026</v>
      </c>
      <c r="D2896">
        <v>4</v>
      </c>
      <c r="E2896" t="s">
        <v>62</v>
      </c>
      <c r="F2896" t="s">
        <v>67</v>
      </c>
      <c r="G2896" t="s">
        <v>37</v>
      </c>
      <c r="H2896" s="3">
        <v>30913.76395944431</v>
      </c>
      <c r="I2896">
        <v>43</v>
      </c>
      <c r="J2896" s="3">
        <v>17190.771686543871</v>
      </c>
      <c r="K2896" s="3">
        <v>13722.992272900439</v>
      </c>
    </row>
    <row r="2897" spans="1:11" x14ac:dyDescent="0.3">
      <c r="A2897" t="s">
        <v>2973</v>
      </c>
      <c r="B2897" s="2">
        <v>46113</v>
      </c>
      <c r="C2897">
        <v>2026</v>
      </c>
      <c r="D2897">
        <v>4</v>
      </c>
      <c r="E2897" t="s">
        <v>62</v>
      </c>
      <c r="F2897" t="s">
        <v>48</v>
      </c>
      <c r="G2897" t="s">
        <v>37</v>
      </c>
      <c r="H2897" s="3">
        <v>42691.260511146851</v>
      </c>
      <c r="I2897">
        <v>59</v>
      </c>
      <c r="J2897" s="3">
        <v>23695.60751011466</v>
      </c>
      <c r="K2897" s="3">
        <v>18995.653001032191</v>
      </c>
    </row>
    <row r="2898" spans="1:11" x14ac:dyDescent="0.3">
      <c r="A2898" t="s">
        <v>2974</v>
      </c>
      <c r="B2898" s="2">
        <v>46113</v>
      </c>
      <c r="C2898">
        <v>2026</v>
      </c>
      <c r="D2898">
        <v>4</v>
      </c>
      <c r="E2898" t="s">
        <v>50</v>
      </c>
      <c r="F2898" t="s">
        <v>67</v>
      </c>
      <c r="G2898" t="s">
        <v>40</v>
      </c>
      <c r="H2898" s="3">
        <v>68217.829866510088</v>
      </c>
      <c r="I2898">
        <v>13</v>
      </c>
      <c r="J2898" s="3">
        <v>47758.032691810229</v>
      </c>
      <c r="K2898" s="3">
        <v>20459.797174699859</v>
      </c>
    </row>
    <row r="2899" spans="1:11" x14ac:dyDescent="0.3">
      <c r="A2899" t="s">
        <v>2975</v>
      </c>
      <c r="B2899" s="2">
        <v>46113</v>
      </c>
      <c r="C2899">
        <v>2026</v>
      </c>
      <c r="D2899">
        <v>4</v>
      </c>
      <c r="E2899" t="s">
        <v>50</v>
      </c>
      <c r="F2899" t="s">
        <v>48</v>
      </c>
      <c r="G2899" t="s">
        <v>40</v>
      </c>
      <c r="H2899" s="3">
        <v>82943.780595173215</v>
      </c>
      <c r="I2899">
        <v>15</v>
      </c>
      <c r="J2899" s="3">
        <v>57573.138301274499</v>
      </c>
      <c r="K2899" s="3">
        <v>25370.64229389872</v>
      </c>
    </row>
    <row r="2900" spans="1:11" x14ac:dyDescent="0.3">
      <c r="A2900" t="s">
        <v>2976</v>
      </c>
      <c r="B2900" s="2">
        <v>46113</v>
      </c>
      <c r="C2900">
        <v>2026</v>
      </c>
      <c r="D2900">
        <v>4</v>
      </c>
      <c r="E2900" t="s">
        <v>54</v>
      </c>
      <c r="F2900" t="s">
        <v>67</v>
      </c>
      <c r="G2900" t="s">
        <v>40</v>
      </c>
      <c r="H2900" s="3">
        <v>47935.705963520028</v>
      </c>
      <c r="I2900">
        <v>9</v>
      </c>
      <c r="J2900" s="3">
        <v>34823.264863236996</v>
      </c>
      <c r="K2900" s="3">
        <v>13112.44110028302</v>
      </c>
    </row>
    <row r="2901" spans="1:11" x14ac:dyDescent="0.3">
      <c r="A2901" t="s">
        <v>2977</v>
      </c>
      <c r="B2901" s="2">
        <v>46113</v>
      </c>
      <c r="C2901">
        <v>2026</v>
      </c>
      <c r="D2901">
        <v>4</v>
      </c>
      <c r="E2901" t="s">
        <v>54</v>
      </c>
      <c r="F2901" t="s">
        <v>48</v>
      </c>
      <c r="G2901" t="s">
        <v>40</v>
      </c>
      <c r="H2901" s="3">
        <v>67689.578541418159</v>
      </c>
      <c r="I2901">
        <v>13</v>
      </c>
      <c r="J2901" s="3">
        <v>45841.628991364072</v>
      </c>
      <c r="K2901" s="3">
        <v>21847.949550054091</v>
      </c>
    </row>
    <row r="2902" spans="1:11" x14ac:dyDescent="0.3">
      <c r="A2902" t="s">
        <v>2978</v>
      </c>
      <c r="B2902" s="2">
        <v>46113</v>
      </c>
      <c r="C2902">
        <v>2026</v>
      </c>
      <c r="D2902">
        <v>4</v>
      </c>
      <c r="E2902" t="s">
        <v>58</v>
      </c>
      <c r="F2902" t="s">
        <v>67</v>
      </c>
      <c r="G2902" t="s">
        <v>40</v>
      </c>
      <c r="H2902" s="3">
        <v>35163.075870885623</v>
      </c>
      <c r="I2902">
        <v>7</v>
      </c>
      <c r="J2902" s="3">
        <v>23515.458412741009</v>
      </c>
      <c r="K2902" s="3">
        <v>11647.61745814461</v>
      </c>
    </row>
    <row r="2903" spans="1:11" x14ac:dyDescent="0.3">
      <c r="A2903" t="s">
        <v>2979</v>
      </c>
      <c r="B2903" s="2">
        <v>46113</v>
      </c>
      <c r="C2903">
        <v>2026</v>
      </c>
      <c r="D2903">
        <v>4</v>
      </c>
      <c r="E2903" t="s">
        <v>58</v>
      </c>
      <c r="F2903" t="s">
        <v>48</v>
      </c>
      <c r="G2903" t="s">
        <v>40</v>
      </c>
      <c r="H2903" s="3">
        <v>48720.022837294353</v>
      </c>
      <c r="I2903">
        <v>9</v>
      </c>
      <c r="J2903" s="3">
        <v>33378.955822376367</v>
      </c>
      <c r="K2903" s="3">
        <v>15341.06701491798</v>
      </c>
    </row>
    <row r="2904" spans="1:11" x14ac:dyDescent="0.3">
      <c r="A2904" t="s">
        <v>2980</v>
      </c>
      <c r="B2904" s="2">
        <v>46113</v>
      </c>
      <c r="C2904">
        <v>2026</v>
      </c>
      <c r="D2904">
        <v>4</v>
      </c>
      <c r="E2904" t="s">
        <v>62</v>
      </c>
      <c r="F2904" t="s">
        <v>67</v>
      </c>
      <c r="G2904" t="s">
        <v>40</v>
      </c>
      <c r="H2904" s="3">
        <v>26155.77652811072</v>
      </c>
      <c r="I2904">
        <v>5</v>
      </c>
      <c r="J2904" s="3">
        <v>17538.11737704153</v>
      </c>
      <c r="K2904" s="3">
        <v>8617.6591510691906</v>
      </c>
    </row>
    <row r="2905" spans="1:11" x14ac:dyDescent="0.3">
      <c r="A2905" t="s">
        <v>2981</v>
      </c>
      <c r="B2905" s="2">
        <v>46113</v>
      </c>
      <c r="C2905">
        <v>2026</v>
      </c>
      <c r="D2905">
        <v>4</v>
      </c>
      <c r="E2905" t="s">
        <v>62</v>
      </c>
      <c r="F2905" t="s">
        <v>48</v>
      </c>
      <c r="G2905" t="s">
        <v>40</v>
      </c>
      <c r="H2905" s="3">
        <v>33720.844112502753</v>
      </c>
      <c r="I2905">
        <v>6</v>
      </c>
      <c r="J2905" s="3">
        <v>22642.320010247651</v>
      </c>
      <c r="K2905" s="3">
        <v>11078.5241022551</v>
      </c>
    </row>
    <row r="2906" spans="1:11" x14ac:dyDescent="0.3">
      <c r="A2906" t="s">
        <v>2982</v>
      </c>
      <c r="B2906" s="2">
        <v>46113</v>
      </c>
      <c r="C2906">
        <v>2026</v>
      </c>
      <c r="D2906">
        <v>4</v>
      </c>
      <c r="E2906" t="s">
        <v>50</v>
      </c>
      <c r="F2906" t="s">
        <v>67</v>
      </c>
      <c r="G2906" t="s">
        <v>43</v>
      </c>
      <c r="H2906" s="3">
        <v>140168.8715325387</v>
      </c>
      <c r="I2906">
        <v>40</v>
      </c>
      <c r="J2906" s="3">
        <v>81209.083802939305</v>
      </c>
      <c r="K2906" s="3">
        <v>58959.787729599397</v>
      </c>
    </row>
    <row r="2907" spans="1:11" x14ac:dyDescent="0.3">
      <c r="A2907" t="s">
        <v>2983</v>
      </c>
      <c r="B2907" s="2">
        <v>46113</v>
      </c>
      <c r="C2907">
        <v>2026</v>
      </c>
      <c r="D2907">
        <v>4</v>
      </c>
      <c r="E2907" t="s">
        <v>50</v>
      </c>
      <c r="F2907" t="s">
        <v>48</v>
      </c>
      <c r="G2907" t="s">
        <v>43</v>
      </c>
      <c r="H2907" s="3">
        <v>204701.77308762129</v>
      </c>
      <c r="I2907">
        <v>58</v>
      </c>
      <c r="J2907" s="3">
        <v>118769.2693845413</v>
      </c>
      <c r="K2907" s="3">
        <v>85932.503703080001</v>
      </c>
    </row>
    <row r="2908" spans="1:11" x14ac:dyDescent="0.3">
      <c r="A2908" t="s">
        <v>2984</v>
      </c>
      <c r="B2908" s="2">
        <v>46113</v>
      </c>
      <c r="C2908">
        <v>2026</v>
      </c>
      <c r="D2908">
        <v>4</v>
      </c>
      <c r="E2908" t="s">
        <v>54</v>
      </c>
      <c r="F2908" t="s">
        <v>67</v>
      </c>
      <c r="G2908" t="s">
        <v>43</v>
      </c>
      <c r="H2908" s="3">
        <v>110612.96162871461</v>
      </c>
      <c r="I2908">
        <v>32</v>
      </c>
      <c r="J2908" s="3">
        <v>64140.248262132583</v>
      </c>
      <c r="K2908" s="3">
        <v>46472.713366582037</v>
      </c>
    </row>
    <row r="2909" spans="1:11" x14ac:dyDescent="0.3">
      <c r="A2909" t="s">
        <v>2985</v>
      </c>
      <c r="B2909" s="2">
        <v>46113</v>
      </c>
      <c r="C2909">
        <v>2026</v>
      </c>
      <c r="D2909">
        <v>4</v>
      </c>
      <c r="E2909" t="s">
        <v>54</v>
      </c>
      <c r="F2909" t="s">
        <v>48</v>
      </c>
      <c r="G2909" t="s">
        <v>43</v>
      </c>
      <c r="H2909" s="3">
        <v>150346.8978748403</v>
      </c>
      <c r="I2909">
        <v>43</v>
      </c>
      <c r="J2909" s="3">
        <v>89532.10168155405</v>
      </c>
      <c r="K2909" s="3">
        <v>60814.796193286224</v>
      </c>
    </row>
    <row r="2910" spans="1:11" x14ac:dyDescent="0.3">
      <c r="A2910" t="s">
        <v>2986</v>
      </c>
      <c r="B2910" s="2">
        <v>46113</v>
      </c>
      <c r="C2910">
        <v>2026</v>
      </c>
      <c r="D2910">
        <v>4</v>
      </c>
      <c r="E2910" t="s">
        <v>58</v>
      </c>
      <c r="F2910" t="s">
        <v>67</v>
      </c>
      <c r="G2910" t="s">
        <v>43</v>
      </c>
      <c r="H2910" s="3">
        <v>84417.687396648776</v>
      </c>
      <c r="I2910">
        <v>24</v>
      </c>
      <c r="J2910" s="3">
        <v>49352.629052647913</v>
      </c>
      <c r="K2910" s="3">
        <v>35065.05834400087</v>
      </c>
    </row>
    <row r="2911" spans="1:11" x14ac:dyDescent="0.3">
      <c r="A2911" t="s">
        <v>2987</v>
      </c>
      <c r="B2911" s="2">
        <v>46113</v>
      </c>
      <c r="C2911">
        <v>2026</v>
      </c>
      <c r="D2911">
        <v>4</v>
      </c>
      <c r="E2911" t="s">
        <v>58</v>
      </c>
      <c r="F2911" t="s">
        <v>48</v>
      </c>
      <c r="G2911" t="s">
        <v>43</v>
      </c>
      <c r="H2911" s="3">
        <v>113222.79277702481</v>
      </c>
      <c r="I2911">
        <v>32</v>
      </c>
      <c r="J2911" s="3">
        <v>66585.594735595267</v>
      </c>
      <c r="K2911" s="3">
        <v>46637.198041429569</v>
      </c>
    </row>
    <row r="2912" spans="1:11" x14ac:dyDescent="0.3">
      <c r="A2912" t="s">
        <v>2988</v>
      </c>
      <c r="B2912" s="2">
        <v>46113</v>
      </c>
      <c r="C2912">
        <v>2026</v>
      </c>
      <c r="D2912">
        <v>4</v>
      </c>
      <c r="E2912" t="s">
        <v>62</v>
      </c>
      <c r="F2912" t="s">
        <v>67</v>
      </c>
      <c r="G2912" t="s">
        <v>43</v>
      </c>
      <c r="H2912" s="3">
        <v>58674.474509002961</v>
      </c>
      <c r="I2912">
        <v>17</v>
      </c>
      <c r="J2912" s="3">
        <v>35175.156897279638</v>
      </c>
      <c r="K2912" s="3">
        <v>23499.31761172332</v>
      </c>
    </row>
    <row r="2913" spans="1:11" x14ac:dyDescent="0.3">
      <c r="A2913" t="s">
        <v>2989</v>
      </c>
      <c r="B2913" s="2">
        <v>46113</v>
      </c>
      <c r="C2913">
        <v>2026</v>
      </c>
      <c r="D2913">
        <v>4</v>
      </c>
      <c r="E2913" t="s">
        <v>62</v>
      </c>
      <c r="F2913" t="s">
        <v>48</v>
      </c>
      <c r="G2913" t="s">
        <v>43</v>
      </c>
      <c r="H2913" s="3">
        <v>84029.928826885487</v>
      </c>
      <c r="I2913">
        <v>24</v>
      </c>
      <c r="J2913" s="3">
        <v>48893.793438830413</v>
      </c>
      <c r="K2913" s="3">
        <v>35136.135388055067</v>
      </c>
    </row>
    <row r="2914" spans="1:11" x14ac:dyDescent="0.3">
      <c r="A2914" t="s">
        <v>2990</v>
      </c>
      <c r="B2914" s="2">
        <v>46143</v>
      </c>
      <c r="C2914">
        <v>2026</v>
      </c>
      <c r="D2914">
        <v>5</v>
      </c>
      <c r="E2914" t="s">
        <v>50</v>
      </c>
      <c r="F2914" t="s">
        <v>67</v>
      </c>
      <c r="G2914" t="s">
        <v>19</v>
      </c>
      <c r="H2914" s="3">
        <v>124482.4506970907</v>
      </c>
      <c r="I2914">
        <v>24</v>
      </c>
      <c r="J2914" s="3">
        <v>76811.605880990523</v>
      </c>
      <c r="K2914" s="3">
        <v>47670.844816100223</v>
      </c>
    </row>
    <row r="2915" spans="1:11" x14ac:dyDescent="0.3">
      <c r="A2915" t="s">
        <v>2991</v>
      </c>
      <c r="B2915" s="2">
        <v>46143</v>
      </c>
      <c r="C2915">
        <v>2026</v>
      </c>
      <c r="D2915">
        <v>5</v>
      </c>
      <c r="E2915" t="s">
        <v>50</v>
      </c>
      <c r="F2915" t="s">
        <v>48</v>
      </c>
      <c r="G2915" t="s">
        <v>19</v>
      </c>
      <c r="H2915" s="3">
        <v>189222.29260357819</v>
      </c>
      <c r="I2915">
        <v>36</v>
      </c>
      <c r="J2915" s="3">
        <v>118090.2043793389</v>
      </c>
      <c r="K2915" s="3">
        <v>71132.088224239211</v>
      </c>
    </row>
    <row r="2916" spans="1:11" x14ac:dyDescent="0.3">
      <c r="A2916" t="s">
        <v>2992</v>
      </c>
      <c r="B2916" s="2">
        <v>46143</v>
      </c>
      <c r="C2916">
        <v>2026</v>
      </c>
      <c r="D2916">
        <v>5</v>
      </c>
      <c r="E2916" t="s">
        <v>54</v>
      </c>
      <c r="F2916" t="s">
        <v>67</v>
      </c>
      <c r="G2916" t="s">
        <v>19</v>
      </c>
      <c r="H2916" s="3">
        <v>110796.3549117557</v>
      </c>
      <c r="I2916">
        <v>21</v>
      </c>
      <c r="J2916" s="3">
        <v>66293.016077318622</v>
      </c>
      <c r="K2916" s="3">
        <v>44503.33883443712</v>
      </c>
    </row>
    <row r="2917" spans="1:11" x14ac:dyDescent="0.3">
      <c r="A2917" t="s">
        <v>2993</v>
      </c>
      <c r="B2917" s="2">
        <v>46143</v>
      </c>
      <c r="C2917">
        <v>2026</v>
      </c>
      <c r="D2917">
        <v>5</v>
      </c>
      <c r="E2917" t="s">
        <v>54</v>
      </c>
      <c r="F2917" t="s">
        <v>48</v>
      </c>
      <c r="G2917" t="s">
        <v>19</v>
      </c>
      <c r="H2917" s="3">
        <v>147704.56375966541</v>
      </c>
      <c r="I2917">
        <v>28</v>
      </c>
      <c r="J2917" s="3">
        <v>87645.591996660063</v>
      </c>
      <c r="K2917" s="3">
        <v>60058.97176300532</v>
      </c>
    </row>
    <row r="2918" spans="1:11" x14ac:dyDescent="0.3">
      <c r="A2918" t="s">
        <v>2994</v>
      </c>
      <c r="B2918" s="2">
        <v>46143</v>
      </c>
      <c r="C2918">
        <v>2026</v>
      </c>
      <c r="D2918">
        <v>5</v>
      </c>
      <c r="E2918" t="s">
        <v>58</v>
      </c>
      <c r="F2918" t="s">
        <v>67</v>
      </c>
      <c r="G2918" t="s">
        <v>19</v>
      </c>
      <c r="H2918" s="3">
        <v>70837.432376859797</v>
      </c>
      <c r="I2918">
        <v>14</v>
      </c>
      <c r="J2918" s="3">
        <v>44192.829655317633</v>
      </c>
      <c r="K2918" s="3">
        <v>26644.60272154216</v>
      </c>
    </row>
    <row r="2919" spans="1:11" x14ac:dyDescent="0.3">
      <c r="A2919" t="s">
        <v>2995</v>
      </c>
      <c r="B2919" s="2">
        <v>46143</v>
      </c>
      <c r="C2919">
        <v>2026</v>
      </c>
      <c r="D2919">
        <v>5</v>
      </c>
      <c r="E2919" t="s">
        <v>58</v>
      </c>
      <c r="F2919" t="s">
        <v>48</v>
      </c>
      <c r="G2919" t="s">
        <v>19</v>
      </c>
      <c r="H2919" s="3">
        <v>106314.5716253459</v>
      </c>
      <c r="I2919">
        <v>20</v>
      </c>
      <c r="J2919" s="3">
        <v>66498.794895902218</v>
      </c>
      <c r="K2919" s="3">
        <v>39815.776729443663</v>
      </c>
    </row>
    <row r="2920" spans="1:11" x14ac:dyDescent="0.3">
      <c r="A2920" t="s">
        <v>2996</v>
      </c>
      <c r="B2920" s="2">
        <v>46143</v>
      </c>
      <c r="C2920">
        <v>2026</v>
      </c>
      <c r="D2920">
        <v>5</v>
      </c>
      <c r="E2920" t="s">
        <v>62</v>
      </c>
      <c r="F2920" t="s">
        <v>67</v>
      </c>
      <c r="G2920" t="s">
        <v>19</v>
      </c>
      <c r="H2920" s="3">
        <v>50384.467465365757</v>
      </c>
      <c r="I2920">
        <v>10</v>
      </c>
      <c r="J2920" s="3">
        <v>32399.061524166969</v>
      </c>
      <c r="K2920" s="3">
        <v>17985.405941198791</v>
      </c>
    </row>
    <row r="2921" spans="1:11" x14ac:dyDescent="0.3">
      <c r="A2921" t="s">
        <v>2997</v>
      </c>
      <c r="B2921" s="2">
        <v>46143</v>
      </c>
      <c r="C2921">
        <v>2026</v>
      </c>
      <c r="D2921">
        <v>5</v>
      </c>
      <c r="E2921" t="s">
        <v>62</v>
      </c>
      <c r="F2921" t="s">
        <v>48</v>
      </c>
      <c r="G2921" t="s">
        <v>19</v>
      </c>
      <c r="H2921" s="3">
        <v>70220.207279006703</v>
      </c>
      <c r="I2921">
        <v>14</v>
      </c>
      <c r="J2921" s="3">
        <v>43660.420750260942</v>
      </c>
      <c r="K2921" s="3">
        <v>26559.786528745772</v>
      </c>
    </row>
    <row r="2922" spans="1:11" x14ac:dyDescent="0.3">
      <c r="A2922" t="s">
        <v>2998</v>
      </c>
      <c r="B2922" s="2">
        <v>46143</v>
      </c>
      <c r="C2922">
        <v>2026</v>
      </c>
      <c r="D2922">
        <v>5</v>
      </c>
      <c r="E2922" t="s">
        <v>50</v>
      </c>
      <c r="F2922" t="s">
        <v>67</v>
      </c>
      <c r="G2922" t="s">
        <v>24</v>
      </c>
      <c r="H2922" s="3">
        <v>145657.00577512471</v>
      </c>
      <c r="I2922">
        <v>24</v>
      </c>
      <c r="J2922" s="3">
        <v>97552.105704423753</v>
      </c>
      <c r="K2922" s="3">
        <v>48104.900070700984</v>
      </c>
    </row>
    <row r="2923" spans="1:11" x14ac:dyDescent="0.3">
      <c r="A2923" t="s">
        <v>2999</v>
      </c>
      <c r="B2923" s="2">
        <v>46143</v>
      </c>
      <c r="C2923">
        <v>2026</v>
      </c>
      <c r="D2923">
        <v>5</v>
      </c>
      <c r="E2923" t="s">
        <v>50</v>
      </c>
      <c r="F2923" t="s">
        <v>48</v>
      </c>
      <c r="G2923" t="s">
        <v>24</v>
      </c>
      <c r="H2923" s="3">
        <v>192615.14490170311</v>
      </c>
      <c r="I2923">
        <v>32</v>
      </c>
      <c r="J2923" s="3">
        <v>126678.7018552887</v>
      </c>
      <c r="K2923" s="3">
        <v>65936.44304641441</v>
      </c>
    </row>
    <row r="2924" spans="1:11" x14ac:dyDescent="0.3">
      <c r="A2924" t="s">
        <v>3000</v>
      </c>
      <c r="B2924" s="2">
        <v>46143</v>
      </c>
      <c r="C2924">
        <v>2026</v>
      </c>
      <c r="D2924">
        <v>5</v>
      </c>
      <c r="E2924" t="s">
        <v>54</v>
      </c>
      <c r="F2924" t="s">
        <v>67</v>
      </c>
      <c r="G2924" t="s">
        <v>24</v>
      </c>
      <c r="H2924" s="3">
        <v>102850.54585481989</v>
      </c>
      <c r="I2924">
        <v>17</v>
      </c>
      <c r="J2924" s="3">
        <v>68244.531650138437</v>
      </c>
      <c r="K2924" s="3">
        <v>34606.014204681502</v>
      </c>
    </row>
    <row r="2925" spans="1:11" x14ac:dyDescent="0.3">
      <c r="A2925" t="s">
        <v>3001</v>
      </c>
      <c r="B2925" s="2">
        <v>46143</v>
      </c>
      <c r="C2925">
        <v>2026</v>
      </c>
      <c r="D2925">
        <v>5</v>
      </c>
      <c r="E2925" t="s">
        <v>54</v>
      </c>
      <c r="F2925" t="s">
        <v>48</v>
      </c>
      <c r="G2925" t="s">
        <v>24</v>
      </c>
      <c r="H2925" s="3">
        <v>151349.68064700739</v>
      </c>
      <c r="I2925">
        <v>25</v>
      </c>
      <c r="J2925" s="3">
        <v>102888.5740588222</v>
      </c>
      <c r="K2925" s="3">
        <v>48461.106588185212</v>
      </c>
    </row>
    <row r="2926" spans="1:11" x14ac:dyDescent="0.3">
      <c r="A2926" t="s">
        <v>3002</v>
      </c>
      <c r="B2926" s="2">
        <v>46143</v>
      </c>
      <c r="C2926">
        <v>2026</v>
      </c>
      <c r="D2926">
        <v>5</v>
      </c>
      <c r="E2926" t="s">
        <v>58</v>
      </c>
      <c r="F2926" t="s">
        <v>67</v>
      </c>
      <c r="G2926" t="s">
        <v>24</v>
      </c>
      <c r="H2926" s="3">
        <v>74789.394485532161</v>
      </c>
      <c r="I2926">
        <v>12</v>
      </c>
      <c r="J2926" s="3">
        <v>47473.836975751503</v>
      </c>
      <c r="K2926" s="3">
        <v>27315.557509780661</v>
      </c>
    </row>
    <row r="2927" spans="1:11" x14ac:dyDescent="0.3">
      <c r="A2927" t="s">
        <v>3003</v>
      </c>
      <c r="B2927" s="2">
        <v>46143</v>
      </c>
      <c r="C2927">
        <v>2026</v>
      </c>
      <c r="D2927">
        <v>5</v>
      </c>
      <c r="E2927" t="s">
        <v>58</v>
      </c>
      <c r="F2927" t="s">
        <v>48</v>
      </c>
      <c r="G2927" t="s">
        <v>24</v>
      </c>
      <c r="H2927" s="3">
        <v>109634.6967214437</v>
      </c>
      <c r="I2927">
        <v>18</v>
      </c>
      <c r="J2927" s="3">
        <v>72897.618548493061</v>
      </c>
      <c r="K2927" s="3">
        <v>36737.078172950663</v>
      </c>
    </row>
    <row r="2928" spans="1:11" x14ac:dyDescent="0.3">
      <c r="A2928" t="s">
        <v>3004</v>
      </c>
      <c r="B2928" s="2">
        <v>46143</v>
      </c>
      <c r="C2928">
        <v>2026</v>
      </c>
      <c r="D2928">
        <v>5</v>
      </c>
      <c r="E2928" t="s">
        <v>62</v>
      </c>
      <c r="F2928" t="s">
        <v>67</v>
      </c>
      <c r="G2928" t="s">
        <v>24</v>
      </c>
      <c r="H2928" s="3">
        <v>58272.422376077433</v>
      </c>
      <c r="I2928">
        <v>10</v>
      </c>
      <c r="J2928" s="3">
        <v>39938.215014246169</v>
      </c>
      <c r="K2928" s="3">
        <v>18334.207361831261</v>
      </c>
    </row>
    <row r="2929" spans="1:11" x14ac:dyDescent="0.3">
      <c r="A2929" t="s">
        <v>3005</v>
      </c>
      <c r="B2929" s="2">
        <v>46143</v>
      </c>
      <c r="C2929">
        <v>2026</v>
      </c>
      <c r="D2929">
        <v>5</v>
      </c>
      <c r="E2929" t="s">
        <v>62</v>
      </c>
      <c r="F2929" t="s">
        <v>48</v>
      </c>
      <c r="G2929" t="s">
        <v>24</v>
      </c>
      <c r="H2929" s="3">
        <v>81895.06477119989</v>
      </c>
      <c r="I2929">
        <v>13</v>
      </c>
      <c r="J2929" s="3">
        <v>54325.137611512073</v>
      </c>
      <c r="K2929" s="3">
        <v>27569.927159687821</v>
      </c>
    </row>
    <row r="2930" spans="1:11" x14ac:dyDescent="0.3">
      <c r="A2930" t="s">
        <v>3006</v>
      </c>
      <c r="B2930" s="2">
        <v>46143</v>
      </c>
      <c r="C2930">
        <v>2026</v>
      </c>
      <c r="D2930">
        <v>5</v>
      </c>
      <c r="E2930" t="s">
        <v>50</v>
      </c>
      <c r="F2930" t="s">
        <v>67</v>
      </c>
      <c r="G2930" t="s">
        <v>29</v>
      </c>
      <c r="H2930" s="3">
        <v>95676.07550934868</v>
      </c>
      <c r="I2930">
        <v>22</v>
      </c>
      <c r="J2930" s="3">
        <v>63051.930682687933</v>
      </c>
      <c r="K2930" s="3">
        <v>32624.144826660751</v>
      </c>
    </row>
    <row r="2931" spans="1:11" x14ac:dyDescent="0.3">
      <c r="A2931" t="s">
        <v>3007</v>
      </c>
      <c r="B2931" s="2">
        <v>46143</v>
      </c>
      <c r="C2931">
        <v>2026</v>
      </c>
      <c r="D2931">
        <v>5</v>
      </c>
      <c r="E2931" t="s">
        <v>50</v>
      </c>
      <c r="F2931" t="s">
        <v>48</v>
      </c>
      <c r="G2931" t="s">
        <v>29</v>
      </c>
      <c r="H2931" s="3">
        <v>133244.14131578739</v>
      </c>
      <c r="I2931">
        <v>31</v>
      </c>
      <c r="J2931" s="3">
        <v>84310.427090903191</v>
      </c>
      <c r="K2931" s="3">
        <v>48933.714224884257</v>
      </c>
    </row>
    <row r="2932" spans="1:11" x14ac:dyDescent="0.3">
      <c r="A2932" t="s">
        <v>3008</v>
      </c>
      <c r="B2932" s="2">
        <v>46143</v>
      </c>
      <c r="C2932">
        <v>2026</v>
      </c>
      <c r="D2932">
        <v>5</v>
      </c>
      <c r="E2932" t="s">
        <v>54</v>
      </c>
      <c r="F2932" t="s">
        <v>67</v>
      </c>
      <c r="G2932" t="s">
        <v>29</v>
      </c>
      <c r="H2932" s="3">
        <v>73373.956990755934</v>
      </c>
      <c r="I2932">
        <v>17</v>
      </c>
      <c r="J2932" s="3">
        <v>46932.243753282688</v>
      </c>
      <c r="K2932" s="3">
        <v>26441.71323747325</v>
      </c>
    </row>
    <row r="2933" spans="1:11" x14ac:dyDescent="0.3">
      <c r="A2933" t="s">
        <v>3009</v>
      </c>
      <c r="B2933" s="2">
        <v>46143</v>
      </c>
      <c r="C2933">
        <v>2026</v>
      </c>
      <c r="D2933">
        <v>5</v>
      </c>
      <c r="E2933" t="s">
        <v>54</v>
      </c>
      <c r="F2933" t="s">
        <v>48</v>
      </c>
      <c r="G2933" t="s">
        <v>29</v>
      </c>
      <c r="H2933" s="3">
        <v>103479.1772706772</v>
      </c>
      <c r="I2933">
        <v>24</v>
      </c>
      <c r="J2933" s="3">
        <v>66266.637584552125</v>
      </c>
      <c r="K2933" s="3">
        <v>37212.539686125092</v>
      </c>
    </row>
    <row r="2934" spans="1:11" x14ac:dyDescent="0.3">
      <c r="A2934" t="s">
        <v>3010</v>
      </c>
      <c r="B2934" s="2">
        <v>46143</v>
      </c>
      <c r="C2934">
        <v>2026</v>
      </c>
      <c r="D2934">
        <v>5</v>
      </c>
      <c r="E2934" t="s">
        <v>58</v>
      </c>
      <c r="F2934" t="s">
        <v>67</v>
      </c>
      <c r="G2934" t="s">
        <v>29</v>
      </c>
      <c r="H2934" s="3">
        <v>53102.992413134147</v>
      </c>
      <c r="I2934">
        <v>12</v>
      </c>
      <c r="J2934" s="3">
        <v>32629.311623940441</v>
      </c>
      <c r="K2934" s="3">
        <v>20473.68078919371</v>
      </c>
    </row>
    <row r="2935" spans="1:11" x14ac:dyDescent="0.3">
      <c r="A2935" t="s">
        <v>3011</v>
      </c>
      <c r="B2935" s="2">
        <v>46143</v>
      </c>
      <c r="C2935">
        <v>2026</v>
      </c>
      <c r="D2935">
        <v>5</v>
      </c>
      <c r="E2935" t="s">
        <v>58</v>
      </c>
      <c r="F2935" t="s">
        <v>48</v>
      </c>
      <c r="G2935" t="s">
        <v>29</v>
      </c>
      <c r="H2935" s="3">
        <v>72985.256398167112</v>
      </c>
      <c r="I2935">
        <v>17</v>
      </c>
      <c r="J2935" s="3">
        <v>45728.371679391807</v>
      </c>
      <c r="K2935" s="3">
        <v>27256.884718775309</v>
      </c>
    </row>
    <row r="2936" spans="1:11" x14ac:dyDescent="0.3">
      <c r="A2936" t="s">
        <v>3012</v>
      </c>
      <c r="B2936" s="2">
        <v>46143</v>
      </c>
      <c r="C2936">
        <v>2026</v>
      </c>
      <c r="D2936">
        <v>5</v>
      </c>
      <c r="E2936" t="s">
        <v>62</v>
      </c>
      <c r="F2936" t="s">
        <v>67</v>
      </c>
      <c r="G2936" t="s">
        <v>29</v>
      </c>
      <c r="H2936" s="3">
        <v>38091.234639964983</v>
      </c>
      <c r="I2936">
        <v>9</v>
      </c>
      <c r="J2936" s="3">
        <v>23897.069293832421</v>
      </c>
      <c r="K2936" s="3">
        <v>14194.16534613256</v>
      </c>
    </row>
    <row r="2937" spans="1:11" x14ac:dyDescent="0.3">
      <c r="A2937" t="s">
        <v>3013</v>
      </c>
      <c r="B2937" s="2">
        <v>46143</v>
      </c>
      <c r="C2937">
        <v>2026</v>
      </c>
      <c r="D2937">
        <v>5</v>
      </c>
      <c r="E2937" t="s">
        <v>62</v>
      </c>
      <c r="F2937" t="s">
        <v>48</v>
      </c>
      <c r="G2937" t="s">
        <v>29</v>
      </c>
      <c r="H2937" s="3">
        <v>53141.862115304742</v>
      </c>
      <c r="I2937">
        <v>12</v>
      </c>
      <c r="J2937" s="3">
        <v>34514.055881175853</v>
      </c>
      <c r="K2937" s="3">
        <v>18627.80623412889</v>
      </c>
    </row>
    <row r="2938" spans="1:11" x14ac:dyDescent="0.3">
      <c r="A2938" t="s">
        <v>3014</v>
      </c>
      <c r="B2938" s="2">
        <v>46143</v>
      </c>
      <c r="C2938">
        <v>2026</v>
      </c>
      <c r="D2938">
        <v>5</v>
      </c>
      <c r="E2938" t="s">
        <v>50</v>
      </c>
      <c r="F2938" t="s">
        <v>67</v>
      </c>
      <c r="G2938" t="s">
        <v>34</v>
      </c>
      <c r="H2938" s="3">
        <v>78580.001154380268</v>
      </c>
      <c r="I2938">
        <v>92</v>
      </c>
      <c r="J2938" s="3">
        <v>38310.532517427047</v>
      </c>
      <c r="K2938" s="3">
        <v>40269.468636953221</v>
      </c>
    </row>
    <row r="2939" spans="1:11" x14ac:dyDescent="0.3">
      <c r="A2939" t="s">
        <v>3015</v>
      </c>
      <c r="B2939" s="2">
        <v>46143</v>
      </c>
      <c r="C2939">
        <v>2026</v>
      </c>
      <c r="D2939">
        <v>5</v>
      </c>
      <c r="E2939" t="s">
        <v>50</v>
      </c>
      <c r="F2939" t="s">
        <v>48</v>
      </c>
      <c r="G2939" t="s">
        <v>34</v>
      </c>
      <c r="H2939" s="3">
        <v>105503.0614831969</v>
      </c>
      <c r="I2939">
        <v>124</v>
      </c>
      <c r="J2939" s="3">
        <v>50936.843781347947</v>
      </c>
      <c r="K2939" s="3">
        <v>54566.217701848989</v>
      </c>
    </row>
    <row r="2940" spans="1:11" x14ac:dyDescent="0.3">
      <c r="A2940" t="s">
        <v>3016</v>
      </c>
      <c r="B2940" s="2">
        <v>46143</v>
      </c>
      <c r="C2940">
        <v>2026</v>
      </c>
      <c r="D2940">
        <v>5</v>
      </c>
      <c r="E2940" t="s">
        <v>54</v>
      </c>
      <c r="F2940" t="s">
        <v>67</v>
      </c>
      <c r="G2940" t="s">
        <v>34</v>
      </c>
      <c r="H2940" s="3">
        <v>62310.873706802209</v>
      </c>
      <c r="I2940">
        <v>73</v>
      </c>
      <c r="J2940" s="3">
        <v>30352.88831726167</v>
      </c>
      <c r="K2940" s="3">
        <v>31957.985389540539</v>
      </c>
    </row>
    <row r="2941" spans="1:11" x14ac:dyDescent="0.3">
      <c r="A2941" t="s">
        <v>3017</v>
      </c>
      <c r="B2941" s="2">
        <v>46143</v>
      </c>
      <c r="C2941">
        <v>2026</v>
      </c>
      <c r="D2941">
        <v>5</v>
      </c>
      <c r="E2941" t="s">
        <v>54</v>
      </c>
      <c r="F2941" t="s">
        <v>48</v>
      </c>
      <c r="G2941" t="s">
        <v>34</v>
      </c>
      <c r="H2941" s="3">
        <v>92421.859215930468</v>
      </c>
      <c r="I2941">
        <v>109</v>
      </c>
      <c r="J2941" s="3">
        <v>44231.415036238737</v>
      </c>
      <c r="K2941" s="3">
        <v>48190.444179691724</v>
      </c>
    </row>
    <row r="2942" spans="1:11" x14ac:dyDescent="0.3">
      <c r="A2942" t="s">
        <v>3018</v>
      </c>
      <c r="B2942" s="2">
        <v>46143</v>
      </c>
      <c r="C2942">
        <v>2026</v>
      </c>
      <c r="D2942">
        <v>5</v>
      </c>
      <c r="E2942" t="s">
        <v>58</v>
      </c>
      <c r="F2942" t="s">
        <v>67</v>
      </c>
      <c r="G2942" t="s">
        <v>34</v>
      </c>
      <c r="H2942" s="3">
        <v>40871.882728526412</v>
      </c>
      <c r="I2942">
        <v>48</v>
      </c>
      <c r="J2942" s="3">
        <v>20042.945526210529</v>
      </c>
      <c r="K2942" s="3">
        <v>20828.937202315868</v>
      </c>
    </row>
    <row r="2943" spans="1:11" x14ac:dyDescent="0.3">
      <c r="A2943" t="s">
        <v>3019</v>
      </c>
      <c r="B2943" s="2">
        <v>46143</v>
      </c>
      <c r="C2943">
        <v>2026</v>
      </c>
      <c r="D2943">
        <v>5</v>
      </c>
      <c r="E2943" t="s">
        <v>58</v>
      </c>
      <c r="F2943" t="s">
        <v>48</v>
      </c>
      <c r="G2943" t="s">
        <v>34</v>
      </c>
      <c r="H2943" s="3">
        <v>63103.581070516368</v>
      </c>
      <c r="I2943">
        <v>74</v>
      </c>
      <c r="J2943" s="3">
        <v>30294.51050407414</v>
      </c>
      <c r="K2943" s="3">
        <v>32809.070566442228</v>
      </c>
    </row>
    <row r="2944" spans="1:11" x14ac:dyDescent="0.3">
      <c r="A2944" t="s">
        <v>3020</v>
      </c>
      <c r="B2944" s="2">
        <v>46143</v>
      </c>
      <c r="C2944">
        <v>2026</v>
      </c>
      <c r="D2944">
        <v>5</v>
      </c>
      <c r="E2944" t="s">
        <v>62</v>
      </c>
      <c r="F2944" t="s">
        <v>67</v>
      </c>
      <c r="G2944" t="s">
        <v>34</v>
      </c>
      <c r="H2944" s="3">
        <v>32317.0158690071</v>
      </c>
      <c r="I2944">
        <v>38</v>
      </c>
      <c r="J2944" s="3">
        <v>15528.32435957181</v>
      </c>
      <c r="K2944" s="3">
        <v>16788.691509435299</v>
      </c>
    </row>
    <row r="2945" spans="1:11" x14ac:dyDescent="0.3">
      <c r="A2945" t="s">
        <v>3021</v>
      </c>
      <c r="B2945" s="2">
        <v>46143</v>
      </c>
      <c r="C2945">
        <v>2026</v>
      </c>
      <c r="D2945">
        <v>5</v>
      </c>
      <c r="E2945" t="s">
        <v>62</v>
      </c>
      <c r="F2945" t="s">
        <v>48</v>
      </c>
      <c r="G2945" t="s">
        <v>34</v>
      </c>
      <c r="H2945" s="3">
        <v>46627.302004515921</v>
      </c>
      <c r="I2945">
        <v>55</v>
      </c>
      <c r="J2945" s="3">
        <v>22274.1083433276</v>
      </c>
      <c r="K2945" s="3">
        <v>24353.193661188321</v>
      </c>
    </row>
    <row r="2946" spans="1:11" x14ac:dyDescent="0.3">
      <c r="A2946" t="s">
        <v>3022</v>
      </c>
      <c r="B2946" s="2">
        <v>46143</v>
      </c>
      <c r="C2946">
        <v>2026</v>
      </c>
      <c r="D2946">
        <v>5</v>
      </c>
      <c r="E2946" t="s">
        <v>50</v>
      </c>
      <c r="F2946" t="s">
        <v>67</v>
      </c>
      <c r="G2946" t="s">
        <v>37</v>
      </c>
      <c r="H2946" s="3">
        <v>71984.966274034465</v>
      </c>
      <c r="I2946">
        <v>100</v>
      </c>
      <c r="J2946" s="3">
        <v>40079.505881753117</v>
      </c>
      <c r="K2946" s="3">
        <v>31905.46039228134</v>
      </c>
    </row>
    <row r="2947" spans="1:11" x14ac:dyDescent="0.3">
      <c r="A2947" t="s">
        <v>3023</v>
      </c>
      <c r="B2947" s="2">
        <v>46143</v>
      </c>
      <c r="C2947">
        <v>2026</v>
      </c>
      <c r="D2947">
        <v>5</v>
      </c>
      <c r="E2947" t="s">
        <v>50</v>
      </c>
      <c r="F2947" t="s">
        <v>48</v>
      </c>
      <c r="G2947" t="s">
        <v>37</v>
      </c>
      <c r="H2947" s="3">
        <v>98326.635379881074</v>
      </c>
      <c r="I2947">
        <v>137</v>
      </c>
      <c r="J2947" s="3">
        <v>53669.6403405456</v>
      </c>
      <c r="K2947" s="3">
        <v>44656.995039335467</v>
      </c>
    </row>
    <row r="2948" spans="1:11" x14ac:dyDescent="0.3">
      <c r="A2948" t="s">
        <v>3024</v>
      </c>
      <c r="B2948" s="2">
        <v>46143</v>
      </c>
      <c r="C2948">
        <v>2026</v>
      </c>
      <c r="D2948">
        <v>5</v>
      </c>
      <c r="E2948" t="s">
        <v>54</v>
      </c>
      <c r="F2948" t="s">
        <v>67</v>
      </c>
      <c r="G2948" t="s">
        <v>37</v>
      </c>
      <c r="H2948" s="3">
        <v>59804.015997181348</v>
      </c>
      <c r="I2948">
        <v>83</v>
      </c>
      <c r="J2948" s="3">
        <v>33470.314523700559</v>
      </c>
      <c r="K2948" s="3">
        <v>26333.701473480789</v>
      </c>
    </row>
    <row r="2949" spans="1:11" x14ac:dyDescent="0.3">
      <c r="A2949" t="s">
        <v>3025</v>
      </c>
      <c r="B2949" s="2">
        <v>46143</v>
      </c>
      <c r="C2949">
        <v>2026</v>
      </c>
      <c r="D2949">
        <v>5</v>
      </c>
      <c r="E2949" t="s">
        <v>54</v>
      </c>
      <c r="F2949" t="s">
        <v>48</v>
      </c>
      <c r="G2949" t="s">
        <v>37</v>
      </c>
      <c r="H2949" s="3">
        <v>81923.0879507231</v>
      </c>
      <c r="I2949">
        <v>114</v>
      </c>
      <c r="J2949" s="3">
        <v>44139.481751978397</v>
      </c>
      <c r="K2949" s="3">
        <v>37783.606198744703</v>
      </c>
    </row>
    <row r="2950" spans="1:11" x14ac:dyDescent="0.3">
      <c r="A2950" t="s">
        <v>3026</v>
      </c>
      <c r="B2950" s="2">
        <v>46143</v>
      </c>
      <c r="C2950">
        <v>2026</v>
      </c>
      <c r="D2950">
        <v>5</v>
      </c>
      <c r="E2950" t="s">
        <v>58</v>
      </c>
      <c r="F2950" t="s">
        <v>67</v>
      </c>
      <c r="G2950" t="s">
        <v>37</v>
      </c>
      <c r="H2950" s="3">
        <v>38651.227226514107</v>
      </c>
      <c r="I2950">
        <v>54</v>
      </c>
      <c r="J2950" s="3">
        <v>20837.677802125108</v>
      </c>
      <c r="K2950" s="3">
        <v>17813.549424388999</v>
      </c>
    </row>
    <row r="2951" spans="1:11" x14ac:dyDescent="0.3">
      <c r="A2951" t="s">
        <v>3027</v>
      </c>
      <c r="B2951" s="2">
        <v>46143</v>
      </c>
      <c r="C2951">
        <v>2026</v>
      </c>
      <c r="D2951">
        <v>5</v>
      </c>
      <c r="E2951" t="s">
        <v>58</v>
      </c>
      <c r="F2951" t="s">
        <v>48</v>
      </c>
      <c r="G2951" t="s">
        <v>37</v>
      </c>
      <c r="H2951" s="3">
        <v>57479.223114642256</v>
      </c>
      <c r="I2951">
        <v>80</v>
      </c>
      <c r="J2951" s="3">
        <v>32004.748995798869</v>
      </c>
      <c r="K2951" s="3">
        <v>25474.474118843402</v>
      </c>
    </row>
    <row r="2952" spans="1:11" x14ac:dyDescent="0.3">
      <c r="A2952" t="s">
        <v>3028</v>
      </c>
      <c r="B2952" s="2">
        <v>46143</v>
      </c>
      <c r="C2952">
        <v>2026</v>
      </c>
      <c r="D2952">
        <v>5</v>
      </c>
      <c r="E2952" t="s">
        <v>62</v>
      </c>
      <c r="F2952" t="s">
        <v>67</v>
      </c>
      <c r="G2952" t="s">
        <v>37</v>
      </c>
      <c r="H2952" s="3">
        <v>33964.577075141431</v>
      </c>
      <c r="I2952">
        <v>47</v>
      </c>
      <c r="J2952" s="3">
        <v>18650.744460000242</v>
      </c>
      <c r="K2952" s="3">
        <v>15313.832615141189</v>
      </c>
    </row>
    <row r="2953" spans="1:11" x14ac:dyDescent="0.3">
      <c r="A2953" t="s">
        <v>3029</v>
      </c>
      <c r="B2953" s="2">
        <v>46143</v>
      </c>
      <c r="C2953">
        <v>2026</v>
      </c>
      <c r="D2953">
        <v>5</v>
      </c>
      <c r="E2953" t="s">
        <v>62</v>
      </c>
      <c r="F2953" t="s">
        <v>48</v>
      </c>
      <c r="G2953" t="s">
        <v>37</v>
      </c>
      <c r="H2953" s="3">
        <v>42000.471413444313</v>
      </c>
      <c r="I2953">
        <v>58</v>
      </c>
      <c r="J2953" s="3">
        <v>22911.52910824979</v>
      </c>
      <c r="K2953" s="3">
        <v>19088.942305194509</v>
      </c>
    </row>
    <row r="2954" spans="1:11" x14ac:dyDescent="0.3">
      <c r="A2954" t="s">
        <v>3030</v>
      </c>
      <c r="B2954" s="2">
        <v>46143</v>
      </c>
      <c r="C2954">
        <v>2026</v>
      </c>
      <c r="D2954">
        <v>5</v>
      </c>
      <c r="E2954" t="s">
        <v>50</v>
      </c>
      <c r="F2954" t="s">
        <v>67</v>
      </c>
      <c r="G2954" t="s">
        <v>40</v>
      </c>
      <c r="H2954" s="3">
        <v>57176.890418782787</v>
      </c>
      <c r="I2954">
        <v>11</v>
      </c>
      <c r="J2954" s="3">
        <v>40084.117298236983</v>
      </c>
      <c r="K2954" s="3">
        <v>17092.773120545811</v>
      </c>
    </row>
    <row r="2955" spans="1:11" x14ac:dyDescent="0.3">
      <c r="A2955" t="s">
        <v>3031</v>
      </c>
      <c r="B2955" s="2">
        <v>46143</v>
      </c>
      <c r="C2955">
        <v>2026</v>
      </c>
      <c r="D2955">
        <v>5</v>
      </c>
      <c r="E2955" t="s">
        <v>50</v>
      </c>
      <c r="F2955" t="s">
        <v>48</v>
      </c>
      <c r="G2955" t="s">
        <v>40</v>
      </c>
      <c r="H2955" s="3">
        <v>80332.727721123563</v>
      </c>
      <c r="I2955">
        <v>15</v>
      </c>
      <c r="J2955" s="3">
        <v>54823.697691925387</v>
      </c>
      <c r="K2955" s="3">
        <v>25509.030029198169</v>
      </c>
    </row>
    <row r="2956" spans="1:11" x14ac:dyDescent="0.3">
      <c r="A2956" t="s">
        <v>3032</v>
      </c>
      <c r="B2956" s="2">
        <v>46143</v>
      </c>
      <c r="C2956">
        <v>2026</v>
      </c>
      <c r="D2956">
        <v>5</v>
      </c>
      <c r="E2956" t="s">
        <v>54</v>
      </c>
      <c r="F2956" t="s">
        <v>67</v>
      </c>
      <c r="G2956" t="s">
        <v>40</v>
      </c>
      <c r="H2956" s="3">
        <v>47467.074974288662</v>
      </c>
      <c r="I2956">
        <v>9</v>
      </c>
      <c r="J2956" s="3">
        <v>32634.25487034722</v>
      </c>
      <c r="K2956" s="3">
        <v>14832.82010394144</v>
      </c>
    </row>
    <row r="2957" spans="1:11" x14ac:dyDescent="0.3">
      <c r="A2957" t="s">
        <v>3033</v>
      </c>
      <c r="B2957" s="2">
        <v>46143</v>
      </c>
      <c r="C2957">
        <v>2026</v>
      </c>
      <c r="D2957">
        <v>5</v>
      </c>
      <c r="E2957" t="s">
        <v>54</v>
      </c>
      <c r="F2957" t="s">
        <v>48</v>
      </c>
      <c r="G2957" t="s">
        <v>40</v>
      </c>
      <c r="H2957" s="3">
        <v>63543.781999434817</v>
      </c>
      <c r="I2957">
        <v>12</v>
      </c>
      <c r="J2957" s="3">
        <v>44949.499548579341</v>
      </c>
      <c r="K2957" s="3">
        <v>18594.28245085548</v>
      </c>
    </row>
    <row r="2958" spans="1:11" x14ac:dyDescent="0.3">
      <c r="A2958" t="s">
        <v>3034</v>
      </c>
      <c r="B2958" s="2">
        <v>46143</v>
      </c>
      <c r="C2958">
        <v>2026</v>
      </c>
      <c r="D2958">
        <v>5</v>
      </c>
      <c r="E2958" t="s">
        <v>58</v>
      </c>
      <c r="F2958" t="s">
        <v>67</v>
      </c>
      <c r="G2958" t="s">
        <v>40</v>
      </c>
      <c r="H2958" s="3">
        <v>34937.66034451087</v>
      </c>
      <c r="I2958">
        <v>6</v>
      </c>
      <c r="J2958" s="3">
        <v>24774.859121359841</v>
      </c>
      <c r="K2958" s="3">
        <v>10162.801223151029</v>
      </c>
    </row>
    <row r="2959" spans="1:11" x14ac:dyDescent="0.3">
      <c r="A2959" t="s">
        <v>3035</v>
      </c>
      <c r="B2959" s="2">
        <v>46143</v>
      </c>
      <c r="C2959">
        <v>2026</v>
      </c>
      <c r="D2959">
        <v>5</v>
      </c>
      <c r="E2959" t="s">
        <v>58</v>
      </c>
      <c r="F2959" t="s">
        <v>48</v>
      </c>
      <c r="G2959" t="s">
        <v>40</v>
      </c>
      <c r="H2959" s="3">
        <v>42276.761238697087</v>
      </c>
      <c r="I2959">
        <v>8</v>
      </c>
      <c r="J2959" s="3">
        <v>29996.595978751291</v>
      </c>
      <c r="K2959" s="3">
        <v>12280.165259945799</v>
      </c>
    </row>
    <row r="2960" spans="1:11" x14ac:dyDescent="0.3">
      <c r="A2960" t="s">
        <v>3036</v>
      </c>
      <c r="B2960" s="2">
        <v>46143</v>
      </c>
      <c r="C2960">
        <v>2026</v>
      </c>
      <c r="D2960">
        <v>5</v>
      </c>
      <c r="E2960" t="s">
        <v>62</v>
      </c>
      <c r="F2960" t="s">
        <v>67</v>
      </c>
      <c r="G2960" t="s">
        <v>40</v>
      </c>
      <c r="H2960" s="3">
        <v>26196.11988790238</v>
      </c>
      <c r="I2960">
        <v>5</v>
      </c>
      <c r="J2960" s="3">
        <v>17983.531462256371</v>
      </c>
      <c r="K2960" s="3">
        <v>8212.5884256460085</v>
      </c>
    </row>
    <row r="2961" spans="1:11" x14ac:dyDescent="0.3">
      <c r="A2961" t="s">
        <v>3037</v>
      </c>
      <c r="B2961" s="2">
        <v>46143</v>
      </c>
      <c r="C2961">
        <v>2026</v>
      </c>
      <c r="D2961">
        <v>5</v>
      </c>
      <c r="E2961" t="s">
        <v>62</v>
      </c>
      <c r="F2961" t="s">
        <v>48</v>
      </c>
      <c r="G2961" t="s">
        <v>40</v>
      </c>
      <c r="H2961" s="3">
        <v>35705.640321238301</v>
      </c>
      <c r="I2961">
        <v>7</v>
      </c>
      <c r="J2961" s="3">
        <v>25182.664319678988</v>
      </c>
      <c r="K2961" s="3">
        <v>10522.976001559309</v>
      </c>
    </row>
    <row r="2962" spans="1:11" x14ac:dyDescent="0.3">
      <c r="A2962" t="s">
        <v>3038</v>
      </c>
      <c r="B2962" s="2">
        <v>46143</v>
      </c>
      <c r="C2962">
        <v>2026</v>
      </c>
      <c r="D2962">
        <v>5</v>
      </c>
      <c r="E2962" t="s">
        <v>50</v>
      </c>
      <c r="F2962" t="s">
        <v>67</v>
      </c>
      <c r="G2962" t="s">
        <v>43</v>
      </c>
      <c r="H2962" s="3">
        <v>137808.33858965529</v>
      </c>
      <c r="I2962">
        <v>39</v>
      </c>
      <c r="J2962" s="3">
        <v>79918.104002140317</v>
      </c>
      <c r="K2962" s="3">
        <v>57890.234587514977</v>
      </c>
    </row>
    <row r="2963" spans="1:11" x14ac:dyDescent="0.3">
      <c r="A2963" t="s">
        <v>3039</v>
      </c>
      <c r="B2963" s="2">
        <v>46143</v>
      </c>
      <c r="C2963">
        <v>2026</v>
      </c>
      <c r="D2963">
        <v>5</v>
      </c>
      <c r="E2963" t="s">
        <v>50</v>
      </c>
      <c r="F2963" t="s">
        <v>48</v>
      </c>
      <c r="G2963" t="s">
        <v>43</v>
      </c>
      <c r="H2963" s="3">
        <v>197051.15217144729</v>
      </c>
      <c r="I2963">
        <v>56</v>
      </c>
      <c r="J2963" s="3">
        <v>114362.31933848769</v>
      </c>
      <c r="K2963" s="3">
        <v>82688.832832959553</v>
      </c>
    </row>
    <row r="2964" spans="1:11" x14ac:dyDescent="0.3">
      <c r="A2964" t="s">
        <v>3040</v>
      </c>
      <c r="B2964" s="2">
        <v>46143</v>
      </c>
      <c r="C2964">
        <v>2026</v>
      </c>
      <c r="D2964">
        <v>5</v>
      </c>
      <c r="E2964" t="s">
        <v>54</v>
      </c>
      <c r="F2964" t="s">
        <v>67</v>
      </c>
      <c r="G2964" t="s">
        <v>43</v>
      </c>
      <c r="H2964" s="3">
        <v>106252.0892286069</v>
      </c>
      <c r="I2964">
        <v>30</v>
      </c>
      <c r="J2964" s="3">
        <v>60036.48487118043</v>
      </c>
      <c r="K2964" s="3">
        <v>46215.60435742644</v>
      </c>
    </row>
    <row r="2965" spans="1:11" x14ac:dyDescent="0.3">
      <c r="A2965" t="s">
        <v>3041</v>
      </c>
      <c r="B2965" s="2">
        <v>46143</v>
      </c>
      <c r="C2965">
        <v>2026</v>
      </c>
      <c r="D2965">
        <v>5</v>
      </c>
      <c r="E2965" t="s">
        <v>54</v>
      </c>
      <c r="F2965" t="s">
        <v>48</v>
      </c>
      <c r="G2965" t="s">
        <v>43</v>
      </c>
      <c r="H2965" s="3">
        <v>146025.01468651521</v>
      </c>
      <c r="I2965">
        <v>42</v>
      </c>
      <c r="J2965" s="3">
        <v>88749.018676877851</v>
      </c>
      <c r="K2965" s="3">
        <v>57275.996009637332</v>
      </c>
    </row>
    <row r="2966" spans="1:11" x14ac:dyDescent="0.3">
      <c r="A2966" t="s">
        <v>3042</v>
      </c>
      <c r="B2966" s="2">
        <v>46143</v>
      </c>
      <c r="C2966">
        <v>2026</v>
      </c>
      <c r="D2966">
        <v>5</v>
      </c>
      <c r="E2966" t="s">
        <v>58</v>
      </c>
      <c r="F2966" t="s">
        <v>67</v>
      </c>
      <c r="G2966" t="s">
        <v>43</v>
      </c>
      <c r="H2966" s="3">
        <v>77875.640551789285</v>
      </c>
      <c r="I2966">
        <v>22</v>
      </c>
      <c r="J2966" s="3">
        <v>45232.082633663507</v>
      </c>
      <c r="K2966" s="3">
        <v>32643.557918125771</v>
      </c>
    </row>
    <row r="2967" spans="1:11" x14ac:dyDescent="0.3">
      <c r="A2967" t="s">
        <v>3043</v>
      </c>
      <c r="B2967" s="2">
        <v>46143</v>
      </c>
      <c r="C2967">
        <v>2026</v>
      </c>
      <c r="D2967">
        <v>5</v>
      </c>
      <c r="E2967" t="s">
        <v>58</v>
      </c>
      <c r="F2967" t="s">
        <v>48</v>
      </c>
      <c r="G2967" t="s">
        <v>43</v>
      </c>
      <c r="H2967" s="3">
        <v>106626.23323386611</v>
      </c>
      <c r="I2967">
        <v>30</v>
      </c>
      <c r="J2967" s="3">
        <v>62766.195835119986</v>
      </c>
      <c r="K2967" s="3">
        <v>43860.03739874607</v>
      </c>
    </row>
    <row r="2968" spans="1:11" x14ac:dyDescent="0.3">
      <c r="A2968" t="s">
        <v>3044</v>
      </c>
      <c r="B2968" s="2">
        <v>46143</v>
      </c>
      <c r="C2968">
        <v>2026</v>
      </c>
      <c r="D2968">
        <v>5</v>
      </c>
      <c r="E2968" t="s">
        <v>62</v>
      </c>
      <c r="F2968" t="s">
        <v>67</v>
      </c>
      <c r="G2968" t="s">
        <v>43</v>
      </c>
      <c r="H2968" s="3">
        <v>51774.488661973453</v>
      </c>
      <c r="I2968">
        <v>15</v>
      </c>
      <c r="J2968" s="3">
        <v>30046.410959427169</v>
      </c>
      <c r="K2968" s="3">
        <v>21728.077702546281</v>
      </c>
    </row>
    <row r="2969" spans="1:11" x14ac:dyDescent="0.3">
      <c r="A2969" t="s">
        <v>3045</v>
      </c>
      <c r="B2969" s="2">
        <v>46143</v>
      </c>
      <c r="C2969">
        <v>2026</v>
      </c>
      <c r="D2969">
        <v>5</v>
      </c>
      <c r="E2969" t="s">
        <v>62</v>
      </c>
      <c r="F2969" t="s">
        <v>48</v>
      </c>
      <c r="G2969" t="s">
        <v>43</v>
      </c>
      <c r="H2969" s="3">
        <v>75136.946326987716</v>
      </c>
      <c r="I2969">
        <v>21</v>
      </c>
      <c r="J2969" s="3">
        <v>44885.508480694793</v>
      </c>
      <c r="K2969" s="3">
        <v>30251.43784629292</v>
      </c>
    </row>
    <row r="2970" spans="1:11" x14ac:dyDescent="0.3">
      <c r="A2970" t="s">
        <v>3046</v>
      </c>
      <c r="B2970" s="2">
        <v>46174</v>
      </c>
      <c r="C2970">
        <v>2026</v>
      </c>
      <c r="D2970">
        <v>6</v>
      </c>
      <c r="E2970" t="s">
        <v>50</v>
      </c>
      <c r="F2970" t="s">
        <v>67</v>
      </c>
      <c r="G2970" t="s">
        <v>19</v>
      </c>
      <c r="H2970" s="3">
        <v>137135.87297021659</v>
      </c>
      <c r="I2970">
        <v>26</v>
      </c>
      <c r="J2970" s="3">
        <v>84449.357835763425</v>
      </c>
      <c r="K2970" s="3">
        <v>52686.515134453221</v>
      </c>
    </row>
    <row r="2971" spans="1:11" x14ac:dyDescent="0.3">
      <c r="A2971" t="s">
        <v>3047</v>
      </c>
      <c r="B2971" s="2">
        <v>46174</v>
      </c>
      <c r="C2971">
        <v>2026</v>
      </c>
      <c r="D2971">
        <v>6</v>
      </c>
      <c r="E2971" t="s">
        <v>50</v>
      </c>
      <c r="F2971" t="s">
        <v>48</v>
      </c>
      <c r="G2971" t="s">
        <v>19</v>
      </c>
      <c r="H2971" s="3">
        <v>206382.10213104941</v>
      </c>
      <c r="I2971">
        <v>40</v>
      </c>
      <c r="J2971" s="3">
        <v>124951.6174046315</v>
      </c>
      <c r="K2971" s="3">
        <v>81430.484726417926</v>
      </c>
    </row>
    <row r="2972" spans="1:11" x14ac:dyDescent="0.3">
      <c r="A2972" t="s">
        <v>3048</v>
      </c>
      <c r="B2972" s="2">
        <v>46174</v>
      </c>
      <c r="C2972">
        <v>2026</v>
      </c>
      <c r="D2972">
        <v>6</v>
      </c>
      <c r="E2972" t="s">
        <v>54</v>
      </c>
      <c r="F2972" t="s">
        <v>67</v>
      </c>
      <c r="G2972" t="s">
        <v>19</v>
      </c>
      <c r="H2972" s="3">
        <v>116525.85599500161</v>
      </c>
      <c r="I2972">
        <v>22</v>
      </c>
      <c r="J2972" s="3">
        <v>72820.381326117466</v>
      </c>
      <c r="K2972" s="3">
        <v>43705.474668884177</v>
      </c>
    </row>
    <row r="2973" spans="1:11" x14ac:dyDescent="0.3">
      <c r="A2973" t="s">
        <v>3049</v>
      </c>
      <c r="B2973" s="2">
        <v>46174</v>
      </c>
      <c r="C2973">
        <v>2026</v>
      </c>
      <c r="D2973">
        <v>6</v>
      </c>
      <c r="E2973" t="s">
        <v>54</v>
      </c>
      <c r="F2973" t="s">
        <v>48</v>
      </c>
      <c r="G2973" t="s">
        <v>19</v>
      </c>
      <c r="H2973" s="3">
        <v>146906.63080545201</v>
      </c>
      <c r="I2973">
        <v>28</v>
      </c>
      <c r="J2973" s="3">
        <v>88731.542266067147</v>
      </c>
      <c r="K2973" s="3">
        <v>58175.088539384829</v>
      </c>
    </row>
    <row r="2974" spans="1:11" x14ac:dyDescent="0.3">
      <c r="A2974" t="s">
        <v>3050</v>
      </c>
      <c r="B2974" s="2">
        <v>46174</v>
      </c>
      <c r="C2974">
        <v>2026</v>
      </c>
      <c r="D2974">
        <v>6</v>
      </c>
      <c r="E2974" t="s">
        <v>58</v>
      </c>
      <c r="F2974" t="s">
        <v>67</v>
      </c>
      <c r="G2974" t="s">
        <v>19</v>
      </c>
      <c r="H2974" s="3">
        <v>79769.617235690792</v>
      </c>
      <c r="I2974">
        <v>15</v>
      </c>
      <c r="J2974" s="3">
        <v>48711.679884686273</v>
      </c>
      <c r="K2974" s="3">
        <v>31057.93735100453</v>
      </c>
    </row>
    <row r="2975" spans="1:11" x14ac:dyDescent="0.3">
      <c r="A2975" t="s">
        <v>3051</v>
      </c>
      <c r="B2975" s="2">
        <v>46174</v>
      </c>
      <c r="C2975">
        <v>2026</v>
      </c>
      <c r="D2975">
        <v>6</v>
      </c>
      <c r="E2975" t="s">
        <v>58</v>
      </c>
      <c r="F2975" t="s">
        <v>48</v>
      </c>
      <c r="G2975" t="s">
        <v>19</v>
      </c>
      <c r="H2975" s="3">
        <v>112941.3216748148</v>
      </c>
      <c r="I2975">
        <v>22</v>
      </c>
      <c r="J2975" s="3">
        <v>67368.043410279017</v>
      </c>
      <c r="K2975" s="3">
        <v>45573.27826453578</v>
      </c>
    </row>
    <row r="2976" spans="1:11" x14ac:dyDescent="0.3">
      <c r="A2976" t="s">
        <v>3052</v>
      </c>
      <c r="B2976" s="2">
        <v>46174</v>
      </c>
      <c r="C2976">
        <v>2026</v>
      </c>
      <c r="D2976">
        <v>6</v>
      </c>
      <c r="E2976" t="s">
        <v>62</v>
      </c>
      <c r="F2976" t="s">
        <v>67</v>
      </c>
      <c r="G2976" t="s">
        <v>19</v>
      </c>
      <c r="H2976" s="3">
        <v>58364.518525678162</v>
      </c>
      <c r="I2976">
        <v>11</v>
      </c>
      <c r="J2976" s="3">
        <v>35258.509179370783</v>
      </c>
      <c r="K2976" s="3">
        <v>23106.009346307379</v>
      </c>
    </row>
    <row r="2977" spans="1:11" x14ac:dyDescent="0.3">
      <c r="A2977" t="s">
        <v>3053</v>
      </c>
      <c r="B2977" s="2">
        <v>46174</v>
      </c>
      <c r="C2977">
        <v>2026</v>
      </c>
      <c r="D2977">
        <v>6</v>
      </c>
      <c r="E2977" t="s">
        <v>62</v>
      </c>
      <c r="F2977" t="s">
        <v>48</v>
      </c>
      <c r="G2977" t="s">
        <v>19</v>
      </c>
      <c r="H2977" s="3">
        <v>77827.309934355828</v>
      </c>
      <c r="I2977">
        <v>15</v>
      </c>
      <c r="J2977" s="3">
        <v>48407.994165770222</v>
      </c>
      <c r="K2977" s="3">
        <v>29419.315768585609</v>
      </c>
    </row>
    <row r="2978" spans="1:11" x14ac:dyDescent="0.3">
      <c r="A2978" t="s">
        <v>3054</v>
      </c>
      <c r="B2978" s="2">
        <v>46174</v>
      </c>
      <c r="C2978">
        <v>2026</v>
      </c>
      <c r="D2978">
        <v>6</v>
      </c>
      <c r="E2978" t="s">
        <v>50</v>
      </c>
      <c r="F2978" t="s">
        <v>67</v>
      </c>
      <c r="G2978" t="s">
        <v>24</v>
      </c>
      <c r="H2978" s="3">
        <v>145154.6267320863</v>
      </c>
      <c r="I2978">
        <v>24</v>
      </c>
      <c r="J2978" s="3">
        <v>92414.335078863718</v>
      </c>
      <c r="K2978" s="3">
        <v>52740.291653222608</v>
      </c>
    </row>
    <row r="2979" spans="1:11" x14ac:dyDescent="0.3">
      <c r="A2979" t="s">
        <v>3055</v>
      </c>
      <c r="B2979" s="2">
        <v>46174</v>
      </c>
      <c r="C2979">
        <v>2026</v>
      </c>
      <c r="D2979">
        <v>6</v>
      </c>
      <c r="E2979" t="s">
        <v>50</v>
      </c>
      <c r="F2979" t="s">
        <v>48</v>
      </c>
      <c r="G2979" t="s">
        <v>24</v>
      </c>
      <c r="H2979" s="3">
        <v>195152.85289267221</v>
      </c>
      <c r="I2979">
        <v>32</v>
      </c>
      <c r="J2979" s="3">
        <v>125366.97112229221</v>
      </c>
      <c r="K2979" s="3">
        <v>69785.881770379929</v>
      </c>
    </row>
    <row r="2980" spans="1:11" x14ac:dyDescent="0.3">
      <c r="A2980" t="s">
        <v>3056</v>
      </c>
      <c r="B2980" s="2">
        <v>46174</v>
      </c>
      <c r="C2980">
        <v>2026</v>
      </c>
      <c r="D2980">
        <v>6</v>
      </c>
      <c r="E2980" t="s">
        <v>54</v>
      </c>
      <c r="F2980" t="s">
        <v>67</v>
      </c>
      <c r="G2980" t="s">
        <v>24</v>
      </c>
      <c r="H2980" s="3">
        <v>107862.18317762821</v>
      </c>
      <c r="I2980">
        <v>18</v>
      </c>
      <c r="J2980" s="3">
        <v>71186.005361620308</v>
      </c>
      <c r="K2980" s="3">
        <v>36676.177816007897</v>
      </c>
    </row>
    <row r="2981" spans="1:11" x14ac:dyDescent="0.3">
      <c r="A2981" t="s">
        <v>3057</v>
      </c>
      <c r="B2981" s="2">
        <v>46174</v>
      </c>
      <c r="C2981">
        <v>2026</v>
      </c>
      <c r="D2981">
        <v>6</v>
      </c>
      <c r="E2981" t="s">
        <v>54</v>
      </c>
      <c r="F2981" t="s">
        <v>48</v>
      </c>
      <c r="G2981" t="s">
        <v>24</v>
      </c>
      <c r="H2981" s="3">
        <v>142845.39614586701</v>
      </c>
      <c r="I2981">
        <v>23</v>
      </c>
      <c r="J2981" s="3">
        <v>93355.458756322187</v>
      </c>
      <c r="K2981" s="3">
        <v>49489.937389544852</v>
      </c>
    </row>
    <row r="2982" spans="1:11" x14ac:dyDescent="0.3">
      <c r="A2982" t="s">
        <v>3058</v>
      </c>
      <c r="B2982" s="2">
        <v>46174</v>
      </c>
      <c r="C2982">
        <v>2026</v>
      </c>
      <c r="D2982">
        <v>6</v>
      </c>
      <c r="E2982" t="s">
        <v>58</v>
      </c>
      <c r="F2982" t="s">
        <v>67</v>
      </c>
      <c r="G2982" t="s">
        <v>24</v>
      </c>
      <c r="H2982" s="3">
        <v>79396.727031413146</v>
      </c>
      <c r="I2982">
        <v>13</v>
      </c>
      <c r="J2982" s="3">
        <v>54280.794766312079</v>
      </c>
      <c r="K2982" s="3">
        <v>25115.93226510107</v>
      </c>
    </row>
    <row r="2983" spans="1:11" x14ac:dyDescent="0.3">
      <c r="A2983" t="s">
        <v>3059</v>
      </c>
      <c r="B2983" s="2">
        <v>46174</v>
      </c>
      <c r="C2983">
        <v>2026</v>
      </c>
      <c r="D2983">
        <v>6</v>
      </c>
      <c r="E2983" t="s">
        <v>58</v>
      </c>
      <c r="F2983" t="s">
        <v>48</v>
      </c>
      <c r="G2983" t="s">
        <v>24</v>
      </c>
      <c r="H2983" s="3">
        <v>111157.1511761752</v>
      </c>
      <c r="I2983">
        <v>18</v>
      </c>
      <c r="J2983" s="3">
        <v>75785.466277697473</v>
      </c>
      <c r="K2983" s="3">
        <v>35371.684898477753</v>
      </c>
    </row>
    <row r="2984" spans="1:11" x14ac:dyDescent="0.3">
      <c r="A2984" t="s">
        <v>3060</v>
      </c>
      <c r="B2984" s="2">
        <v>46174</v>
      </c>
      <c r="C2984">
        <v>2026</v>
      </c>
      <c r="D2984">
        <v>6</v>
      </c>
      <c r="E2984" t="s">
        <v>62</v>
      </c>
      <c r="F2984" t="s">
        <v>67</v>
      </c>
      <c r="G2984" t="s">
        <v>24</v>
      </c>
      <c r="H2984" s="3">
        <v>62498.098038319207</v>
      </c>
      <c r="I2984">
        <v>10</v>
      </c>
      <c r="J2984" s="3">
        <v>40604.331887670502</v>
      </c>
      <c r="K2984" s="3">
        <v>21893.766150648709</v>
      </c>
    </row>
    <row r="2985" spans="1:11" x14ac:dyDescent="0.3">
      <c r="A2985" t="s">
        <v>3061</v>
      </c>
      <c r="B2985" s="2">
        <v>46174</v>
      </c>
      <c r="C2985">
        <v>2026</v>
      </c>
      <c r="D2985">
        <v>6</v>
      </c>
      <c r="E2985" t="s">
        <v>62</v>
      </c>
      <c r="F2985" t="s">
        <v>48</v>
      </c>
      <c r="G2985" t="s">
        <v>24</v>
      </c>
      <c r="H2985" s="3">
        <v>89982.407300129853</v>
      </c>
      <c r="I2985">
        <v>15</v>
      </c>
      <c r="J2985" s="3">
        <v>59983.9639172104</v>
      </c>
      <c r="K2985" s="3">
        <v>29998.44338291945</v>
      </c>
    </row>
    <row r="2986" spans="1:11" x14ac:dyDescent="0.3">
      <c r="A2986" t="s">
        <v>3062</v>
      </c>
      <c r="B2986" s="2">
        <v>46174</v>
      </c>
      <c r="C2986">
        <v>2026</v>
      </c>
      <c r="D2986">
        <v>6</v>
      </c>
      <c r="E2986" t="s">
        <v>50</v>
      </c>
      <c r="F2986" t="s">
        <v>67</v>
      </c>
      <c r="G2986" t="s">
        <v>29</v>
      </c>
      <c r="H2986" s="3">
        <v>100337.2644282503</v>
      </c>
      <c r="I2986">
        <v>23</v>
      </c>
      <c r="J2986" s="3">
        <v>65081.933916793547</v>
      </c>
      <c r="K2986" s="3">
        <v>35255.33051145677</v>
      </c>
    </row>
    <row r="2987" spans="1:11" x14ac:dyDescent="0.3">
      <c r="A2987" t="s">
        <v>3063</v>
      </c>
      <c r="B2987" s="2">
        <v>46174</v>
      </c>
      <c r="C2987">
        <v>2026</v>
      </c>
      <c r="D2987">
        <v>6</v>
      </c>
      <c r="E2987" t="s">
        <v>50</v>
      </c>
      <c r="F2987" t="s">
        <v>48</v>
      </c>
      <c r="G2987" t="s">
        <v>29</v>
      </c>
      <c r="H2987" s="3">
        <v>145877.62279385101</v>
      </c>
      <c r="I2987">
        <v>34</v>
      </c>
      <c r="J2987" s="3">
        <v>92357.609264155923</v>
      </c>
      <c r="K2987" s="3">
        <v>53520.013529695032</v>
      </c>
    </row>
    <row r="2988" spans="1:11" x14ac:dyDescent="0.3">
      <c r="A2988" t="s">
        <v>3064</v>
      </c>
      <c r="B2988" s="2">
        <v>46174</v>
      </c>
      <c r="C2988">
        <v>2026</v>
      </c>
      <c r="D2988">
        <v>6</v>
      </c>
      <c r="E2988" t="s">
        <v>54</v>
      </c>
      <c r="F2988" t="s">
        <v>67</v>
      </c>
      <c r="G2988" t="s">
        <v>29</v>
      </c>
      <c r="H2988" s="3">
        <v>75974.072962897451</v>
      </c>
      <c r="I2988">
        <v>18</v>
      </c>
      <c r="J2988" s="3">
        <v>47314.476857769092</v>
      </c>
      <c r="K2988" s="3">
        <v>28659.596105128359</v>
      </c>
    </row>
    <row r="2989" spans="1:11" x14ac:dyDescent="0.3">
      <c r="A2989" t="s">
        <v>3065</v>
      </c>
      <c r="B2989" s="2">
        <v>46174</v>
      </c>
      <c r="C2989">
        <v>2026</v>
      </c>
      <c r="D2989">
        <v>6</v>
      </c>
      <c r="E2989" t="s">
        <v>54</v>
      </c>
      <c r="F2989" t="s">
        <v>48</v>
      </c>
      <c r="G2989" t="s">
        <v>29</v>
      </c>
      <c r="H2989" s="3">
        <v>105871.4309563604</v>
      </c>
      <c r="I2989">
        <v>25</v>
      </c>
      <c r="J2989" s="3">
        <v>67742.716145074082</v>
      </c>
      <c r="K2989" s="3">
        <v>38128.714811286372</v>
      </c>
    </row>
    <row r="2990" spans="1:11" x14ac:dyDescent="0.3">
      <c r="A2990" t="s">
        <v>3066</v>
      </c>
      <c r="B2990" s="2">
        <v>46174</v>
      </c>
      <c r="C2990">
        <v>2026</v>
      </c>
      <c r="D2990">
        <v>6</v>
      </c>
      <c r="E2990" t="s">
        <v>58</v>
      </c>
      <c r="F2990" t="s">
        <v>67</v>
      </c>
      <c r="G2990" t="s">
        <v>29</v>
      </c>
      <c r="H2990" s="3">
        <v>55697.225022651714</v>
      </c>
      <c r="I2990">
        <v>13</v>
      </c>
      <c r="J2990" s="3">
        <v>35535.320692898596</v>
      </c>
      <c r="K2990" s="3">
        <v>20161.90432975311</v>
      </c>
    </row>
    <row r="2991" spans="1:11" x14ac:dyDescent="0.3">
      <c r="A2991" t="s">
        <v>3067</v>
      </c>
      <c r="B2991" s="2">
        <v>46174</v>
      </c>
      <c r="C2991">
        <v>2026</v>
      </c>
      <c r="D2991">
        <v>6</v>
      </c>
      <c r="E2991" t="s">
        <v>58</v>
      </c>
      <c r="F2991" t="s">
        <v>48</v>
      </c>
      <c r="G2991" t="s">
        <v>29</v>
      </c>
      <c r="H2991" s="3">
        <v>75938.28022010834</v>
      </c>
      <c r="I2991">
        <v>18</v>
      </c>
      <c r="J2991" s="3">
        <v>48219.288642209038</v>
      </c>
      <c r="K2991" s="3">
        <v>27718.991577899302</v>
      </c>
    </row>
    <row r="2992" spans="1:11" x14ac:dyDescent="0.3">
      <c r="A2992" t="s">
        <v>3068</v>
      </c>
      <c r="B2992" s="2">
        <v>46174</v>
      </c>
      <c r="C2992">
        <v>2026</v>
      </c>
      <c r="D2992">
        <v>6</v>
      </c>
      <c r="E2992" t="s">
        <v>62</v>
      </c>
      <c r="F2992" t="s">
        <v>67</v>
      </c>
      <c r="G2992" t="s">
        <v>29</v>
      </c>
      <c r="H2992" s="3">
        <v>37726.653978152157</v>
      </c>
      <c r="I2992">
        <v>9</v>
      </c>
      <c r="J2992" s="3">
        <v>24337.294346216389</v>
      </c>
      <c r="K2992" s="3">
        <v>13389.359631935769</v>
      </c>
    </row>
    <row r="2993" spans="1:11" x14ac:dyDescent="0.3">
      <c r="A2993" t="s">
        <v>3069</v>
      </c>
      <c r="B2993" s="2">
        <v>46174</v>
      </c>
      <c r="C2993">
        <v>2026</v>
      </c>
      <c r="D2993">
        <v>6</v>
      </c>
      <c r="E2993" t="s">
        <v>62</v>
      </c>
      <c r="F2993" t="s">
        <v>48</v>
      </c>
      <c r="G2993" t="s">
        <v>29</v>
      </c>
      <c r="H2993" s="3">
        <v>53839.011516425628</v>
      </c>
      <c r="I2993">
        <v>13</v>
      </c>
      <c r="J2993" s="3">
        <v>33991.345790204359</v>
      </c>
      <c r="K2993" s="3">
        <v>19847.665726221279</v>
      </c>
    </row>
    <row r="2994" spans="1:11" x14ac:dyDescent="0.3">
      <c r="A2994" t="s">
        <v>3070</v>
      </c>
      <c r="B2994" s="2">
        <v>46174</v>
      </c>
      <c r="C2994">
        <v>2026</v>
      </c>
      <c r="D2994">
        <v>6</v>
      </c>
      <c r="E2994" t="s">
        <v>50</v>
      </c>
      <c r="F2994" t="s">
        <v>67</v>
      </c>
      <c r="G2994" t="s">
        <v>34</v>
      </c>
      <c r="H2994" s="3">
        <v>89881.721558753721</v>
      </c>
      <c r="I2994">
        <v>106</v>
      </c>
      <c r="J2994" s="3">
        <v>42248.61031114174</v>
      </c>
      <c r="K2994" s="3">
        <v>47633.111247611982</v>
      </c>
    </row>
    <row r="2995" spans="1:11" x14ac:dyDescent="0.3">
      <c r="A2995" t="s">
        <v>3071</v>
      </c>
      <c r="B2995" s="2">
        <v>46174</v>
      </c>
      <c r="C2995">
        <v>2026</v>
      </c>
      <c r="D2995">
        <v>6</v>
      </c>
      <c r="E2995" t="s">
        <v>50</v>
      </c>
      <c r="F2995" t="s">
        <v>48</v>
      </c>
      <c r="G2995" t="s">
        <v>34</v>
      </c>
      <c r="H2995" s="3">
        <v>120916.4113847668</v>
      </c>
      <c r="I2995">
        <v>142</v>
      </c>
      <c r="J2995" s="3">
        <v>58153.83838487466</v>
      </c>
      <c r="K2995" s="3">
        <v>62762.57299989216</v>
      </c>
    </row>
    <row r="2996" spans="1:11" x14ac:dyDescent="0.3">
      <c r="A2996" t="s">
        <v>3072</v>
      </c>
      <c r="B2996" s="2">
        <v>46174</v>
      </c>
      <c r="C2996">
        <v>2026</v>
      </c>
      <c r="D2996">
        <v>6</v>
      </c>
      <c r="E2996" t="s">
        <v>54</v>
      </c>
      <c r="F2996" t="s">
        <v>67</v>
      </c>
      <c r="G2996" t="s">
        <v>34</v>
      </c>
      <c r="H2996" s="3">
        <v>67957.659323468077</v>
      </c>
      <c r="I2996">
        <v>80</v>
      </c>
      <c r="J2996" s="3">
        <v>32846.300427141723</v>
      </c>
      <c r="K2996" s="3">
        <v>35111.358896326361</v>
      </c>
    </row>
    <row r="2997" spans="1:11" x14ac:dyDescent="0.3">
      <c r="A2997" t="s">
        <v>3073</v>
      </c>
      <c r="B2997" s="2">
        <v>46174</v>
      </c>
      <c r="C2997">
        <v>2026</v>
      </c>
      <c r="D2997">
        <v>6</v>
      </c>
      <c r="E2997" t="s">
        <v>54</v>
      </c>
      <c r="F2997" t="s">
        <v>48</v>
      </c>
      <c r="G2997" t="s">
        <v>34</v>
      </c>
      <c r="H2997" s="3">
        <v>104804.415578085</v>
      </c>
      <c r="I2997">
        <v>123</v>
      </c>
      <c r="J2997" s="3">
        <v>49240.655537133433</v>
      </c>
      <c r="K2997" s="3">
        <v>55563.760040951587</v>
      </c>
    </row>
    <row r="2998" spans="1:11" x14ac:dyDescent="0.3">
      <c r="A2998" t="s">
        <v>3074</v>
      </c>
      <c r="B2998" s="2">
        <v>46174</v>
      </c>
      <c r="C2998">
        <v>2026</v>
      </c>
      <c r="D2998">
        <v>6</v>
      </c>
      <c r="E2998" t="s">
        <v>58</v>
      </c>
      <c r="F2998" t="s">
        <v>67</v>
      </c>
      <c r="G2998" t="s">
        <v>34</v>
      </c>
      <c r="H2998" s="3">
        <v>51617.530155957757</v>
      </c>
      <c r="I2998">
        <v>61</v>
      </c>
      <c r="J2998" s="3">
        <v>25190.32011252626</v>
      </c>
      <c r="K2998" s="3">
        <v>26427.2100434315</v>
      </c>
    </row>
    <row r="2999" spans="1:11" x14ac:dyDescent="0.3">
      <c r="A2999" t="s">
        <v>3075</v>
      </c>
      <c r="B2999" s="2">
        <v>46174</v>
      </c>
      <c r="C2999">
        <v>2026</v>
      </c>
      <c r="D2999">
        <v>6</v>
      </c>
      <c r="E2999" t="s">
        <v>58</v>
      </c>
      <c r="F2999" t="s">
        <v>48</v>
      </c>
      <c r="G2999" t="s">
        <v>34</v>
      </c>
      <c r="H2999" s="3">
        <v>70182.674838550651</v>
      </c>
      <c r="I2999">
        <v>83</v>
      </c>
      <c r="J2999" s="3">
        <v>32614.102561221491</v>
      </c>
      <c r="K2999" s="3">
        <v>37568.572277329164</v>
      </c>
    </row>
    <row r="3000" spans="1:11" x14ac:dyDescent="0.3">
      <c r="A3000" t="s">
        <v>3076</v>
      </c>
      <c r="B3000" s="2">
        <v>46174</v>
      </c>
      <c r="C3000">
        <v>2026</v>
      </c>
      <c r="D3000">
        <v>6</v>
      </c>
      <c r="E3000" t="s">
        <v>62</v>
      </c>
      <c r="F3000" t="s">
        <v>67</v>
      </c>
      <c r="G3000" t="s">
        <v>34</v>
      </c>
      <c r="H3000" s="3">
        <v>39397.362040496773</v>
      </c>
      <c r="I3000">
        <v>46</v>
      </c>
      <c r="J3000" s="3">
        <v>18713.947884620971</v>
      </c>
      <c r="K3000" s="3">
        <v>20683.414155875791</v>
      </c>
    </row>
    <row r="3001" spans="1:11" x14ac:dyDescent="0.3">
      <c r="A3001" t="s">
        <v>3077</v>
      </c>
      <c r="B3001" s="2">
        <v>46174</v>
      </c>
      <c r="C3001">
        <v>2026</v>
      </c>
      <c r="D3001">
        <v>6</v>
      </c>
      <c r="E3001" t="s">
        <v>62</v>
      </c>
      <c r="F3001" t="s">
        <v>48</v>
      </c>
      <c r="G3001" t="s">
        <v>34</v>
      </c>
      <c r="H3001" s="3">
        <v>52941.004204819707</v>
      </c>
      <c r="I3001">
        <v>62</v>
      </c>
      <c r="J3001" s="3">
        <v>25293.666262475901</v>
      </c>
      <c r="K3001" s="3">
        <v>27647.337942343809</v>
      </c>
    </row>
    <row r="3002" spans="1:11" x14ac:dyDescent="0.3">
      <c r="A3002" t="s">
        <v>3078</v>
      </c>
      <c r="B3002" s="2">
        <v>46174</v>
      </c>
      <c r="C3002">
        <v>2026</v>
      </c>
      <c r="D3002">
        <v>6</v>
      </c>
      <c r="E3002" t="s">
        <v>50</v>
      </c>
      <c r="F3002" t="s">
        <v>67</v>
      </c>
      <c r="G3002" t="s">
        <v>37</v>
      </c>
      <c r="H3002" s="3">
        <v>82220.36624750105</v>
      </c>
      <c r="I3002">
        <v>114</v>
      </c>
      <c r="J3002" s="3">
        <v>44703.327024096667</v>
      </c>
      <c r="K3002" s="3">
        <v>37517.039223404383</v>
      </c>
    </row>
    <row r="3003" spans="1:11" x14ac:dyDescent="0.3">
      <c r="A3003" t="s">
        <v>3079</v>
      </c>
      <c r="B3003" s="2">
        <v>46174</v>
      </c>
      <c r="C3003">
        <v>2026</v>
      </c>
      <c r="D3003">
        <v>6</v>
      </c>
      <c r="E3003" t="s">
        <v>50</v>
      </c>
      <c r="F3003" t="s">
        <v>48</v>
      </c>
      <c r="G3003" t="s">
        <v>37</v>
      </c>
      <c r="H3003" s="3">
        <v>104562.0089502648</v>
      </c>
      <c r="I3003">
        <v>145</v>
      </c>
      <c r="J3003" s="3">
        <v>56924.174725545941</v>
      </c>
      <c r="K3003" s="3">
        <v>47637.834224718892</v>
      </c>
    </row>
    <row r="3004" spans="1:11" x14ac:dyDescent="0.3">
      <c r="A3004" t="s">
        <v>3080</v>
      </c>
      <c r="B3004" s="2">
        <v>46174</v>
      </c>
      <c r="C3004">
        <v>2026</v>
      </c>
      <c r="D3004">
        <v>6</v>
      </c>
      <c r="E3004" t="s">
        <v>54</v>
      </c>
      <c r="F3004" t="s">
        <v>67</v>
      </c>
      <c r="G3004" t="s">
        <v>37</v>
      </c>
      <c r="H3004" s="3">
        <v>63094.519763917211</v>
      </c>
      <c r="I3004">
        <v>88</v>
      </c>
      <c r="J3004" s="3">
        <v>35870.725874601587</v>
      </c>
      <c r="K3004" s="3">
        <v>27223.793889315621</v>
      </c>
    </row>
    <row r="3005" spans="1:11" x14ac:dyDescent="0.3">
      <c r="A3005" t="s">
        <v>3081</v>
      </c>
      <c r="B3005" s="2">
        <v>46174</v>
      </c>
      <c r="C3005">
        <v>2026</v>
      </c>
      <c r="D3005">
        <v>6</v>
      </c>
      <c r="E3005" t="s">
        <v>54</v>
      </c>
      <c r="F3005" t="s">
        <v>48</v>
      </c>
      <c r="G3005" t="s">
        <v>37</v>
      </c>
      <c r="H3005" s="3">
        <v>87657.703761539626</v>
      </c>
      <c r="I3005">
        <v>122</v>
      </c>
      <c r="J3005" s="3">
        <v>47473.330269264246</v>
      </c>
      <c r="K3005" s="3">
        <v>40184.373492275379</v>
      </c>
    </row>
    <row r="3006" spans="1:11" x14ac:dyDescent="0.3">
      <c r="A3006" t="s">
        <v>3082</v>
      </c>
      <c r="B3006" s="2">
        <v>46174</v>
      </c>
      <c r="C3006">
        <v>2026</v>
      </c>
      <c r="D3006">
        <v>6</v>
      </c>
      <c r="E3006" t="s">
        <v>58</v>
      </c>
      <c r="F3006" t="s">
        <v>67</v>
      </c>
      <c r="G3006" t="s">
        <v>37</v>
      </c>
      <c r="H3006" s="3">
        <v>47762.843484708173</v>
      </c>
      <c r="I3006">
        <v>66</v>
      </c>
      <c r="J3006" s="3">
        <v>27423.90085790426</v>
      </c>
      <c r="K3006" s="3">
        <v>20338.94262680391</v>
      </c>
    </row>
    <row r="3007" spans="1:11" x14ac:dyDescent="0.3">
      <c r="A3007" t="s">
        <v>3083</v>
      </c>
      <c r="B3007" s="2">
        <v>46174</v>
      </c>
      <c r="C3007">
        <v>2026</v>
      </c>
      <c r="D3007">
        <v>6</v>
      </c>
      <c r="E3007" t="s">
        <v>58</v>
      </c>
      <c r="F3007" t="s">
        <v>48</v>
      </c>
      <c r="G3007" t="s">
        <v>37</v>
      </c>
      <c r="H3007" s="3">
        <v>62458.537455381753</v>
      </c>
      <c r="I3007">
        <v>87</v>
      </c>
      <c r="J3007" s="3">
        <v>34622.48836397133</v>
      </c>
      <c r="K3007" s="3">
        <v>27836.049091410419</v>
      </c>
    </row>
    <row r="3008" spans="1:11" x14ac:dyDescent="0.3">
      <c r="A3008" t="s">
        <v>3084</v>
      </c>
      <c r="B3008" s="2">
        <v>46174</v>
      </c>
      <c r="C3008">
        <v>2026</v>
      </c>
      <c r="D3008">
        <v>6</v>
      </c>
      <c r="E3008" t="s">
        <v>62</v>
      </c>
      <c r="F3008" t="s">
        <v>67</v>
      </c>
      <c r="G3008" t="s">
        <v>37</v>
      </c>
      <c r="H3008" s="3">
        <v>31312.140295117952</v>
      </c>
      <c r="I3008">
        <v>43</v>
      </c>
      <c r="J3008" s="3">
        <v>17250.213351721432</v>
      </c>
      <c r="K3008" s="3">
        <v>14061.92694339652</v>
      </c>
    </row>
    <row r="3009" spans="1:11" x14ac:dyDescent="0.3">
      <c r="A3009" t="s">
        <v>3085</v>
      </c>
      <c r="B3009" s="2">
        <v>46174</v>
      </c>
      <c r="C3009">
        <v>2026</v>
      </c>
      <c r="D3009">
        <v>6</v>
      </c>
      <c r="E3009" t="s">
        <v>62</v>
      </c>
      <c r="F3009" t="s">
        <v>48</v>
      </c>
      <c r="G3009" t="s">
        <v>37</v>
      </c>
      <c r="H3009" s="3">
        <v>46801.158561885713</v>
      </c>
      <c r="I3009">
        <v>65</v>
      </c>
      <c r="J3009" s="3">
        <v>25961.294351932549</v>
      </c>
      <c r="K3009" s="3">
        <v>20839.864209953172</v>
      </c>
    </row>
    <row r="3010" spans="1:11" x14ac:dyDescent="0.3">
      <c r="A3010" t="s">
        <v>3086</v>
      </c>
      <c r="B3010" s="2">
        <v>46174</v>
      </c>
      <c r="C3010">
        <v>2026</v>
      </c>
      <c r="D3010">
        <v>6</v>
      </c>
      <c r="E3010" t="s">
        <v>50</v>
      </c>
      <c r="F3010" t="s">
        <v>67</v>
      </c>
      <c r="G3010" t="s">
        <v>40</v>
      </c>
      <c r="H3010" s="3">
        <v>66444.293446732729</v>
      </c>
      <c r="I3010">
        <v>12</v>
      </c>
      <c r="J3010" s="3">
        <v>47934.355309433056</v>
      </c>
      <c r="K3010" s="3">
        <v>18509.938137299661</v>
      </c>
    </row>
    <row r="3011" spans="1:11" x14ac:dyDescent="0.3">
      <c r="A3011" t="s">
        <v>3087</v>
      </c>
      <c r="B3011" s="2">
        <v>46174</v>
      </c>
      <c r="C3011">
        <v>2026</v>
      </c>
      <c r="D3011">
        <v>6</v>
      </c>
      <c r="E3011" t="s">
        <v>50</v>
      </c>
      <c r="F3011" t="s">
        <v>48</v>
      </c>
      <c r="G3011" t="s">
        <v>40</v>
      </c>
      <c r="H3011" s="3">
        <v>90938.457861733186</v>
      </c>
      <c r="I3011">
        <v>17</v>
      </c>
      <c r="J3011" s="3">
        <v>61625.316695840811</v>
      </c>
      <c r="K3011" s="3">
        <v>29313.141165892379</v>
      </c>
    </row>
    <row r="3012" spans="1:11" x14ac:dyDescent="0.3">
      <c r="A3012" t="s">
        <v>3088</v>
      </c>
      <c r="B3012" s="2">
        <v>46174</v>
      </c>
      <c r="C3012">
        <v>2026</v>
      </c>
      <c r="D3012">
        <v>6</v>
      </c>
      <c r="E3012" t="s">
        <v>54</v>
      </c>
      <c r="F3012" t="s">
        <v>67</v>
      </c>
      <c r="G3012" t="s">
        <v>40</v>
      </c>
      <c r="H3012" s="3">
        <v>51834.604036065452</v>
      </c>
      <c r="I3012">
        <v>10</v>
      </c>
      <c r="J3012" s="3">
        <v>35044.567658632543</v>
      </c>
      <c r="K3012" s="3">
        <v>16790.036377432909</v>
      </c>
    </row>
    <row r="3013" spans="1:11" x14ac:dyDescent="0.3">
      <c r="A3013" t="s">
        <v>3089</v>
      </c>
      <c r="B3013" s="2">
        <v>46174</v>
      </c>
      <c r="C3013">
        <v>2026</v>
      </c>
      <c r="D3013">
        <v>6</v>
      </c>
      <c r="E3013" t="s">
        <v>54</v>
      </c>
      <c r="F3013" t="s">
        <v>48</v>
      </c>
      <c r="G3013" t="s">
        <v>40</v>
      </c>
      <c r="H3013" s="3">
        <v>70962.822974849405</v>
      </c>
      <c r="I3013">
        <v>13</v>
      </c>
      <c r="J3013" s="3">
        <v>48299.040294085353</v>
      </c>
      <c r="K3013" s="3">
        <v>22663.782680764049</v>
      </c>
    </row>
    <row r="3014" spans="1:11" x14ac:dyDescent="0.3">
      <c r="A3014" t="s">
        <v>3090</v>
      </c>
      <c r="B3014" s="2">
        <v>46174</v>
      </c>
      <c r="C3014">
        <v>2026</v>
      </c>
      <c r="D3014">
        <v>6</v>
      </c>
      <c r="E3014" t="s">
        <v>58</v>
      </c>
      <c r="F3014" t="s">
        <v>67</v>
      </c>
      <c r="G3014" t="s">
        <v>40</v>
      </c>
      <c r="H3014" s="3">
        <v>39324.359764733577</v>
      </c>
      <c r="I3014">
        <v>7</v>
      </c>
      <c r="J3014" s="3">
        <v>27149.507225412221</v>
      </c>
      <c r="K3014" s="3">
        <v>12174.852539321369</v>
      </c>
    </row>
    <row r="3015" spans="1:11" x14ac:dyDescent="0.3">
      <c r="A3015" t="s">
        <v>3091</v>
      </c>
      <c r="B3015" s="2">
        <v>46174</v>
      </c>
      <c r="C3015">
        <v>2026</v>
      </c>
      <c r="D3015">
        <v>6</v>
      </c>
      <c r="E3015" t="s">
        <v>58</v>
      </c>
      <c r="F3015" t="s">
        <v>48</v>
      </c>
      <c r="G3015" t="s">
        <v>40</v>
      </c>
      <c r="H3015" s="3">
        <v>52036.058916993134</v>
      </c>
      <c r="I3015">
        <v>10</v>
      </c>
      <c r="J3015" s="3">
        <v>34789.535739859588</v>
      </c>
      <c r="K3015" s="3">
        <v>17246.523177133538</v>
      </c>
    </row>
    <row r="3016" spans="1:11" x14ac:dyDescent="0.3">
      <c r="A3016" t="s">
        <v>3092</v>
      </c>
      <c r="B3016" s="2">
        <v>46174</v>
      </c>
      <c r="C3016">
        <v>2026</v>
      </c>
      <c r="D3016">
        <v>6</v>
      </c>
      <c r="E3016" t="s">
        <v>62</v>
      </c>
      <c r="F3016" t="s">
        <v>67</v>
      </c>
      <c r="G3016" t="s">
        <v>40</v>
      </c>
      <c r="H3016" s="3">
        <v>26069.694639322031</v>
      </c>
      <c r="I3016">
        <v>5</v>
      </c>
      <c r="J3016" s="3">
        <v>17995.322425304279</v>
      </c>
      <c r="K3016" s="3">
        <v>8074.3722140177488</v>
      </c>
    </row>
    <row r="3017" spans="1:11" x14ac:dyDescent="0.3">
      <c r="A3017" t="s">
        <v>3093</v>
      </c>
      <c r="B3017" s="2">
        <v>46174</v>
      </c>
      <c r="C3017">
        <v>2026</v>
      </c>
      <c r="D3017">
        <v>6</v>
      </c>
      <c r="E3017" t="s">
        <v>62</v>
      </c>
      <c r="F3017" t="s">
        <v>48</v>
      </c>
      <c r="G3017" t="s">
        <v>40</v>
      </c>
      <c r="H3017" s="3">
        <v>36249.189227474853</v>
      </c>
      <c r="I3017">
        <v>7</v>
      </c>
      <c r="J3017" s="3">
        <v>25774.400771426761</v>
      </c>
      <c r="K3017" s="3">
        <v>10474.788456048091</v>
      </c>
    </row>
    <row r="3018" spans="1:11" x14ac:dyDescent="0.3">
      <c r="A3018" t="s">
        <v>3094</v>
      </c>
      <c r="B3018" s="2">
        <v>46174</v>
      </c>
      <c r="C3018">
        <v>2026</v>
      </c>
      <c r="D3018">
        <v>6</v>
      </c>
      <c r="E3018" t="s">
        <v>50</v>
      </c>
      <c r="F3018" t="s">
        <v>67</v>
      </c>
      <c r="G3018" t="s">
        <v>43</v>
      </c>
      <c r="H3018" s="3">
        <v>135919.85859916659</v>
      </c>
      <c r="I3018">
        <v>39</v>
      </c>
      <c r="J3018" s="3">
        <v>80411.268432851444</v>
      </c>
      <c r="K3018" s="3">
        <v>55508.590166315167</v>
      </c>
    </row>
    <row r="3019" spans="1:11" x14ac:dyDescent="0.3">
      <c r="A3019" t="s">
        <v>3095</v>
      </c>
      <c r="B3019" s="2">
        <v>46174</v>
      </c>
      <c r="C3019">
        <v>2026</v>
      </c>
      <c r="D3019">
        <v>6</v>
      </c>
      <c r="E3019" t="s">
        <v>50</v>
      </c>
      <c r="F3019" t="s">
        <v>48</v>
      </c>
      <c r="G3019" t="s">
        <v>43</v>
      </c>
      <c r="H3019" s="3">
        <v>192551.0202510728</v>
      </c>
      <c r="I3019">
        <v>55</v>
      </c>
      <c r="J3019" s="3">
        <v>113006.59184283169</v>
      </c>
      <c r="K3019" s="3">
        <v>79544.42840824103</v>
      </c>
    </row>
    <row r="3020" spans="1:11" x14ac:dyDescent="0.3">
      <c r="A3020" t="s">
        <v>3096</v>
      </c>
      <c r="B3020" s="2">
        <v>46174</v>
      </c>
      <c r="C3020">
        <v>2026</v>
      </c>
      <c r="D3020">
        <v>6</v>
      </c>
      <c r="E3020" t="s">
        <v>54</v>
      </c>
      <c r="F3020" t="s">
        <v>67</v>
      </c>
      <c r="G3020" t="s">
        <v>43</v>
      </c>
      <c r="H3020" s="3">
        <v>105812.2153466094</v>
      </c>
      <c r="I3020">
        <v>30</v>
      </c>
      <c r="J3020" s="3">
        <v>61734.564254911667</v>
      </c>
      <c r="K3020" s="3">
        <v>44077.651091697757</v>
      </c>
    </row>
    <row r="3021" spans="1:11" x14ac:dyDescent="0.3">
      <c r="A3021" t="s">
        <v>3097</v>
      </c>
      <c r="B3021" s="2">
        <v>46174</v>
      </c>
      <c r="C3021">
        <v>2026</v>
      </c>
      <c r="D3021">
        <v>6</v>
      </c>
      <c r="E3021" t="s">
        <v>54</v>
      </c>
      <c r="F3021" t="s">
        <v>48</v>
      </c>
      <c r="G3021" t="s">
        <v>43</v>
      </c>
      <c r="H3021" s="3">
        <v>157944.8755149291</v>
      </c>
      <c r="I3021">
        <v>45</v>
      </c>
      <c r="J3021" s="3">
        <v>94694.617245030167</v>
      </c>
      <c r="K3021" s="3">
        <v>63250.258269898928</v>
      </c>
    </row>
    <row r="3022" spans="1:11" x14ac:dyDescent="0.3">
      <c r="A3022" t="s">
        <v>3098</v>
      </c>
      <c r="B3022" s="2">
        <v>46174</v>
      </c>
      <c r="C3022">
        <v>2026</v>
      </c>
      <c r="D3022">
        <v>6</v>
      </c>
      <c r="E3022" t="s">
        <v>58</v>
      </c>
      <c r="F3022" t="s">
        <v>67</v>
      </c>
      <c r="G3022" t="s">
        <v>43</v>
      </c>
      <c r="H3022" s="3">
        <v>75801.689406360369</v>
      </c>
      <c r="I3022">
        <v>22</v>
      </c>
      <c r="J3022" s="3">
        <v>44058.189853952063</v>
      </c>
      <c r="K3022" s="3">
        <v>31743.49955240831</v>
      </c>
    </row>
    <row r="3023" spans="1:11" x14ac:dyDescent="0.3">
      <c r="A3023" t="s">
        <v>3099</v>
      </c>
      <c r="B3023" s="2">
        <v>46174</v>
      </c>
      <c r="C3023">
        <v>2026</v>
      </c>
      <c r="D3023">
        <v>6</v>
      </c>
      <c r="E3023" t="s">
        <v>58</v>
      </c>
      <c r="F3023" t="s">
        <v>48</v>
      </c>
      <c r="G3023" t="s">
        <v>43</v>
      </c>
      <c r="H3023" s="3">
        <v>108365.8713596755</v>
      </c>
      <c r="I3023">
        <v>31</v>
      </c>
      <c r="J3023" s="3">
        <v>66060.780638058073</v>
      </c>
      <c r="K3023" s="3">
        <v>42305.090721617453</v>
      </c>
    </row>
    <row r="3024" spans="1:11" x14ac:dyDescent="0.3">
      <c r="A3024" t="s">
        <v>3100</v>
      </c>
      <c r="B3024" s="2">
        <v>46174</v>
      </c>
      <c r="C3024">
        <v>2026</v>
      </c>
      <c r="D3024">
        <v>6</v>
      </c>
      <c r="E3024" t="s">
        <v>62</v>
      </c>
      <c r="F3024" t="s">
        <v>67</v>
      </c>
      <c r="G3024" t="s">
        <v>43</v>
      </c>
      <c r="H3024" s="3">
        <v>56132.892669744528</v>
      </c>
      <c r="I3024">
        <v>16</v>
      </c>
      <c r="J3024" s="3">
        <v>34270.942973884303</v>
      </c>
      <c r="K3024" s="3">
        <v>21861.949695860229</v>
      </c>
    </row>
    <row r="3025" spans="1:11" x14ac:dyDescent="0.3">
      <c r="A3025" t="s">
        <v>3101</v>
      </c>
      <c r="B3025" s="2">
        <v>46174</v>
      </c>
      <c r="C3025">
        <v>2026</v>
      </c>
      <c r="D3025">
        <v>6</v>
      </c>
      <c r="E3025" t="s">
        <v>62</v>
      </c>
      <c r="F3025" t="s">
        <v>48</v>
      </c>
      <c r="G3025" t="s">
        <v>43</v>
      </c>
      <c r="H3025" s="3">
        <v>68386.99979209555</v>
      </c>
      <c r="I3025">
        <v>20</v>
      </c>
      <c r="J3025" s="3">
        <v>40534.800263908532</v>
      </c>
      <c r="K3025" s="3">
        <v>27852.199528187019</v>
      </c>
    </row>
    <row r="3026" spans="1:11" x14ac:dyDescent="0.3">
      <c r="A3026" t="s">
        <v>3102</v>
      </c>
      <c r="B3026" s="2">
        <v>46204</v>
      </c>
      <c r="C3026">
        <v>2026</v>
      </c>
      <c r="D3026">
        <v>7</v>
      </c>
      <c r="E3026" t="s">
        <v>50</v>
      </c>
      <c r="F3026" t="s">
        <v>67</v>
      </c>
      <c r="G3026" t="s">
        <v>19</v>
      </c>
      <c r="H3026" s="3">
        <v>136391.17208937151</v>
      </c>
      <c r="I3026">
        <v>26</v>
      </c>
      <c r="J3026" s="3">
        <v>84544.99928643844</v>
      </c>
      <c r="K3026" s="3">
        <v>51846.172802933012</v>
      </c>
    </row>
    <row r="3027" spans="1:11" x14ac:dyDescent="0.3">
      <c r="A3027" t="s">
        <v>3103</v>
      </c>
      <c r="B3027" s="2">
        <v>46204</v>
      </c>
      <c r="C3027">
        <v>2026</v>
      </c>
      <c r="D3027">
        <v>7</v>
      </c>
      <c r="E3027" t="s">
        <v>50</v>
      </c>
      <c r="F3027" t="s">
        <v>48</v>
      </c>
      <c r="G3027" t="s">
        <v>19</v>
      </c>
      <c r="H3027" s="3">
        <v>202531.8805532337</v>
      </c>
      <c r="I3027">
        <v>39</v>
      </c>
      <c r="J3027" s="3">
        <v>127899.3207389845</v>
      </c>
      <c r="K3027" s="3">
        <v>74632.559814249209</v>
      </c>
    </row>
    <row r="3028" spans="1:11" x14ac:dyDescent="0.3">
      <c r="A3028" t="s">
        <v>3104</v>
      </c>
      <c r="B3028" s="2">
        <v>46204</v>
      </c>
      <c r="C3028">
        <v>2026</v>
      </c>
      <c r="D3028">
        <v>7</v>
      </c>
      <c r="E3028" t="s">
        <v>54</v>
      </c>
      <c r="F3028" t="s">
        <v>67</v>
      </c>
      <c r="G3028" t="s">
        <v>19</v>
      </c>
      <c r="H3028" s="3">
        <v>129620.38400504561</v>
      </c>
      <c r="I3028">
        <v>25</v>
      </c>
      <c r="J3028" s="3">
        <v>81948.333620426376</v>
      </c>
      <c r="K3028" s="3">
        <v>47672.050384619222</v>
      </c>
    </row>
    <row r="3029" spans="1:11" x14ac:dyDescent="0.3">
      <c r="A3029" t="s">
        <v>3105</v>
      </c>
      <c r="B3029" s="2">
        <v>46204</v>
      </c>
      <c r="C3029">
        <v>2026</v>
      </c>
      <c r="D3029">
        <v>7</v>
      </c>
      <c r="E3029" t="s">
        <v>54</v>
      </c>
      <c r="F3029" t="s">
        <v>48</v>
      </c>
      <c r="G3029" t="s">
        <v>19</v>
      </c>
      <c r="H3029" s="3">
        <v>159414.48540705789</v>
      </c>
      <c r="I3029">
        <v>31</v>
      </c>
      <c r="J3029" s="3">
        <v>97403.068743707074</v>
      </c>
      <c r="K3029" s="3">
        <v>62011.416663350872</v>
      </c>
    </row>
    <row r="3030" spans="1:11" x14ac:dyDescent="0.3">
      <c r="A3030" t="s">
        <v>3106</v>
      </c>
      <c r="B3030" s="2">
        <v>46204</v>
      </c>
      <c r="C3030">
        <v>2026</v>
      </c>
      <c r="D3030">
        <v>7</v>
      </c>
      <c r="E3030" t="s">
        <v>58</v>
      </c>
      <c r="F3030" t="s">
        <v>67</v>
      </c>
      <c r="G3030" t="s">
        <v>19</v>
      </c>
      <c r="H3030" s="3">
        <v>82368.172369472362</v>
      </c>
      <c r="I3030">
        <v>16</v>
      </c>
      <c r="J3030" s="3">
        <v>50584.24222398737</v>
      </c>
      <c r="K3030" s="3">
        <v>31783.930145484988</v>
      </c>
    </row>
    <row r="3031" spans="1:11" x14ac:dyDescent="0.3">
      <c r="A3031" t="s">
        <v>3107</v>
      </c>
      <c r="B3031" s="2">
        <v>46204</v>
      </c>
      <c r="C3031">
        <v>2026</v>
      </c>
      <c r="D3031">
        <v>7</v>
      </c>
      <c r="E3031" t="s">
        <v>58</v>
      </c>
      <c r="F3031" t="s">
        <v>48</v>
      </c>
      <c r="G3031" t="s">
        <v>19</v>
      </c>
      <c r="H3031" s="3">
        <v>106830.4319842775</v>
      </c>
      <c r="I3031">
        <v>21</v>
      </c>
      <c r="J3031" s="3">
        <v>64658.328694137454</v>
      </c>
      <c r="K3031" s="3">
        <v>42172.103290140018</v>
      </c>
    </row>
    <row r="3032" spans="1:11" x14ac:dyDescent="0.3">
      <c r="A3032" t="s">
        <v>3108</v>
      </c>
      <c r="B3032" s="2">
        <v>46204</v>
      </c>
      <c r="C3032">
        <v>2026</v>
      </c>
      <c r="D3032">
        <v>7</v>
      </c>
      <c r="E3032" t="s">
        <v>62</v>
      </c>
      <c r="F3032" t="s">
        <v>67</v>
      </c>
      <c r="G3032" t="s">
        <v>19</v>
      </c>
      <c r="H3032" s="3">
        <v>56789.091805672673</v>
      </c>
      <c r="I3032">
        <v>11</v>
      </c>
      <c r="J3032" s="3">
        <v>35468.488477443942</v>
      </c>
      <c r="K3032" s="3">
        <v>21320.603328228721</v>
      </c>
    </row>
    <row r="3033" spans="1:11" x14ac:dyDescent="0.3">
      <c r="A3033" t="s">
        <v>3109</v>
      </c>
      <c r="B3033" s="2">
        <v>46204</v>
      </c>
      <c r="C3033">
        <v>2026</v>
      </c>
      <c r="D3033">
        <v>7</v>
      </c>
      <c r="E3033" t="s">
        <v>62</v>
      </c>
      <c r="F3033" t="s">
        <v>48</v>
      </c>
      <c r="G3033" t="s">
        <v>19</v>
      </c>
      <c r="H3033" s="3">
        <v>85201.699499140828</v>
      </c>
      <c r="I3033">
        <v>16</v>
      </c>
      <c r="J3033" s="3">
        <v>53458.917456688418</v>
      </c>
      <c r="K3033" s="3">
        <v>31742.7820424524</v>
      </c>
    </row>
    <row r="3034" spans="1:11" x14ac:dyDescent="0.3">
      <c r="A3034" t="s">
        <v>3110</v>
      </c>
      <c r="B3034" s="2">
        <v>46204</v>
      </c>
      <c r="C3034">
        <v>2026</v>
      </c>
      <c r="D3034">
        <v>7</v>
      </c>
      <c r="E3034" t="s">
        <v>50</v>
      </c>
      <c r="F3034" t="s">
        <v>67</v>
      </c>
      <c r="G3034" t="s">
        <v>24</v>
      </c>
      <c r="H3034" s="3">
        <v>148268.40687209021</v>
      </c>
      <c r="I3034">
        <v>24</v>
      </c>
      <c r="J3034" s="3">
        <v>95479.350809768293</v>
      </c>
      <c r="K3034" s="3">
        <v>52789.056062321863</v>
      </c>
    </row>
    <row r="3035" spans="1:11" x14ac:dyDescent="0.3">
      <c r="A3035" t="s">
        <v>3111</v>
      </c>
      <c r="B3035" s="2">
        <v>46204</v>
      </c>
      <c r="C3035">
        <v>2026</v>
      </c>
      <c r="D3035">
        <v>7</v>
      </c>
      <c r="E3035" t="s">
        <v>50</v>
      </c>
      <c r="F3035" t="s">
        <v>48</v>
      </c>
      <c r="G3035" t="s">
        <v>24</v>
      </c>
      <c r="H3035" s="3">
        <v>210577.0517978821</v>
      </c>
      <c r="I3035">
        <v>35</v>
      </c>
      <c r="J3035" s="3">
        <v>137842.1033995114</v>
      </c>
      <c r="K3035" s="3">
        <v>72734.948398370732</v>
      </c>
    </row>
    <row r="3036" spans="1:11" x14ac:dyDescent="0.3">
      <c r="A3036" t="s">
        <v>3112</v>
      </c>
      <c r="B3036" s="2">
        <v>46204</v>
      </c>
      <c r="C3036">
        <v>2026</v>
      </c>
      <c r="D3036">
        <v>7</v>
      </c>
      <c r="E3036" t="s">
        <v>54</v>
      </c>
      <c r="F3036" t="s">
        <v>67</v>
      </c>
      <c r="G3036" t="s">
        <v>24</v>
      </c>
      <c r="H3036" s="3">
        <v>119535.02013948769</v>
      </c>
      <c r="I3036">
        <v>20</v>
      </c>
      <c r="J3036" s="3">
        <v>76979.910284909303</v>
      </c>
      <c r="K3036" s="3">
        <v>42555.109854578361</v>
      </c>
    </row>
    <row r="3037" spans="1:11" x14ac:dyDescent="0.3">
      <c r="A3037" t="s">
        <v>3113</v>
      </c>
      <c r="B3037" s="2">
        <v>46204</v>
      </c>
      <c r="C3037">
        <v>2026</v>
      </c>
      <c r="D3037">
        <v>7</v>
      </c>
      <c r="E3037" t="s">
        <v>54</v>
      </c>
      <c r="F3037" t="s">
        <v>48</v>
      </c>
      <c r="G3037" t="s">
        <v>24</v>
      </c>
      <c r="H3037" s="3">
        <v>166004.24790993039</v>
      </c>
      <c r="I3037">
        <v>27</v>
      </c>
      <c r="J3037" s="3">
        <v>107790.2531326832</v>
      </c>
      <c r="K3037" s="3">
        <v>58213.994777247208</v>
      </c>
    </row>
    <row r="3038" spans="1:11" x14ac:dyDescent="0.3">
      <c r="A3038" t="s">
        <v>3114</v>
      </c>
      <c r="B3038" s="2">
        <v>46204</v>
      </c>
      <c r="C3038">
        <v>2026</v>
      </c>
      <c r="D3038">
        <v>7</v>
      </c>
      <c r="E3038" t="s">
        <v>58</v>
      </c>
      <c r="F3038" t="s">
        <v>67</v>
      </c>
      <c r="G3038" t="s">
        <v>24</v>
      </c>
      <c r="H3038" s="3">
        <v>83264.943025231187</v>
      </c>
      <c r="I3038">
        <v>14</v>
      </c>
      <c r="J3038" s="3">
        <v>55499.921597665583</v>
      </c>
      <c r="K3038" s="3">
        <v>27765.021427565611</v>
      </c>
    </row>
    <row r="3039" spans="1:11" x14ac:dyDescent="0.3">
      <c r="A3039" t="s">
        <v>3115</v>
      </c>
      <c r="B3039" s="2">
        <v>46204</v>
      </c>
      <c r="C3039">
        <v>2026</v>
      </c>
      <c r="D3039">
        <v>7</v>
      </c>
      <c r="E3039" t="s">
        <v>58</v>
      </c>
      <c r="F3039" t="s">
        <v>48</v>
      </c>
      <c r="G3039" t="s">
        <v>24</v>
      </c>
      <c r="H3039" s="3">
        <v>114615.6020853324</v>
      </c>
      <c r="I3039">
        <v>19</v>
      </c>
      <c r="J3039" s="3">
        <v>74647.563730668815</v>
      </c>
      <c r="K3039" s="3">
        <v>39968.0383546636</v>
      </c>
    </row>
    <row r="3040" spans="1:11" x14ac:dyDescent="0.3">
      <c r="A3040" t="s">
        <v>3116</v>
      </c>
      <c r="B3040" s="2">
        <v>46204</v>
      </c>
      <c r="C3040">
        <v>2026</v>
      </c>
      <c r="D3040">
        <v>7</v>
      </c>
      <c r="E3040" t="s">
        <v>62</v>
      </c>
      <c r="F3040" t="s">
        <v>67</v>
      </c>
      <c r="G3040" t="s">
        <v>24</v>
      </c>
      <c r="H3040" s="3">
        <v>58647.599779392593</v>
      </c>
      <c r="I3040">
        <v>10</v>
      </c>
      <c r="J3040" s="3">
        <v>38497.820337560188</v>
      </c>
      <c r="K3040" s="3">
        <v>20149.779441832401</v>
      </c>
    </row>
    <row r="3041" spans="1:11" x14ac:dyDescent="0.3">
      <c r="A3041" t="s">
        <v>3117</v>
      </c>
      <c r="B3041" s="2">
        <v>46204</v>
      </c>
      <c r="C3041">
        <v>2026</v>
      </c>
      <c r="D3041">
        <v>7</v>
      </c>
      <c r="E3041" t="s">
        <v>62</v>
      </c>
      <c r="F3041" t="s">
        <v>48</v>
      </c>
      <c r="G3041" t="s">
        <v>24</v>
      </c>
      <c r="H3041" s="3">
        <v>84659.305603973902</v>
      </c>
      <c r="I3041">
        <v>14</v>
      </c>
      <c r="J3041" s="3">
        <v>54238.468777658803</v>
      </c>
      <c r="K3041" s="3">
        <v>30420.836826315099</v>
      </c>
    </row>
    <row r="3042" spans="1:11" x14ac:dyDescent="0.3">
      <c r="A3042" t="s">
        <v>3118</v>
      </c>
      <c r="B3042" s="2">
        <v>46204</v>
      </c>
      <c r="C3042">
        <v>2026</v>
      </c>
      <c r="D3042">
        <v>7</v>
      </c>
      <c r="E3042" t="s">
        <v>50</v>
      </c>
      <c r="F3042" t="s">
        <v>67</v>
      </c>
      <c r="G3042" t="s">
        <v>29</v>
      </c>
      <c r="H3042" s="3">
        <v>96012.029125723362</v>
      </c>
      <c r="I3042">
        <v>22</v>
      </c>
      <c r="J3042" s="3">
        <v>61654.520765468762</v>
      </c>
      <c r="K3042" s="3">
        <v>34357.5083602546</v>
      </c>
    </row>
    <row r="3043" spans="1:11" x14ac:dyDescent="0.3">
      <c r="A3043" t="s">
        <v>3119</v>
      </c>
      <c r="B3043" s="2">
        <v>46204</v>
      </c>
      <c r="C3043">
        <v>2026</v>
      </c>
      <c r="D3043">
        <v>7</v>
      </c>
      <c r="E3043" t="s">
        <v>50</v>
      </c>
      <c r="F3043" t="s">
        <v>48</v>
      </c>
      <c r="G3043" t="s">
        <v>29</v>
      </c>
      <c r="H3043" s="3">
        <v>151177.07528396981</v>
      </c>
      <c r="I3043">
        <v>35</v>
      </c>
      <c r="J3043" s="3">
        <v>96676.223542937456</v>
      </c>
      <c r="K3043" s="3">
        <v>54500.851741032377</v>
      </c>
    </row>
    <row r="3044" spans="1:11" x14ac:dyDescent="0.3">
      <c r="A3044" t="s">
        <v>3120</v>
      </c>
      <c r="B3044" s="2">
        <v>46204</v>
      </c>
      <c r="C3044">
        <v>2026</v>
      </c>
      <c r="D3044">
        <v>7</v>
      </c>
      <c r="E3044" t="s">
        <v>54</v>
      </c>
      <c r="F3044" t="s">
        <v>67</v>
      </c>
      <c r="G3044" t="s">
        <v>29</v>
      </c>
      <c r="H3044" s="3">
        <v>88295.278723422452</v>
      </c>
      <c r="I3044">
        <v>21</v>
      </c>
      <c r="J3044" s="3">
        <v>55767.509017950681</v>
      </c>
      <c r="K3044" s="3">
        <v>32527.769705471768</v>
      </c>
    </row>
    <row r="3045" spans="1:11" x14ac:dyDescent="0.3">
      <c r="A3045" t="s">
        <v>3121</v>
      </c>
      <c r="B3045" s="2">
        <v>46204</v>
      </c>
      <c r="C3045">
        <v>2026</v>
      </c>
      <c r="D3045">
        <v>7</v>
      </c>
      <c r="E3045" t="s">
        <v>54</v>
      </c>
      <c r="F3045" t="s">
        <v>48</v>
      </c>
      <c r="G3045" t="s">
        <v>29</v>
      </c>
      <c r="H3045" s="3">
        <v>112013.7775434682</v>
      </c>
      <c r="I3045">
        <v>26</v>
      </c>
      <c r="J3045" s="3">
        <v>71444.913820538655</v>
      </c>
      <c r="K3045" s="3">
        <v>40568.863722929513</v>
      </c>
    </row>
    <row r="3046" spans="1:11" x14ac:dyDescent="0.3">
      <c r="A3046" t="s">
        <v>3122</v>
      </c>
      <c r="B3046" s="2">
        <v>46204</v>
      </c>
      <c r="C3046">
        <v>2026</v>
      </c>
      <c r="D3046">
        <v>7</v>
      </c>
      <c r="E3046" t="s">
        <v>58</v>
      </c>
      <c r="F3046" t="s">
        <v>67</v>
      </c>
      <c r="G3046" t="s">
        <v>29</v>
      </c>
      <c r="H3046" s="3">
        <v>50049.072349659516</v>
      </c>
      <c r="I3046">
        <v>12</v>
      </c>
      <c r="J3046" s="3">
        <v>32135.35807807625</v>
      </c>
      <c r="K3046" s="3">
        <v>17913.714271583271</v>
      </c>
    </row>
    <row r="3047" spans="1:11" x14ac:dyDescent="0.3">
      <c r="A3047" t="s">
        <v>3123</v>
      </c>
      <c r="B3047" s="2">
        <v>46204</v>
      </c>
      <c r="C3047">
        <v>2026</v>
      </c>
      <c r="D3047">
        <v>7</v>
      </c>
      <c r="E3047" t="s">
        <v>58</v>
      </c>
      <c r="F3047" t="s">
        <v>48</v>
      </c>
      <c r="G3047" t="s">
        <v>29</v>
      </c>
      <c r="H3047" s="3">
        <v>81329.548500059725</v>
      </c>
      <c r="I3047">
        <v>19</v>
      </c>
      <c r="J3047" s="3">
        <v>51287.447708529893</v>
      </c>
      <c r="K3047" s="3">
        <v>30042.100791529829</v>
      </c>
    </row>
    <row r="3048" spans="1:11" x14ac:dyDescent="0.3">
      <c r="A3048" t="s">
        <v>3124</v>
      </c>
      <c r="B3048" s="2">
        <v>46204</v>
      </c>
      <c r="C3048">
        <v>2026</v>
      </c>
      <c r="D3048">
        <v>7</v>
      </c>
      <c r="E3048" t="s">
        <v>62</v>
      </c>
      <c r="F3048" t="s">
        <v>67</v>
      </c>
      <c r="G3048" t="s">
        <v>29</v>
      </c>
      <c r="H3048" s="3">
        <v>41203.03691349391</v>
      </c>
      <c r="I3048">
        <v>10</v>
      </c>
      <c r="J3048" s="3">
        <v>25669.22234354731</v>
      </c>
      <c r="K3048" s="3">
        <v>15533.8145699466</v>
      </c>
    </row>
    <row r="3049" spans="1:11" x14ac:dyDescent="0.3">
      <c r="A3049" t="s">
        <v>3125</v>
      </c>
      <c r="B3049" s="2">
        <v>46204</v>
      </c>
      <c r="C3049">
        <v>2026</v>
      </c>
      <c r="D3049">
        <v>7</v>
      </c>
      <c r="E3049" t="s">
        <v>62</v>
      </c>
      <c r="F3049" t="s">
        <v>48</v>
      </c>
      <c r="G3049" t="s">
        <v>29</v>
      </c>
      <c r="H3049" s="3">
        <v>57124.828054740618</v>
      </c>
      <c r="I3049">
        <v>13</v>
      </c>
      <c r="J3049" s="3">
        <v>37748.098801197753</v>
      </c>
      <c r="K3049" s="3">
        <v>19376.729253542871</v>
      </c>
    </row>
    <row r="3050" spans="1:11" x14ac:dyDescent="0.3">
      <c r="A3050" t="s">
        <v>3126</v>
      </c>
      <c r="B3050" s="2">
        <v>46204</v>
      </c>
      <c r="C3050">
        <v>2026</v>
      </c>
      <c r="D3050">
        <v>7</v>
      </c>
      <c r="E3050" t="s">
        <v>50</v>
      </c>
      <c r="F3050" t="s">
        <v>67</v>
      </c>
      <c r="G3050" t="s">
        <v>34</v>
      </c>
      <c r="H3050" s="3">
        <v>96642.925815299895</v>
      </c>
      <c r="I3050">
        <v>114</v>
      </c>
      <c r="J3050" s="3">
        <v>45859.82492587241</v>
      </c>
      <c r="K3050" s="3">
        <v>50783.100889427493</v>
      </c>
    </row>
    <row r="3051" spans="1:11" x14ac:dyDescent="0.3">
      <c r="A3051" t="s">
        <v>3127</v>
      </c>
      <c r="B3051" s="2">
        <v>46204</v>
      </c>
      <c r="C3051">
        <v>2026</v>
      </c>
      <c r="D3051">
        <v>7</v>
      </c>
      <c r="E3051" t="s">
        <v>50</v>
      </c>
      <c r="F3051" t="s">
        <v>48</v>
      </c>
      <c r="G3051" t="s">
        <v>34</v>
      </c>
      <c r="H3051" s="3">
        <v>121535.846036096</v>
      </c>
      <c r="I3051">
        <v>143</v>
      </c>
      <c r="J3051" s="3">
        <v>58235.60124385704</v>
      </c>
      <c r="K3051" s="3">
        <v>63300.244792238918</v>
      </c>
    </row>
    <row r="3052" spans="1:11" x14ac:dyDescent="0.3">
      <c r="A3052" t="s">
        <v>3128</v>
      </c>
      <c r="B3052" s="2">
        <v>46204</v>
      </c>
      <c r="C3052">
        <v>2026</v>
      </c>
      <c r="D3052">
        <v>7</v>
      </c>
      <c r="E3052" t="s">
        <v>54</v>
      </c>
      <c r="F3052" t="s">
        <v>67</v>
      </c>
      <c r="G3052" t="s">
        <v>34</v>
      </c>
      <c r="H3052" s="3">
        <v>74382.185928634586</v>
      </c>
      <c r="I3052">
        <v>88</v>
      </c>
      <c r="J3052" s="3">
        <v>36353.077618892443</v>
      </c>
      <c r="K3052" s="3">
        <v>38029.108309742151</v>
      </c>
    </row>
    <row r="3053" spans="1:11" x14ac:dyDescent="0.3">
      <c r="A3053" t="s">
        <v>3129</v>
      </c>
      <c r="B3053" s="2">
        <v>46204</v>
      </c>
      <c r="C3053">
        <v>2026</v>
      </c>
      <c r="D3053">
        <v>7</v>
      </c>
      <c r="E3053" t="s">
        <v>54</v>
      </c>
      <c r="F3053" t="s">
        <v>48</v>
      </c>
      <c r="G3053" t="s">
        <v>34</v>
      </c>
      <c r="H3053" s="3">
        <v>108765.8311962024</v>
      </c>
      <c r="I3053">
        <v>128</v>
      </c>
      <c r="J3053" s="3">
        <v>55523.98193800469</v>
      </c>
      <c r="K3053" s="3">
        <v>53241.849258197712</v>
      </c>
    </row>
    <row r="3054" spans="1:11" x14ac:dyDescent="0.3">
      <c r="A3054" t="s">
        <v>3130</v>
      </c>
      <c r="B3054" s="2">
        <v>46204</v>
      </c>
      <c r="C3054">
        <v>2026</v>
      </c>
      <c r="D3054">
        <v>7</v>
      </c>
      <c r="E3054" t="s">
        <v>58</v>
      </c>
      <c r="F3054" t="s">
        <v>67</v>
      </c>
      <c r="G3054" t="s">
        <v>34</v>
      </c>
      <c r="H3054" s="3">
        <v>48372.75449055888</v>
      </c>
      <c r="I3054">
        <v>57</v>
      </c>
      <c r="J3054" s="3">
        <v>22698.80074340518</v>
      </c>
      <c r="K3054" s="3">
        <v>25673.953747153701</v>
      </c>
    </row>
    <row r="3055" spans="1:11" x14ac:dyDescent="0.3">
      <c r="A3055" t="s">
        <v>3131</v>
      </c>
      <c r="B3055" s="2">
        <v>46204</v>
      </c>
      <c r="C3055">
        <v>2026</v>
      </c>
      <c r="D3055">
        <v>7</v>
      </c>
      <c r="E3055" t="s">
        <v>58</v>
      </c>
      <c r="F3055" t="s">
        <v>48</v>
      </c>
      <c r="G3055" t="s">
        <v>34</v>
      </c>
      <c r="H3055" s="3">
        <v>68161.496131537351</v>
      </c>
      <c r="I3055">
        <v>80</v>
      </c>
      <c r="J3055" s="3">
        <v>32982.428283612673</v>
      </c>
      <c r="K3055" s="3">
        <v>35179.067847924693</v>
      </c>
    </row>
    <row r="3056" spans="1:11" x14ac:dyDescent="0.3">
      <c r="A3056" t="s">
        <v>3132</v>
      </c>
      <c r="B3056" s="2">
        <v>46204</v>
      </c>
      <c r="C3056">
        <v>2026</v>
      </c>
      <c r="D3056">
        <v>7</v>
      </c>
      <c r="E3056" t="s">
        <v>62</v>
      </c>
      <c r="F3056" t="s">
        <v>67</v>
      </c>
      <c r="G3056" t="s">
        <v>34</v>
      </c>
      <c r="H3056" s="3">
        <v>39275.851361132569</v>
      </c>
      <c r="I3056">
        <v>46</v>
      </c>
      <c r="J3056" s="3">
        <v>18612.30548647614</v>
      </c>
      <c r="K3056" s="3">
        <v>20663.545874656429</v>
      </c>
    </row>
    <row r="3057" spans="1:11" x14ac:dyDescent="0.3">
      <c r="A3057" t="s">
        <v>3133</v>
      </c>
      <c r="B3057" s="2">
        <v>46204</v>
      </c>
      <c r="C3057">
        <v>2026</v>
      </c>
      <c r="D3057">
        <v>7</v>
      </c>
      <c r="E3057" t="s">
        <v>62</v>
      </c>
      <c r="F3057" t="s">
        <v>48</v>
      </c>
      <c r="G3057" t="s">
        <v>34</v>
      </c>
      <c r="H3057" s="3">
        <v>52609.739188195847</v>
      </c>
      <c r="I3057">
        <v>62</v>
      </c>
      <c r="J3057" s="3">
        <v>25007.768675990159</v>
      </c>
      <c r="K3057" s="3">
        <v>27601.970512205698</v>
      </c>
    </row>
    <row r="3058" spans="1:11" x14ac:dyDescent="0.3">
      <c r="A3058" t="s">
        <v>3134</v>
      </c>
      <c r="B3058" s="2">
        <v>46204</v>
      </c>
      <c r="C3058">
        <v>2026</v>
      </c>
      <c r="D3058">
        <v>7</v>
      </c>
      <c r="E3058" t="s">
        <v>50</v>
      </c>
      <c r="F3058" t="s">
        <v>67</v>
      </c>
      <c r="G3058" t="s">
        <v>37</v>
      </c>
      <c r="H3058" s="3">
        <v>85659.429390823832</v>
      </c>
      <c r="I3058">
        <v>119</v>
      </c>
      <c r="J3058" s="3">
        <v>46501.92595243056</v>
      </c>
      <c r="K3058" s="3">
        <v>39157.503438393273</v>
      </c>
    </row>
    <row r="3059" spans="1:11" x14ac:dyDescent="0.3">
      <c r="A3059" t="s">
        <v>3135</v>
      </c>
      <c r="B3059" s="2">
        <v>46204</v>
      </c>
      <c r="C3059">
        <v>2026</v>
      </c>
      <c r="D3059">
        <v>7</v>
      </c>
      <c r="E3059" t="s">
        <v>50</v>
      </c>
      <c r="F3059" t="s">
        <v>48</v>
      </c>
      <c r="G3059" t="s">
        <v>37</v>
      </c>
      <c r="H3059" s="3">
        <v>105107.20633160359</v>
      </c>
      <c r="I3059">
        <v>146</v>
      </c>
      <c r="J3059" s="3">
        <v>56637.650437689757</v>
      </c>
      <c r="K3059" s="3">
        <v>48469.55589391385</v>
      </c>
    </row>
    <row r="3060" spans="1:11" x14ac:dyDescent="0.3">
      <c r="A3060" t="s">
        <v>3136</v>
      </c>
      <c r="B3060" s="2">
        <v>46204</v>
      </c>
      <c r="C3060">
        <v>2026</v>
      </c>
      <c r="D3060">
        <v>7</v>
      </c>
      <c r="E3060" t="s">
        <v>54</v>
      </c>
      <c r="F3060" t="s">
        <v>67</v>
      </c>
      <c r="G3060" t="s">
        <v>37</v>
      </c>
      <c r="H3060" s="3">
        <v>65105.364031965502</v>
      </c>
      <c r="I3060">
        <v>90</v>
      </c>
      <c r="J3060" s="3">
        <v>35781.336155091412</v>
      </c>
      <c r="K3060" s="3">
        <v>29324.027876874101</v>
      </c>
    </row>
    <row r="3061" spans="1:11" x14ac:dyDescent="0.3">
      <c r="A3061" t="s">
        <v>3137</v>
      </c>
      <c r="B3061" s="2">
        <v>46204</v>
      </c>
      <c r="C3061">
        <v>2026</v>
      </c>
      <c r="D3061">
        <v>7</v>
      </c>
      <c r="E3061" t="s">
        <v>54</v>
      </c>
      <c r="F3061" t="s">
        <v>48</v>
      </c>
      <c r="G3061" t="s">
        <v>37</v>
      </c>
      <c r="H3061" s="3">
        <v>90174.091659977115</v>
      </c>
      <c r="I3061">
        <v>125</v>
      </c>
      <c r="J3061" s="3">
        <v>48279.427202485189</v>
      </c>
      <c r="K3061" s="3">
        <v>41894.664457491926</v>
      </c>
    </row>
    <row r="3062" spans="1:11" x14ac:dyDescent="0.3">
      <c r="A3062" t="s">
        <v>3138</v>
      </c>
      <c r="B3062" s="2">
        <v>46204</v>
      </c>
      <c r="C3062">
        <v>2026</v>
      </c>
      <c r="D3062">
        <v>7</v>
      </c>
      <c r="E3062" t="s">
        <v>58</v>
      </c>
      <c r="F3062" t="s">
        <v>67</v>
      </c>
      <c r="G3062" t="s">
        <v>37</v>
      </c>
      <c r="H3062" s="3">
        <v>42895.566182611787</v>
      </c>
      <c r="I3062">
        <v>60</v>
      </c>
      <c r="J3062" s="3">
        <v>23994.638482088409</v>
      </c>
      <c r="K3062" s="3">
        <v>18900.927700523382</v>
      </c>
    </row>
    <row r="3063" spans="1:11" x14ac:dyDescent="0.3">
      <c r="A3063" t="s">
        <v>3139</v>
      </c>
      <c r="B3063" s="2">
        <v>46204</v>
      </c>
      <c r="C3063">
        <v>2026</v>
      </c>
      <c r="D3063">
        <v>7</v>
      </c>
      <c r="E3063" t="s">
        <v>58</v>
      </c>
      <c r="F3063" t="s">
        <v>48</v>
      </c>
      <c r="G3063" t="s">
        <v>37</v>
      </c>
      <c r="H3063" s="3">
        <v>60554.515135568086</v>
      </c>
      <c r="I3063">
        <v>84</v>
      </c>
      <c r="J3063" s="3">
        <v>33337.957018175533</v>
      </c>
      <c r="K3063" s="3">
        <v>27216.55811739256</v>
      </c>
    </row>
    <row r="3064" spans="1:11" x14ac:dyDescent="0.3">
      <c r="A3064" t="s">
        <v>3140</v>
      </c>
      <c r="B3064" s="2">
        <v>46204</v>
      </c>
      <c r="C3064">
        <v>2026</v>
      </c>
      <c r="D3064">
        <v>7</v>
      </c>
      <c r="E3064" t="s">
        <v>62</v>
      </c>
      <c r="F3064" t="s">
        <v>67</v>
      </c>
      <c r="G3064" t="s">
        <v>37</v>
      </c>
      <c r="H3064" s="3">
        <v>33387.116434762203</v>
      </c>
      <c r="I3064">
        <v>46</v>
      </c>
      <c r="J3064" s="3">
        <v>18502.542506820329</v>
      </c>
      <c r="K3064" s="3">
        <v>14884.57392794187</v>
      </c>
    </row>
    <row r="3065" spans="1:11" x14ac:dyDescent="0.3">
      <c r="A3065" t="s">
        <v>3141</v>
      </c>
      <c r="B3065" s="2">
        <v>46204</v>
      </c>
      <c r="C3065">
        <v>2026</v>
      </c>
      <c r="D3065">
        <v>7</v>
      </c>
      <c r="E3065" t="s">
        <v>62</v>
      </c>
      <c r="F3065" t="s">
        <v>48</v>
      </c>
      <c r="G3065" t="s">
        <v>37</v>
      </c>
      <c r="H3065" s="3">
        <v>47927.801555567843</v>
      </c>
      <c r="I3065">
        <v>67</v>
      </c>
      <c r="J3065" s="3">
        <v>26139.091242282149</v>
      </c>
      <c r="K3065" s="3">
        <v>21788.71031328569</v>
      </c>
    </row>
    <row r="3066" spans="1:11" x14ac:dyDescent="0.3">
      <c r="A3066" t="s">
        <v>3142</v>
      </c>
      <c r="B3066" s="2">
        <v>46204</v>
      </c>
      <c r="C3066">
        <v>2026</v>
      </c>
      <c r="D3066">
        <v>7</v>
      </c>
      <c r="E3066" t="s">
        <v>50</v>
      </c>
      <c r="F3066" t="s">
        <v>67</v>
      </c>
      <c r="G3066" t="s">
        <v>40</v>
      </c>
      <c r="H3066" s="3">
        <v>70721.937388325648</v>
      </c>
      <c r="I3066">
        <v>13</v>
      </c>
      <c r="J3066" s="3">
        <v>48475.597177285337</v>
      </c>
      <c r="K3066" s="3">
        <v>22246.3402110403</v>
      </c>
    </row>
    <row r="3067" spans="1:11" x14ac:dyDescent="0.3">
      <c r="A3067" t="s">
        <v>3143</v>
      </c>
      <c r="B3067" s="2">
        <v>46204</v>
      </c>
      <c r="C3067">
        <v>2026</v>
      </c>
      <c r="D3067">
        <v>7</v>
      </c>
      <c r="E3067" t="s">
        <v>50</v>
      </c>
      <c r="F3067" t="s">
        <v>48</v>
      </c>
      <c r="G3067" t="s">
        <v>40</v>
      </c>
      <c r="H3067" s="3">
        <v>100736.3077191934</v>
      </c>
      <c r="I3067">
        <v>19</v>
      </c>
      <c r="J3067" s="3">
        <v>69867.83645165863</v>
      </c>
      <c r="K3067" s="3">
        <v>30868.471267534798</v>
      </c>
    </row>
    <row r="3068" spans="1:11" x14ac:dyDescent="0.3">
      <c r="A3068" t="s">
        <v>3144</v>
      </c>
      <c r="B3068" s="2">
        <v>46204</v>
      </c>
      <c r="C3068">
        <v>2026</v>
      </c>
      <c r="D3068">
        <v>7</v>
      </c>
      <c r="E3068" t="s">
        <v>54</v>
      </c>
      <c r="F3068" t="s">
        <v>67</v>
      </c>
      <c r="G3068" t="s">
        <v>40</v>
      </c>
      <c r="H3068" s="3">
        <v>55760.525182758618</v>
      </c>
      <c r="I3068">
        <v>10</v>
      </c>
      <c r="J3068" s="3">
        <v>37668.604089543231</v>
      </c>
      <c r="K3068" s="3">
        <v>18091.921093215391</v>
      </c>
    </row>
    <row r="3069" spans="1:11" x14ac:dyDescent="0.3">
      <c r="A3069" t="s">
        <v>3145</v>
      </c>
      <c r="B3069" s="2">
        <v>46204</v>
      </c>
      <c r="C3069">
        <v>2026</v>
      </c>
      <c r="D3069">
        <v>7</v>
      </c>
      <c r="E3069" t="s">
        <v>54</v>
      </c>
      <c r="F3069" t="s">
        <v>48</v>
      </c>
      <c r="G3069" t="s">
        <v>40</v>
      </c>
      <c r="H3069" s="3">
        <v>75488.696011944106</v>
      </c>
      <c r="I3069">
        <v>14</v>
      </c>
      <c r="J3069" s="3">
        <v>51751.559298245069</v>
      </c>
      <c r="K3069" s="3">
        <v>23737.136713699041</v>
      </c>
    </row>
    <row r="3070" spans="1:11" x14ac:dyDescent="0.3">
      <c r="A3070" t="s">
        <v>3146</v>
      </c>
      <c r="B3070" s="2">
        <v>46204</v>
      </c>
      <c r="C3070">
        <v>2026</v>
      </c>
      <c r="D3070">
        <v>7</v>
      </c>
      <c r="E3070" t="s">
        <v>58</v>
      </c>
      <c r="F3070" t="s">
        <v>67</v>
      </c>
      <c r="G3070" t="s">
        <v>40</v>
      </c>
      <c r="H3070" s="3">
        <v>40562.046151312512</v>
      </c>
      <c r="I3070">
        <v>8</v>
      </c>
      <c r="J3070" s="3">
        <v>27554.755221269541</v>
      </c>
      <c r="K3070" s="3">
        <v>13007.290930042969</v>
      </c>
    </row>
    <row r="3071" spans="1:11" x14ac:dyDescent="0.3">
      <c r="A3071" t="s">
        <v>3147</v>
      </c>
      <c r="B3071" s="2">
        <v>46204</v>
      </c>
      <c r="C3071">
        <v>2026</v>
      </c>
      <c r="D3071">
        <v>7</v>
      </c>
      <c r="E3071" t="s">
        <v>58</v>
      </c>
      <c r="F3071" t="s">
        <v>48</v>
      </c>
      <c r="G3071" t="s">
        <v>40</v>
      </c>
      <c r="H3071" s="3">
        <v>54319.132587771979</v>
      </c>
      <c r="I3071">
        <v>10</v>
      </c>
      <c r="J3071" s="3">
        <v>36879.384913323898</v>
      </c>
      <c r="K3071" s="3">
        <v>17439.747674448081</v>
      </c>
    </row>
    <row r="3072" spans="1:11" x14ac:dyDescent="0.3">
      <c r="A3072" t="s">
        <v>3148</v>
      </c>
      <c r="B3072" s="2">
        <v>46204</v>
      </c>
      <c r="C3072">
        <v>2026</v>
      </c>
      <c r="D3072">
        <v>7</v>
      </c>
      <c r="E3072" t="s">
        <v>62</v>
      </c>
      <c r="F3072" t="s">
        <v>67</v>
      </c>
      <c r="G3072" t="s">
        <v>40</v>
      </c>
      <c r="H3072" s="3">
        <v>30673.666988312569</v>
      </c>
      <c r="I3072">
        <v>6</v>
      </c>
      <c r="J3072" s="3">
        <v>20361.051595081059</v>
      </c>
      <c r="K3072" s="3">
        <v>10312.615393231499</v>
      </c>
    </row>
    <row r="3073" spans="1:11" x14ac:dyDescent="0.3">
      <c r="A3073" t="s">
        <v>3149</v>
      </c>
      <c r="B3073" s="2">
        <v>46204</v>
      </c>
      <c r="C3073">
        <v>2026</v>
      </c>
      <c r="D3073">
        <v>7</v>
      </c>
      <c r="E3073" t="s">
        <v>62</v>
      </c>
      <c r="F3073" t="s">
        <v>48</v>
      </c>
      <c r="G3073" t="s">
        <v>40</v>
      </c>
      <c r="H3073" s="3">
        <v>39307.63544130927</v>
      </c>
      <c r="I3073">
        <v>7</v>
      </c>
      <c r="J3073" s="3">
        <v>27776.128810049751</v>
      </c>
      <c r="K3073" s="3">
        <v>11531.506631259521</v>
      </c>
    </row>
    <row r="3074" spans="1:11" x14ac:dyDescent="0.3">
      <c r="A3074" t="s">
        <v>3150</v>
      </c>
      <c r="B3074" s="2">
        <v>46204</v>
      </c>
      <c r="C3074">
        <v>2026</v>
      </c>
      <c r="D3074">
        <v>7</v>
      </c>
      <c r="E3074" t="s">
        <v>50</v>
      </c>
      <c r="F3074" t="s">
        <v>67</v>
      </c>
      <c r="G3074" t="s">
        <v>43</v>
      </c>
      <c r="H3074" s="3">
        <v>147336.11657763721</v>
      </c>
      <c r="I3074">
        <v>42</v>
      </c>
      <c r="J3074" s="3">
        <v>85854.075031771426</v>
      </c>
      <c r="K3074" s="3">
        <v>61482.041545865752</v>
      </c>
    </row>
    <row r="3075" spans="1:11" x14ac:dyDescent="0.3">
      <c r="A3075" t="s">
        <v>3151</v>
      </c>
      <c r="B3075" s="2">
        <v>46204</v>
      </c>
      <c r="C3075">
        <v>2026</v>
      </c>
      <c r="D3075">
        <v>7</v>
      </c>
      <c r="E3075" t="s">
        <v>50</v>
      </c>
      <c r="F3075" t="s">
        <v>48</v>
      </c>
      <c r="G3075" t="s">
        <v>43</v>
      </c>
      <c r="H3075" s="3">
        <v>226817.15825111311</v>
      </c>
      <c r="I3075">
        <v>65</v>
      </c>
      <c r="J3075" s="3">
        <v>136624.46153975459</v>
      </c>
      <c r="K3075" s="3">
        <v>90192.696711358556</v>
      </c>
    </row>
    <row r="3076" spans="1:11" x14ac:dyDescent="0.3">
      <c r="A3076" t="s">
        <v>3152</v>
      </c>
      <c r="B3076" s="2">
        <v>46204</v>
      </c>
      <c r="C3076">
        <v>2026</v>
      </c>
      <c r="D3076">
        <v>7</v>
      </c>
      <c r="E3076" t="s">
        <v>54</v>
      </c>
      <c r="F3076" t="s">
        <v>67</v>
      </c>
      <c r="G3076" t="s">
        <v>43</v>
      </c>
      <c r="H3076" s="3">
        <v>123308.15641066281</v>
      </c>
      <c r="I3076">
        <v>35</v>
      </c>
      <c r="J3076" s="3">
        <v>74151.430692318027</v>
      </c>
      <c r="K3076" s="3">
        <v>49156.725718344773</v>
      </c>
    </row>
    <row r="3077" spans="1:11" x14ac:dyDescent="0.3">
      <c r="A3077" t="s">
        <v>3153</v>
      </c>
      <c r="B3077" s="2">
        <v>46204</v>
      </c>
      <c r="C3077">
        <v>2026</v>
      </c>
      <c r="D3077">
        <v>7</v>
      </c>
      <c r="E3077" t="s">
        <v>54</v>
      </c>
      <c r="F3077" t="s">
        <v>48</v>
      </c>
      <c r="G3077" t="s">
        <v>43</v>
      </c>
      <c r="H3077" s="3">
        <v>165380.84894142221</v>
      </c>
      <c r="I3077">
        <v>47</v>
      </c>
      <c r="J3077" s="3">
        <v>95316.04221503259</v>
      </c>
      <c r="K3077" s="3">
        <v>70064.806726389565</v>
      </c>
    </row>
    <row r="3078" spans="1:11" x14ac:dyDescent="0.3">
      <c r="A3078" t="s">
        <v>3154</v>
      </c>
      <c r="B3078" s="2">
        <v>46204</v>
      </c>
      <c r="C3078">
        <v>2026</v>
      </c>
      <c r="D3078">
        <v>7</v>
      </c>
      <c r="E3078" t="s">
        <v>58</v>
      </c>
      <c r="F3078" t="s">
        <v>67</v>
      </c>
      <c r="G3078" t="s">
        <v>43</v>
      </c>
      <c r="H3078" s="3">
        <v>81287.092928095459</v>
      </c>
      <c r="I3078">
        <v>23</v>
      </c>
      <c r="J3078" s="3">
        <v>47019.79322813508</v>
      </c>
      <c r="K3078" s="3">
        <v>34267.299699960378</v>
      </c>
    </row>
    <row r="3079" spans="1:11" x14ac:dyDescent="0.3">
      <c r="A3079" t="s">
        <v>3155</v>
      </c>
      <c r="B3079" s="2">
        <v>46204</v>
      </c>
      <c r="C3079">
        <v>2026</v>
      </c>
      <c r="D3079">
        <v>7</v>
      </c>
      <c r="E3079" t="s">
        <v>58</v>
      </c>
      <c r="F3079" t="s">
        <v>48</v>
      </c>
      <c r="G3079" t="s">
        <v>43</v>
      </c>
      <c r="H3079" s="3">
        <v>109363.9211405442</v>
      </c>
      <c r="I3079">
        <v>31</v>
      </c>
      <c r="J3079" s="3">
        <v>67498.596429302968</v>
      </c>
      <c r="K3079" s="3">
        <v>41865.324711241257</v>
      </c>
    </row>
    <row r="3080" spans="1:11" x14ac:dyDescent="0.3">
      <c r="A3080" t="s">
        <v>3156</v>
      </c>
      <c r="B3080" s="2">
        <v>46204</v>
      </c>
      <c r="C3080">
        <v>2026</v>
      </c>
      <c r="D3080">
        <v>7</v>
      </c>
      <c r="E3080" t="s">
        <v>62</v>
      </c>
      <c r="F3080" t="s">
        <v>67</v>
      </c>
      <c r="G3080" t="s">
        <v>43</v>
      </c>
      <c r="H3080" s="3">
        <v>59431.756322242327</v>
      </c>
      <c r="I3080">
        <v>17</v>
      </c>
      <c r="J3080" s="3">
        <v>36169.859843741768</v>
      </c>
      <c r="K3080" s="3">
        <v>23261.896478500559</v>
      </c>
    </row>
    <row r="3081" spans="1:11" x14ac:dyDescent="0.3">
      <c r="A3081" t="s">
        <v>3157</v>
      </c>
      <c r="B3081" s="2">
        <v>46204</v>
      </c>
      <c r="C3081">
        <v>2026</v>
      </c>
      <c r="D3081">
        <v>7</v>
      </c>
      <c r="E3081" t="s">
        <v>62</v>
      </c>
      <c r="F3081" t="s">
        <v>48</v>
      </c>
      <c r="G3081" t="s">
        <v>43</v>
      </c>
      <c r="H3081" s="3">
        <v>94238.850243445995</v>
      </c>
      <c r="I3081">
        <v>27</v>
      </c>
      <c r="J3081" s="3">
        <v>55569.377392615323</v>
      </c>
      <c r="K3081" s="3">
        <v>38669.47285083068</v>
      </c>
    </row>
    <row r="3082" spans="1:11" x14ac:dyDescent="0.3">
      <c r="A3082" t="s">
        <v>3158</v>
      </c>
      <c r="B3082" s="2">
        <v>46235</v>
      </c>
      <c r="C3082">
        <v>2026</v>
      </c>
      <c r="D3082">
        <v>8</v>
      </c>
      <c r="E3082" t="s">
        <v>50</v>
      </c>
      <c r="F3082" t="s">
        <v>67</v>
      </c>
      <c r="G3082" t="s">
        <v>19</v>
      </c>
      <c r="H3082" s="3">
        <v>129554.4649100245</v>
      </c>
      <c r="I3082">
        <v>25</v>
      </c>
      <c r="J3082" s="3">
        <v>80695.885443754087</v>
      </c>
      <c r="K3082" s="3">
        <v>48858.579466270407</v>
      </c>
    </row>
    <row r="3083" spans="1:11" x14ac:dyDescent="0.3">
      <c r="A3083" t="s">
        <v>3159</v>
      </c>
      <c r="B3083" s="2">
        <v>46235</v>
      </c>
      <c r="C3083">
        <v>2026</v>
      </c>
      <c r="D3083">
        <v>8</v>
      </c>
      <c r="E3083" t="s">
        <v>50</v>
      </c>
      <c r="F3083" t="s">
        <v>48</v>
      </c>
      <c r="G3083" t="s">
        <v>19</v>
      </c>
      <c r="H3083" s="3">
        <v>161947.6388267318</v>
      </c>
      <c r="I3083">
        <v>31</v>
      </c>
      <c r="J3083" s="3">
        <v>99267.384879290606</v>
      </c>
      <c r="K3083" s="3">
        <v>62680.253947441219</v>
      </c>
    </row>
    <row r="3084" spans="1:11" x14ac:dyDescent="0.3">
      <c r="A3084" t="s">
        <v>3160</v>
      </c>
      <c r="B3084" s="2">
        <v>46235</v>
      </c>
      <c r="C3084">
        <v>2026</v>
      </c>
      <c r="D3084">
        <v>8</v>
      </c>
      <c r="E3084" t="s">
        <v>54</v>
      </c>
      <c r="F3084" t="s">
        <v>67</v>
      </c>
      <c r="G3084" t="s">
        <v>19</v>
      </c>
      <c r="H3084" s="3">
        <v>95804.070115686918</v>
      </c>
      <c r="I3084">
        <v>18</v>
      </c>
      <c r="J3084" s="3">
        <v>59860.783502890758</v>
      </c>
      <c r="K3084" s="3">
        <v>35943.286612796153</v>
      </c>
    </row>
    <row r="3085" spans="1:11" x14ac:dyDescent="0.3">
      <c r="A3085" t="s">
        <v>3161</v>
      </c>
      <c r="B3085" s="2">
        <v>46235</v>
      </c>
      <c r="C3085">
        <v>2026</v>
      </c>
      <c r="D3085">
        <v>8</v>
      </c>
      <c r="E3085" t="s">
        <v>54</v>
      </c>
      <c r="F3085" t="s">
        <v>48</v>
      </c>
      <c r="G3085" t="s">
        <v>19</v>
      </c>
      <c r="H3085" s="3">
        <v>142282.46641060599</v>
      </c>
      <c r="I3085">
        <v>27</v>
      </c>
      <c r="J3085" s="3">
        <v>87076.335882325497</v>
      </c>
      <c r="K3085" s="3">
        <v>55206.130528280468</v>
      </c>
    </row>
    <row r="3086" spans="1:11" x14ac:dyDescent="0.3">
      <c r="A3086" t="s">
        <v>3162</v>
      </c>
      <c r="B3086" s="2">
        <v>46235</v>
      </c>
      <c r="C3086">
        <v>2026</v>
      </c>
      <c r="D3086">
        <v>8</v>
      </c>
      <c r="E3086" t="s">
        <v>58</v>
      </c>
      <c r="F3086" t="s">
        <v>67</v>
      </c>
      <c r="G3086" t="s">
        <v>19</v>
      </c>
      <c r="H3086" s="3">
        <v>75071.76730144945</v>
      </c>
      <c r="I3086">
        <v>14</v>
      </c>
      <c r="J3086" s="3">
        <v>44841.787867135878</v>
      </c>
      <c r="K3086" s="3">
        <v>30229.979434313569</v>
      </c>
    </row>
    <row r="3087" spans="1:11" x14ac:dyDescent="0.3">
      <c r="A3087" t="s">
        <v>3163</v>
      </c>
      <c r="B3087" s="2">
        <v>46235</v>
      </c>
      <c r="C3087">
        <v>2026</v>
      </c>
      <c r="D3087">
        <v>8</v>
      </c>
      <c r="E3087" t="s">
        <v>58</v>
      </c>
      <c r="F3087" t="s">
        <v>48</v>
      </c>
      <c r="G3087" t="s">
        <v>19</v>
      </c>
      <c r="H3087" s="3">
        <v>91377.616652198034</v>
      </c>
      <c r="I3087">
        <v>18</v>
      </c>
      <c r="J3087" s="3">
        <v>55306.433826988381</v>
      </c>
      <c r="K3087" s="3">
        <v>36071.182825209653</v>
      </c>
    </row>
    <row r="3088" spans="1:11" x14ac:dyDescent="0.3">
      <c r="A3088" t="s">
        <v>3164</v>
      </c>
      <c r="B3088" s="2">
        <v>46235</v>
      </c>
      <c r="C3088">
        <v>2026</v>
      </c>
      <c r="D3088">
        <v>8</v>
      </c>
      <c r="E3088" t="s">
        <v>62</v>
      </c>
      <c r="F3088" t="s">
        <v>67</v>
      </c>
      <c r="G3088" t="s">
        <v>19</v>
      </c>
      <c r="H3088" s="3">
        <v>47557.266726699483</v>
      </c>
      <c r="I3088">
        <v>9</v>
      </c>
      <c r="J3088" s="3">
        <v>29496.700116494179</v>
      </c>
      <c r="K3088" s="3">
        <v>18060.5666102053</v>
      </c>
    </row>
    <row r="3089" spans="1:11" x14ac:dyDescent="0.3">
      <c r="A3089" t="s">
        <v>3165</v>
      </c>
      <c r="B3089" s="2">
        <v>46235</v>
      </c>
      <c r="C3089">
        <v>2026</v>
      </c>
      <c r="D3089">
        <v>8</v>
      </c>
      <c r="E3089" t="s">
        <v>62</v>
      </c>
      <c r="F3089" t="s">
        <v>48</v>
      </c>
      <c r="G3089" t="s">
        <v>19</v>
      </c>
      <c r="H3089" s="3">
        <v>70091.659363997154</v>
      </c>
      <c r="I3089">
        <v>13</v>
      </c>
      <c r="J3089" s="3">
        <v>42572.082091701173</v>
      </c>
      <c r="K3089" s="3">
        <v>27519.577272295981</v>
      </c>
    </row>
    <row r="3090" spans="1:11" x14ac:dyDescent="0.3">
      <c r="A3090" t="s">
        <v>3166</v>
      </c>
      <c r="B3090" s="2">
        <v>46235</v>
      </c>
      <c r="C3090">
        <v>2026</v>
      </c>
      <c r="D3090">
        <v>8</v>
      </c>
      <c r="E3090" t="s">
        <v>50</v>
      </c>
      <c r="F3090" t="s">
        <v>67</v>
      </c>
      <c r="G3090" t="s">
        <v>24</v>
      </c>
      <c r="H3090" s="3">
        <v>157024.22003295389</v>
      </c>
      <c r="I3090">
        <v>26</v>
      </c>
      <c r="J3090" s="3">
        <v>103510.4826272779</v>
      </c>
      <c r="K3090" s="3">
        <v>53513.737405675987</v>
      </c>
    </row>
    <row r="3091" spans="1:11" x14ac:dyDescent="0.3">
      <c r="A3091" t="s">
        <v>3167</v>
      </c>
      <c r="B3091" s="2">
        <v>46235</v>
      </c>
      <c r="C3091">
        <v>2026</v>
      </c>
      <c r="D3091">
        <v>8</v>
      </c>
      <c r="E3091" t="s">
        <v>50</v>
      </c>
      <c r="F3091" t="s">
        <v>48</v>
      </c>
      <c r="G3091" t="s">
        <v>24</v>
      </c>
      <c r="H3091" s="3">
        <v>218229.14606005719</v>
      </c>
      <c r="I3091">
        <v>36</v>
      </c>
      <c r="J3091" s="3">
        <v>141245.1107516771</v>
      </c>
      <c r="K3091" s="3">
        <v>76984.035308380087</v>
      </c>
    </row>
    <row r="3092" spans="1:11" x14ac:dyDescent="0.3">
      <c r="A3092" t="s">
        <v>3168</v>
      </c>
      <c r="B3092" s="2">
        <v>46235</v>
      </c>
      <c r="C3092">
        <v>2026</v>
      </c>
      <c r="D3092">
        <v>8</v>
      </c>
      <c r="E3092" t="s">
        <v>54</v>
      </c>
      <c r="F3092" t="s">
        <v>67</v>
      </c>
      <c r="G3092" t="s">
        <v>24</v>
      </c>
      <c r="H3092" s="3">
        <v>122576.0743583061</v>
      </c>
      <c r="I3092">
        <v>20</v>
      </c>
      <c r="J3092" s="3">
        <v>79760.942350242098</v>
      </c>
      <c r="K3092" s="3">
        <v>42815.132008063971</v>
      </c>
    </row>
    <row r="3093" spans="1:11" x14ac:dyDescent="0.3">
      <c r="A3093" t="s">
        <v>3169</v>
      </c>
      <c r="B3093" s="2">
        <v>46235</v>
      </c>
      <c r="C3093">
        <v>2026</v>
      </c>
      <c r="D3093">
        <v>8</v>
      </c>
      <c r="E3093" t="s">
        <v>54</v>
      </c>
      <c r="F3093" t="s">
        <v>48</v>
      </c>
      <c r="G3093" t="s">
        <v>24</v>
      </c>
      <c r="H3093" s="3">
        <v>148947.74221332479</v>
      </c>
      <c r="I3093">
        <v>24</v>
      </c>
      <c r="J3093" s="3">
        <v>99815.185168759155</v>
      </c>
      <c r="K3093" s="3">
        <v>49132.557044565598</v>
      </c>
    </row>
    <row r="3094" spans="1:11" x14ac:dyDescent="0.3">
      <c r="A3094" t="s">
        <v>3170</v>
      </c>
      <c r="B3094" s="2">
        <v>46235</v>
      </c>
      <c r="C3094">
        <v>2026</v>
      </c>
      <c r="D3094">
        <v>8</v>
      </c>
      <c r="E3094" t="s">
        <v>58</v>
      </c>
      <c r="F3094" t="s">
        <v>67</v>
      </c>
      <c r="G3094" t="s">
        <v>24</v>
      </c>
      <c r="H3094" s="3">
        <v>88906.368669003205</v>
      </c>
      <c r="I3094">
        <v>15</v>
      </c>
      <c r="J3094" s="3">
        <v>58939.594171608063</v>
      </c>
      <c r="K3094" s="3">
        <v>29966.774497395141</v>
      </c>
    </row>
    <row r="3095" spans="1:11" x14ac:dyDescent="0.3">
      <c r="A3095" t="s">
        <v>3171</v>
      </c>
      <c r="B3095" s="2">
        <v>46235</v>
      </c>
      <c r="C3095">
        <v>2026</v>
      </c>
      <c r="D3095">
        <v>8</v>
      </c>
      <c r="E3095" t="s">
        <v>58</v>
      </c>
      <c r="F3095" t="s">
        <v>48</v>
      </c>
      <c r="G3095" t="s">
        <v>24</v>
      </c>
      <c r="H3095" s="3">
        <v>117764.09406205171</v>
      </c>
      <c r="I3095">
        <v>19</v>
      </c>
      <c r="J3095" s="3">
        <v>77710.781193725372</v>
      </c>
      <c r="K3095" s="3">
        <v>40053.312868326313</v>
      </c>
    </row>
    <row r="3096" spans="1:11" x14ac:dyDescent="0.3">
      <c r="A3096" t="s">
        <v>3172</v>
      </c>
      <c r="B3096" s="2">
        <v>46235</v>
      </c>
      <c r="C3096">
        <v>2026</v>
      </c>
      <c r="D3096">
        <v>8</v>
      </c>
      <c r="E3096" t="s">
        <v>62</v>
      </c>
      <c r="F3096" t="s">
        <v>67</v>
      </c>
      <c r="G3096" t="s">
        <v>24</v>
      </c>
      <c r="H3096" s="3">
        <v>59802.065837652583</v>
      </c>
      <c r="I3096">
        <v>10</v>
      </c>
      <c r="J3096" s="3">
        <v>40093.822126122272</v>
      </c>
      <c r="K3096" s="3">
        <v>19708.243711530311</v>
      </c>
    </row>
    <row r="3097" spans="1:11" x14ac:dyDescent="0.3">
      <c r="A3097" t="s">
        <v>3173</v>
      </c>
      <c r="B3097" s="2">
        <v>46235</v>
      </c>
      <c r="C3097">
        <v>2026</v>
      </c>
      <c r="D3097">
        <v>8</v>
      </c>
      <c r="E3097" t="s">
        <v>62</v>
      </c>
      <c r="F3097" t="s">
        <v>48</v>
      </c>
      <c r="G3097" t="s">
        <v>24</v>
      </c>
      <c r="H3097" s="3">
        <v>82833.567027927915</v>
      </c>
      <c r="I3097">
        <v>14</v>
      </c>
      <c r="J3097" s="3">
        <v>55143.103265111502</v>
      </c>
      <c r="K3097" s="3">
        <v>27690.463762816409</v>
      </c>
    </row>
    <row r="3098" spans="1:11" x14ac:dyDescent="0.3">
      <c r="A3098" t="s">
        <v>3174</v>
      </c>
      <c r="B3098" s="2">
        <v>46235</v>
      </c>
      <c r="C3098">
        <v>2026</v>
      </c>
      <c r="D3098">
        <v>8</v>
      </c>
      <c r="E3098" t="s">
        <v>50</v>
      </c>
      <c r="F3098" t="s">
        <v>67</v>
      </c>
      <c r="G3098" t="s">
        <v>29</v>
      </c>
      <c r="H3098" s="3">
        <v>103429.02087350391</v>
      </c>
      <c r="I3098">
        <v>24</v>
      </c>
      <c r="J3098" s="3">
        <v>67918.156877264788</v>
      </c>
      <c r="K3098" s="3">
        <v>35510.863996239161</v>
      </c>
    </row>
    <row r="3099" spans="1:11" x14ac:dyDescent="0.3">
      <c r="A3099" t="s">
        <v>3175</v>
      </c>
      <c r="B3099" s="2">
        <v>46235</v>
      </c>
      <c r="C3099">
        <v>2026</v>
      </c>
      <c r="D3099">
        <v>8</v>
      </c>
      <c r="E3099" t="s">
        <v>50</v>
      </c>
      <c r="F3099" t="s">
        <v>48</v>
      </c>
      <c r="G3099" t="s">
        <v>29</v>
      </c>
      <c r="H3099" s="3">
        <v>130697.7565374003</v>
      </c>
      <c r="I3099">
        <v>30</v>
      </c>
      <c r="J3099" s="3">
        <v>82954.182532521416</v>
      </c>
      <c r="K3099" s="3">
        <v>47743.574004878872</v>
      </c>
    </row>
    <row r="3100" spans="1:11" x14ac:dyDescent="0.3">
      <c r="A3100" t="s">
        <v>3176</v>
      </c>
      <c r="B3100" s="2">
        <v>46235</v>
      </c>
      <c r="C3100">
        <v>2026</v>
      </c>
      <c r="D3100">
        <v>8</v>
      </c>
      <c r="E3100" t="s">
        <v>54</v>
      </c>
      <c r="F3100" t="s">
        <v>67</v>
      </c>
      <c r="G3100" t="s">
        <v>29</v>
      </c>
      <c r="H3100" s="3">
        <v>77610.573938555826</v>
      </c>
      <c r="I3100">
        <v>18</v>
      </c>
      <c r="J3100" s="3">
        <v>49286.641937752996</v>
      </c>
      <c r="K3100" s="3">
        <v>28323.93200080283</v>
      </c>
    </row>
    <row r="3101" spans="1:11" x14ac:dyDescent="0.3">
      <c r="A3101" t="s">
        <v>3177</v>
      </c>
      <c r="B3101" s="2">
        <v>46235</v>
      </c>
      <c r="C3101">
        <v>2026</v>
      </c>
      <c r="D3101">
        <v>8</v>
      </c>
      <c r="E3101" t="s">
        <v>54</v>
      </c>
      <c r="F3101" t="s">
        <v>48</v>
      </c>
      <c r="G3101" t="s">
        <v>29</v>
      </c>
      <c r="H3101" s="3">
        <v>114571.2236962311</v>
      </c>
      <c r="I3101">
        <v>27</v>
      </c>
      <c r="J3101" s="3">
        <v>71608.300442622567</v>
      </c>
      <c r="K3101" s="3">
        <v>42962.923253608496</v>
      </c>
    </row>
    <row r="3102" spans="1:11" x14ac:dyDescent="0.3">
      <c r="A3102" t="s">
        <v>3178</v>
      </c>
      <c r="B3102" s="2">
        <v>46235</v>
      </c>
      <c r="C3102">
        <v>2026</v>
      </c>
      <c r="D3102">
        <v>8</v>
      </c>
      <c r="E3102" t="s">
        <v>58</v>
      </c>
      <c r="F3102" t="s">
        <v>67</v>
      </c>
      <c r="G3102" t="s">
        <v>29</v>
      </c>
      <c r="H3102" s="3">
        <v>57239.046704773376</v>
      </c>
      <c r="I3102">
        <v>13</v>
      </c>
      <c r="J3102" s="3">
        <v>36350.122657961663</v>
      </c>
      <c r="K3102" s="3">
        <v>20888.92404681172</v>
      </c>
    </row>
    <row r="3103" spans="1:11" x14ac:dyDescent="0.3">
      <c r="A3103" t="s">
        <v>3179</v>
      </c>
      <c r="B3103" s="2">
        <v>46235</v>
      </c>
      <c r="C3103">
        <v>2026</v>
      </c>
      <c r="D3103">
        <v>8</v>
      </c>
      <c r="E3103" t="s">
        <v>58</v>
      </c>
      <c r="F3103" t="s">
        <v>48</v>
      </c>
      <c r="G3103" t="s">
        <v>29</v>
      </c>
      <c r="H3103" s="3">
        <v>77537.156369985372</v>
      </c>
      <c r="I3103">
        <v>18</v>
      </c>
      <c r="J3103" s="3">
        <v>50485.539599862946</v>
      </c>
      <c r="K3103" s="3">
        <v>27051.616770122419</v>
      </c>
    </row>
    <row r="3104" spans="1:11" x14ac:dyDescent="0.3">
      <c r="A3104" t="s">
        <v>3180</v>
      </c>
      <c r="B3104" s="2">
        <v>46235</v>
      </c>
      <c r="C3104">
        <v>2026</v>
      </c>
      <c r="D3104">
        <v>8</v>
      </c>
      <c r="E3104" t="s">
        <v>62</v>
      </c>
      <c r="F3104" t="s">
        <v>67</v>
      </c>
      <c r="G3104" t="s">
        <v>29</v>
      </c>
      <c r="H3104" s="3">
        <v>43649.586339849273</v>
      </c>
      <c r="I3104">
        <v>10</v>
      </c>
      <c r="J3104" s="3">
        <v>28589.425112756559</v>
      </c>
      <c r="K3104" s="3">
        <v>15060.161227092711</v>
      </c>
    </row>
    <row r="3105" spans="1:11" x14ac:dyDescent="0.3">
      <c r="A3105" t="s">
        <v>3181</v>
      </c>
      <c r="B3105" s="2">
        <v>46235</v>
      </c>
      <c r="C3105">
        <v>2026</v>
      </c>
      <c r="D3105">
        <v>8</v>
      </c>
      <c r="E3105" t="s">
        <v>62</v>
      </c>
      <c r="F3105" t="s">
        <v>48</v>
      </c>
      <c r="G3105" t="s">
        <v>29</v>
      </c>
      <c r="H3105" s="3">
        <v>55105.555519304791</v>
      </c>
      <c r="I3105">
        <v>13</v>
      </c>
      <c r="J3105" s="3">
        <v>35877.172617538134</v>
      </c>
      <c r="K3105" s="3">
        <v>19228.382901766661</v>
      </c>
    </row>
    <row r="3106" spans="1:11" x14ac:dyDescent="0.3">
      <c r="A3106" t="s">
        <v>3182</v>
      </c>
      <c r="B3106" s="2">
        <v>46235</v>
      </c>
      <c r="C3106">
        <v>2026</v>
      </c>
      <c r="D3106">
        <v>8</v>
      </c>
      <c r="E3106" t="s">
        <v>50</v>
      </c>
      <c r="F3106" t="s">
        <v>67</v>
      </c>
      <c r="G3106" t="s">
        <v>34</v>
      </c>
      <c r="H3106" s="3">
        <v>85817.47774622064</v>
      </c>
      <c r="I3106">
        <v>101</v>
      </c>
      <c r="J3106" s="3">
        <v>39862.062420374219</v>
      </c>
      <c r="K3106" s="3">
        <v>45955.415325846421</v>
      </c>
    </row>
    <row r="3107" spans="1:11" x14ac:dyDescent="0.3">
      <c r="A3107" t="s">
        <v>3183</v>
      </c>
      <c r="B3107" s="2">
        <v>46235</v>
      </c>
      <c r="C3107">
        <v>2026</v>
      </c>
      <c r="D3107">
        <v>8</v>
      </c>
      <c r="E3107" t="s">
        <v>50</v>
      </c>
      <c r="F3107" t="s">
        <v>48</v>
      </c>
      <c r="G3107" t="s">
        <v>34</v>
      </c>
      <c r="H3107" s="3">
        <v>122463.1242892422</v>
      </c>
      <c r="I3107">
        <v>144</v>
      </c>
      <c r="J3107" s="3">
        <v>59928.355455200079</v>
      </c>
      <c r="K3107" s="3">
        <v>62534.768834042123</v>
      </c>
    </row>
    <row r="3108" spans="1:11" x14ac:dyDescent="0.3">
      <c r="A3108" t="s">
        <v>3184</v>
      </c>
      <c r="B3108" s="2">
        <v>46235</v>
      </c>
      <c r="C3108">
        <v>2026</v>
      </c>
      <c r="D3108">
        <v>8</v>
      </c>
      <c r="E3108" t="s">
        <v>54</v>
      </c>
      <c r="F3108" t="s">
        <v>67</v>
      </c>
      <c r="G3108" t="s">
        <v>34</v>
      </c>
      <c r="H3108" s="3">
        <v>67510.660458515864</v>
      </c>
      <c r="I3108">
        <v>79</v>
      </c>
      <c r="J3108" s="3">
        <v>31332.723619734261</v>
      </c>
      <c r="K3108" s="3">
        <v>36177.936838781599</v>
      </c>
    </row>
    <row r="3109" spans="1:11" x14ac:dyDescent="0.3">
      <c r="A3109" t="s">
        <v>3185</v>
      </c>
      <c r="B3109" s="2">
        <v>46235</v>
      </c>
      <c r="C3109">
        <v>2026</v>
      </c>
      <c r="D3109">
        <v>8</v>
      </c>
      <c r="E3109" t="s">
        <v>54</v>
      </c>
      <c r="F3109" t="s">
        <v>48</v>
      </c>
      <c r="G3109" t="s">
        <v>34</v>
      </c>
      <c r="H3109" s="3">
        <v>91262.992667019294</v>
      </c>
      <c r="I3109">
        <v>107</v>
      </c>
      <c r="J3109" s="3">
        <v>44514.412998143183</v>
      </c>
      <c r="K3109" s="3">
        <v>46748.579668876111</v>
      </c>
    </row>
    <row r="3110" spans="1:11" x14ac:dyDescent="0.3">
      <c r="A3110" t="s">
        <v>3186</v>
      </c>
      <c r="B3110" s="2">
        <v>46235</v>
      </c>
      <c r="C3110">
        <v>2026</v>
      </c>
      <c r="D3110">
        <v>8</v>
      </c>
      <c r="E3110" t="s">
        <v>58</v>
      </c>
      <c r="F3110" t="s">
        <v>67</v>
      </c>
      <c r="G3110" t="s">
        <v>34</v>
      </c>
      <c r="H3110" s="3">
        <v>49458.357979388791</v>
      </c>
      <c r="I3110">
        <v>58</v>
      </c>
      <c r="J3110" s="3">
        <v>23582.850067895532</v>
      </c>
      <c r="K3110" s="3">
        <v>25875.50791149326</v>
      </c>
    </row>
    <row r="3111" spans="1:11" x14ac:dyDescent="0.3">
      <c r="A3111" t="s">
        <v>3187</v>
      </c>
      <c r="B3111" s="2">
        <v>46235</v>
      </c>
      <c r="C3111">
        <v>2026</v>
      </c>
      <c r="D3111">
        <v>8</v>
      </c>
      <c r="E3111" t="s">
        <v>58</v>
      </c>
      <c r="F3111" t="s">
        <v>48</v>
      </c>
      <c r="G3111" t="s">
        <v>34</v>
      </c>
      <c r="H3111" s="3">
        <v>76582.6842335744</v>
      </c>
      <c r="I3111">
        <v>90</v>
      </c>
      <c r="J3111" s="3">
        <v>37224.536735316738</v>
      </c>
      <c r="K3111" s="3">
        <v>39358.147498257662</v>
      </c>
    </row>
    <row r="3112" spans="1:11" x14ac:dyDescent="0.3">
      <c r="A3112" t="s">
        <v>3188</v>
      </c>
      <c r="B3112" s="2">
        <v>46235</v>
      </c>
      <c r="C3112">
        <v>2026</v>
      </c>
      <c r="D3112">
        <v>8</v>
      </c>
      <c r="E3112" t="s">
        <v>62</v>
      </c>
      <c r="F3112" t="s">
        <v>67</v>
      </c>
      <c r="G3112" t="s">
        <v>34</v>
      </c>
      <c r="H3112" s="3">
        <v>37287.566177620261</v>
      </c>
      <c r="I3112">
        <v>44</v>
      </c>
      <c r="J3112" s="3">
        <v>17468.76411384645</v>
      </c>
      <c r="K3112" s="3">
        <v>19818.802063773819</v>
      </c>
    </row>
    <row r="3113" spans="1:11" x14ac:dyDescent="0.3">
      <c r="A3113" t="s">
        <v>3189</v>
      </c>
      <c r="B3113" s="2">
        <v>46235</v>
      </c>
      <c r="C3113">
        <v>2026</v>
      </c>
      <c r="D3113">
        <v>8</v>
      </c>
      <c r="E3113" t="s">
        <v>62</v>
      </c>
      <c r="F3113" t="s">
        <v>48</v>
      </c>
      <c r="G3113" t="s">
        <v>34</v>
      </c>
      <c r="H3113" s="3">
        <v>49506.799097152201</v>
      </c>
      <c r="I3113">
        <v>58</v>
      </c>
      <c r="J3113" s="3">
        <v>24264.217339093761</v>
      </c>
      <c r="K3113" s="3">
        <v>25242.581758058441</v>
      </c>
    </row>
    <row r="3114" spans="1:11" x14ac:dyDescent="0.3">
      <c r="A3114" t="s">
        <v>3190</v>
      </c>
      <c r="B3114" s="2">
        <v>46235</v>
      </c>
      <c r="C3114">
        <v>2026</v>
      </c>
      <c r="D3114">
        <v>8</v>
      </c>
      <c r="E3114" t="s">
        <v>50</v>
      </c>
      <c r="F3114" t="s">
        <v>67</v>
      </c>
      <c r="G3114" t="s">
        <v>37</v>
      </c>
      <c r="H3114" s="3">
        <v>71528.431283270067</v>
      </c>
      <c r="I3114">
        <v>99</v>
      </c>
      <c r="J3114" s="3">
        <v>38303.242485759503</v>
      </c>
      <c r="K3114" s="3">
        <v>33225.188797510571</v>
      </c>
    </row>
    <row r="3115" spans="1:11" x14ac:dyDescent="0.3">
      <c r="A3115" t="s">
        <v>3191</v>
      </c>
      <c r="B3115" s="2">
        <v>46235</v>
      </c>
      <c r="C3115">
        <v>2026</v>
      </c>
      <c r="D3115">
        <v>8</v>
      </c>
      <c r="E3115" t="s">
        <v>50</v>
      </c>
      <c r="F3115" t="s">
        <v>48</v>
      </c>
      <c r="G3115" t="s">
        <v>37</v>
      </c>
      <c r="H3115" s="3">
        <v>107064.1580002531</v>
      </c>
      <c r="I3115">
        <v>149</v>
      </c>
      <c r="J3115" s="3">
        <v>58176.768034442102</v>
      </c>
      <c r="K3115" s="3">
        <v>48887.389965811053</v>
      </c>
    </row>
    <row r="3116" spans="1:11" x14ac:dyDescent="0.3">
      <c r="A3116" t="s">
        <v>3192</v>
      </c>
      <c r="B3116" s="2">
        <v>46235</v>
      </c>
      <c r="C3116">
        <v>2026</v>
      </c>
      <c r="D3116">
        <v>8</v>
      </c>
      <c r="E3116" t="s">
        <v>54</v>
      </c>
      <c r="F3116" t="s">
        <v>67</v>
      </c>
      <c r="G3116" t="s">
        <v>37</v>
      </c>
      <c r="H3116" s="3">
        <v>59505.344031682303</v>
      </c>
      <c r="I3116">
        <v>83</v>
      </c>
      <c r="J3116" s="3">
        <v>32139.958771829719</v>
      </c>
      <c r="K3116" s="3">
        <v>27365.385259852581</v>
      </c>
    </row>
    <row r="3117" spans="1:11" x14ac:dyDescent="0.3">
      <c r="A3117" t="s">
        <v>3193</v>
      </c>
      <c r="B3117" s="2">
        <v>46235</v>
      </c>
      <c r="C3117">
        <v>2026</v>
      </c>
      <c r="D3117">
        <v>8</v>
      </c>
      <c r="E3117" t="s">
        <v>54</v>
      </c>
      <c r="F3117" t="s">
        <v>48</v>
      </c>
      <c r="G3117" t="s">
        <v>37</v>
      </c>
      <c r="H3117" s="3">
        <v>86109.623738617127</v>
      </c>
      <c r="I3117">
        <v>120</v>
      </c>
      <c r="J3117" s="3">
        <v>45864.791051031098</v>
      </c>
      <c r="K3117" s="3">
        <v>40244.832687586022</v>
      </c>
    </row>
    <row r="3118" spans="1:11" x14ac:dyDescent="0.3">
      <c r="A3118" t="s">
        <v>3194</v>
      </c>
      <c r="B3118" s="2">
        <v>46235</v>
      </c>
      <c r="C3118">
        <v>2026</v>
      </c>
      <c r="D3118">
        <v>8</v>
      </c>
      <c r="E3118" t="s">
        <v>58</v>
      </c>
      <c r="F3118" t="s">
        <v>67</v>
      </c>
      <c r="G3118" t="s">
        <v>37</v>
      </c>
      <c r="H3118" s="3">
        <v>40278.680804243282</v>
      </c>
      <c r="I3118">
        <v>56</v>
      </c>
      <c r="J3118" s="3">
        <v>22190.968154982569</v>
      </c>
      <c r="K3118" s="3">
        <v>18087.712649260709</v>
      </c>
    </row>
    <row r="3119" spans="1:11" x14ac:dyDescent="0.3">
      <c r="A3119" t="s">
        <v>3195</v>
      </c>
      <c r="B3119" s="2">
        <v>46235</v>
      </c>
      <c r="C3119">
        <v>2026</v>
      </c>
      <c r="D3119">
        <v>8</v>
      </c>
      <c r="E3119" t="s">
        <v>58</v>
      </c>
      <c r="F3119" t="s">
        <v>48</v>
      </c>
      <c r="G3119" t="s">
        <v>37</v>
      </c>
      <c r="H3119" s="3">
        <v>51698.811693930751</v>
      </c>
      <c r="I3119">
        <v>72</v>
      </c>
      <c r="J3119" s="3">
        <v>29358.73577759647</v>
      </c>
      <c r="K3119" s="3">
        <v>22340.075916334281</v>
      </c>
    </row>
    <row r="3120" spans="1:11" x14ac:dyDescent="0.3">
      <c r="A3120" t="s">
        <v>3196</v>
      </c>
      <c r="B3120" s="2">
        <v>46235</v>
      </c>
      <c r="C3120">
        <v>2026</v>
      </c>
      <c r="D3120">
        <v>8</v>
      </c>
      <c r="E3120" t="s">
        <v>62</v>
      </c>
      <c r="F3120" t="s">
        <v>67</v>
      </c>
      <c r="G3120" t="s">
        <v>37</v>
      </c>
      <c r="H3120" s="3">
        <v>32490.305034557459</v>
      </c>
      <c r="I3120">
        <v>45</v>
      </c>
      <c r="J3120" s="3">
        <v>18727.488554303771</v>
      </c>
      <c r="K3120" s="3">
        <v>13762.816480253679</v>
      </c>
    </row>
    <row r="3121" spans="1:11" x14ac:dyDescent="0.3">
      <c r="A3121" t="s">
        <v>3197</v>
      </c>
      <c r="B3121" s="2">
        <v>46235</v>
      </c>
      <c r="C3121">
        <v>2026</v>
      </c>
      <c r="D3121">
        <v>8</v>
      </c>
      <c r="E3121" t="s">
        <v>62</v>
      </c>
      <c r="F3121" t="s">
        <v>48</v>
      </c>
      <c r="G3121" t="s">
        <v>37</v>
      </c>
      <c r="H3121" s="3">
        <v>44725.098981077019</v>
      </c>
      <c r="I3121">
        <v>62</v>
      </c>
      <c r="J3121" s="3">
        <v>24641.822931313131</v>
      </c>
      <c r="K3121" s="3">
        <v>20083.276049763888</v>
      </c>
    </row>
    <row r="3122" spans="1:11" x14ac:dyDescent="0.3">
      <c r="A3122" t="s">
        <v>3198</v>
      </c>
      <c r="B3122" s="2">
        <v>46235</v>
      </c>
      <c r="C3122">
        <v>2026</v>
      </c>
      <c r="D3122">
        <v>8</v>
      </c>
      <c r="E3122" t="s">
        <v>50</v>
      </c>
      <c r="F3122" t="s">
        <v>67</v>
      </c>
      <c r="G3122" t="s">
        <v>40</v>
      </c>
      <c r="H3122" s="3">
        <v>71075.54885660563</v>
      </c>
      <c r="I3122">
        <v>13</v>
      </c>
      <c r="J3122" s="3">
        <v>50027.888393837493</v>
      </c>
      <c r="K3122" s="3">
        <v>21047.660462768141</v>
      </c>
    </row>
    <row r="3123" spans="1:11" x14ac:dyDescent="0.3">
      <c r="A3123" t="s">
        <v>3199</v>
      </c>
      <c r="B3123" s="2">
        <v>46235</v>
      </c>
      <c r="C3123">
        <v>2026</v>
      </c>
      <c r="D3123">
        <v>8</v>
      </c>
      <c r="E3123" t="s">
        <v>50</v>
      </c>
      <c r="F3123" t="s">
        <v>48</v>
      </c>
      <c r="G3123" t="s">
        <v>40</v>
      </c>
      <c r="H3123" s="3">
        <v>96806.852694489207</v>
      </c>
      <c r="I3123">
        <v>18</v>
      </c>
      <c r="J3123" s="3">
        <v>67075.78528389764</v>
      </c>
      <c r="K3123" s="3">
        <v>29731.067410591571</v>
      </c>
    </row>
    <row r="3124" spans="1:11" x14ac:dyDescent="0.3">
      <c r="A3124" t="s">
        <v>3200</v>
      </c>
      <c r="B3124" s="2">
        <v>46235</v>
      </c>
      <c r="C3124">
        <v>2026</v>
      </c>
      <c r="D3124">
        <v>8</v>
      </c>
      <c r="E3124" t="s">
        <v>54</v>
      </c>
      <c r="F3124" t="s">
        <v>67</v>
      </c>
      <c r="G3124" t="s">
        <v>40</v>
      </c>
      <c r="H3124" s="3">
        <v>55873.923279417832</v>
      </c>
      <c r="I3124">
        <v>10</v>
      </c>
      <c r="J3124" s="3">
        <v>38899.209114763682</v>
      </c>
      <c r="K3124" s="3">
        <v>16974.714164654149</v>
      </c>
    </row>
    <row r="3125" spans="1:11" x14ac:dyDescent="0.3">
      <c r="A3125" t="s">
        <v>3201</v>
      </c>
      <c r="B3125" s="2">
        <v>46235</v>
      </c>
      <c r="C3125">
        <v>2026</v>
      </c>
      <c r="D3125">
        <v>8</v>
      </c>
      <c r="E3125" t="s">
        <v>54</v>
      </c>
      <c r="F3125" t="s">
        <v>48</v>
      </c>
      <c r="G3125" t="s">
        <v>40</v>
      </c>
      <c r="H3125" s="3">
        <v>78587.797696188034</v>
      </c>
      <c r="I3125">
        <v>15</v>
      </c>
      <c r="J3125" s="3">
        <v>53891.622644877752</v>
      </c>
      <c r="K3125" s="3">
        <v>24696.175051310289</v>
      </c>
    </row>
    <row r="3126" spans="1:11" x14ac:dyDescent="0.3">
      <c r="A3126" t="s">
        <v>3202</v>
      </c>
      <c r="B3126" s="2">
        <v>46235</v>
      </c>
      <c r="C3126">
        <v>2026</v>
      </c>
      <c r="D3126">
        <v>8</v>
      </c>
      <c r="E3126" t="s">
        <v>58</v>
      </c>
      <c r="F3126" t="s">
        <v>67</v>
      </c>
      <c r="G3126" t="s">
        <v>40</v>
      </c>
      <c r="H3126" s="3">
        <v>39938.984697318498</v>
      </c>
      <c r="I3126">
        <v>7</v>
      </c>
      <c r="J3126" s="3">
        <v>27654.665826443292</v>
      </c>
      <c r="K3126" s="3">
        <v>12284.31887087521</v>
      </c>
    </row>
    <row r="3127" spans="1:11" x14ac:dyDescent="0.3">
      <c r="A3127" t="s">
        <v>3203</v>
      </c>
      <c r="B3127" s="2">
        <v>46235</v>
      </c>
      <c r="C3127">
        <v>2026</v>
      </c>
      <c r="D3127">
        <v>8</v>
      </c>
      <c r="E3127" t="s">
        <v>58</v>
      </c>
      <c r="F3127" t="s">
        <v>48</v>
      </c>
      <c r="G3127" t="s">
        <v>40</v>
      </c>
      <c r="H3127" s="3">
        <v>54076.732436657512</v>
      </c>
      <c r="I3127">
        <v>10</v>
      </c>
      <c r="J3127" s="3">
        <v>37673.933825168257</v>
      </c>
      <c r="K3127" s="3">
        <v>16402.798611489248</v>
      </c>
    </row>
    <row r="3128" spans="1:11" x14ac:dyDescent="0.3">
      <c r="A3128" t="s">
        <v>3204</v>
      </c>
      <c r="B3128" s="2">
        <v>46235</v>
      </c>
      <c r="C3128">
        <v>2026</v>
      </c>
      <c r="D3128">
        <v>8</v>
      </c>
      <c r="E3128" t="s">
        <v>62</v>
      </c>
      <c r="F3128" t="s">
        <v>67</v>
      </c>
      <c r="G3128" t="s">
        <v>40</v>
      </c>
      <c r="H3128" s="3">
        <v>27214.001096959779</v>
      </c>
      <c r="I3128">
        <v>5</v>
      </c>
      <c r="J3128" s="3">
        <v>18582.1425869956</v>
      </c>
      <c r="K3128" s="3">
        <v>8631.8585099641823</v>
      </c>
    </row>
    <row r="3129" spans="1:11" x14ac:dyDescent="0.3">
      <c r="A3129" t="s">
        <v>3205</v>
      </c>
      <c r="B3129" s="2">
        <v>46235</v>
      </c>
      <c r="C3129">
        <v>2026</v>
      </c>
      <c r="D3129">
        <v>8</v>
      </c>
      <c r="E3129" t="s">
        <v>62</v>
      </c>
      <c r="F3129" t="s">
        <v>48</v>
      </c>
      <c r="G3129" t="s">
        <v>40</v>
      </c>
      <c r="H3129" s="3">
        <v>40659.956483660033</v>
      </c>
      <c r="I3129">
        <v>8</v>
      </c>
      <c r="J3129" s="3">
        <v>28016.23561114708</v>
      </c>
      <c r="K3129" s="3">
        <v>12643.72087251296</v>
      </c>
    </row>
    <row r="3130" spans="1:11" x14ac:dyDescent="0.3">
      <c r="A3130" t="s">
        <v>3206</v>
      </c>
      <c r="B3130" s="2">
        <v>46235</v>
      </c>
      <c r="C3130">
        <v>2026</v>
      </c>
      <c r="D3130">
        <v>8</v>
      </c>
      <c r="E3130" t="s">
        <v>50</v>
      </c>
      <c r="F3130" t="s">
        <v>67</v>
      </c>
      <c r="G3130" t="s">
        <v>43</v>
      </c>
      <c r="H3130" s="3">
        <v>136304.7869652932</v>
      </c>
      <c r="I3130">
        <v>39</v>
      </c>
      <c r="J3130" s="3">
        <v>80335.243391248092</v>
      </c>
      <c r="K3130" s="3">
        <v>55969.543574045143</v>
      </c>
    </row>
    <row r="3131" spans="1:11" x14ac:dyDescent="0.3">
      <c r="A3131" t="s">
        <v>3207</v>
      </c>
      <c r="B3131" s="2">
        <v>46235</v>
      </c>
      <c r="C3131">
        <v>2026</v>
      </c>
      <c r="D3131">
        <v>8</v>
      </c>
      <c r="E3131" t="s">
        <v>50</v>
      </c>
      <c r="F3131" t="s">
        <v>48</v>
      </c>
      <c r="G3131" t="s">
        <v>43</v>
      </c>
      <c r="H3131" s="3">
        <v>195801.04202433981</v>
      </c>
      <c r="I3131">
        <v>56</v>
      </c>
      <c r="J3131" s="3">
        <v>117241.0436920301</v>
      </c>
      <c r="K3131" s="3">
        <v>78559.998332309668</v>
      </c>
    </row>
    <row r="3132" spans="1:11" x14ac:dyDescent="0.3">
      <c r="A3132" t="s">
        <v>3208</v>
      </c>
      <c r="B3132" s="2">
        <v>46235</v>
      </c>
      <c r="C3132">
        <v>2026</v>
      </c>
      <c r="D3132">
        <v>8</v>
      </c>
      <c r="E3132" t="s">
        <v>54</v>
      </c>
      <c r="F3132" t="s">
        <v>67</v>
      </c>
      <c r="G3132" t="s">
        <v>43</v>
      </c>
      <c r="H3132" s="3">
        <v>108148.3288701734</v>
      </c>
      <c r="I3132">
        <v>31</v>
      </c>
      <c r="J3132" s="3">
        <v>62583.138503880851</v>
      </c>
      <c r="K3132" s="3">
        <v>45565.190366292532</v>
      </c>
    </row>
    <row r="3133" spans="1:11" x14ac:dyDescent="0.3">
      <c r="A3133" t="s">
        <v>3209</v>
      </c>
      <c r="B3133" s="2">
        <v>46235</v>
      </c>
      <c r="C3133">
        <v>2026</v>
      </c>
      <c r="D3133">
        <v>8</v>
      </c>
      <c r="E3133" t="s">
        <v>54</v>
      </c>
      <c r="F3133" t="s">
        <v>48</v>
      </c>
      <c r="G3133" t="s">
        <v>43</v>
      </c>
      <c r="H3133" s="3">
        <v>159541.26347293289</v>
      </c>
      <c r="I3133">
        <v>46</v>
      </c>
      <c r="J3133" s="3">
        <v>94042.016030564162</v>
      </c>
      <c r="K3133" s="3">
        <v>65499.247442368687</v>
      </c>
    </row>
    <row r="3134" spans="1:11" x14ac:dyDescent="0.3">
      <c r="A3134" t="s">
        <v>3210</v>
      </c>
      <c r="B3134" s="2">
        <v>46235</v>
      </c>
      <c r="C3134">
        <v>2026</v>
      </c>
      <c r="D3134">
        <v>8</v>
      </c>
      <c r="E3134" t="s">
        <v>58</v>
      </c>
      <c r="F3134" t="s">
        <v>67</v>
      </c>
      <c r="G3134" t="s">
        <v>43</v>
      </c>
      <c r="H3134" s="3">
        <v>89828.374652854021</v>
      </c>
      <c r="I3134">
        <v>26</v>
      </c>
      <c r="J3134" s="3">
        <v>54822.750934347263</v>
      </c>
      <c r="K3134" s="3">
        <v>35005.623718506758</v>
      </c>
    </row>
    <row r="3135" spans="1:11" x14ac:dyDescent="0.3">
      <c r="A3135" t="s">
        <v>3211</v>
      </c>
      <c r="B3135" s="2">
        <v>46235</v>
      </c>
      <c r="C3135">
        <v>2026</v>
      </c>
      <c r="D3135">
        <v>8</v>
      </c>
      <c r="E3135" t="s">
        <v>58</v>
      </c>
      <c r="F3135" t="s">
        <v>48</v>
      </c>
      <c r="G3135" t="s">
        <v>43</v>
      </c>
      <c r="H3135" s="3">
        <v>114340.9030447697</v>
      </c>
      <c r="I3135">
        <v>33</v>
      </c>
      <c r="J3135" s="3">
        <v>68874.651494073172</v>
      </c>
      <c r="K3135" s="3">
        <v>45466.251550696499</v>
      </c>
    </row>
    <row r="3136" spans="1:11" x14ac:dyDescent="0.3">
      <c r="A3136" t="s">
        <v>3212</v>
      </c>
      <c r="B3136" s="2">
        <v>46235</v>
      </c>
      <c r="C3136">
        <v>2026</v>
      </c>
      <c r="D3136">
        <v>8</v>
      </c>
      <c r="E3136" t="s">
        <v>62</v>
      </c>
      <c r="F3136" t="s">
        <v>67</v>
      </c>
      <c r="G3136" t="s">
        <v>43</v>
      </c>
      <c r="H3136" s="3">
        <v>61094.895622843484</v>
      </c>
      <c r="I3136">
        <v>17</v>
      </c>
      <c r="J3136" s="3">
        <v>36921.373280125881</v>
      </c>
      <c r="K3136" s="3">
        <v>24173.522342717599</v>
      </c>
    </row>
    <row r="3137" spans="1:11" x14ac:dyDescent="0.3">
      <c r="A3137" t="s">
        <v>3213</v>
      </c>
      <c r="B3137" s="2">
        <v>46235</v>
      </c>
      <c r="C3137">
        <v>2026</v>
      </c>
      <c r="D3137">
        <v>8</v>
      </c>
      <c r="E3137" t="s">
        <v>62</v>
      </c>
      <c r="F3137" t="s">
        <v>48</v>
      </c>
      <c r="G3137" t="s">
        <v>43</v>
      </c>
      <c r="H3137" s="3">
        <v>91012.400684858265</v>
      </c>
      <c r="I3137">
        <v>26</v>
      </c>
      <c r="J3137" s="3">
        <v>53720.93104060911</v>
      </c>
      <c r="K3137" s="3">
        <v>37291.469644249148</v>
      </c>
    </row>
    <row r="3138" spans="1:11" x14ac:dyDescent="0.3">
      <c r="A3138" t="s">
        <v>3214</v>
      </c>
      <c r="B3138" s="2">
        <v>46266</v>
      </c>
      <c r="C3138">
        <v>2026</v>
      </c>
      <c r="D3138">
        <v>9</v>
      </c>
      <c r="E3138" t="s">
        <v>50</v>
      </c>
      <c r="F3138" t="s">
        <v>67</v>
      </c>
      <c r="G3138" t="s">
        <v>19</v>
      </c>
      <c r="H3138" s="3">
        <v>129165.95601530161</v>
      </c>
      <c r="I3138">
        <v>25</v>
      </c>
      <c r="J3138" s="3">
        <v>80545.608171750675</v>
      </c>
      <c r="K3138" s="3">
        <v>48620.347843550888</v>
      </c>
    </row>
    <row r="3139" spans="1:11" x14ac:dyDescent="0.3">
      <c r="A3139" t="s">
        <v>3215</v>
      </c>
      <c r="B3139" s="2">
        <v>46266</v>
      </c>
      <c r="C3139">
        <v>2026</v>
      </c>
      <c r="D3139">
        <v>9</v>
      </c>
      <c r="E3139" t="s">
        <v>50</v>
      </c>
      <c r="F3139" t="s">
        <v>48</v>
      </c>
      <c r="G3139" t="s">
        <v>19</v>
      </c>
      <c r="H3139" s="3">
        <v>188798.15706803289</v>
      </c>
      <c r="I3139">
        <v>36</v>
      </c>
      <c r="J3139" s="3">
        <v>119166.5563902006</v>
      </c>
      <c r="K3139" s="3">
        <v>69631.600677832364</v>
      </c>
    </row>
    <row r="3140" spans="1:11" x14ac:dyDescent="0.3">
      <c r="A3140" t="s">
        <v>3216</v>
      </c>
      <c r="B3140" s="2">
        <v>46266</v>
      </c>
      <c r="C3140">
        <v>2026</v>
      </c>
      <c r="D3140">
        <v>9</v>
      </c>
      <c r="E3140" t="s">
        <v>54</v>
      </c>
      <c r="F3140" t="s">
        <v>67</v>
      </c>
      <c r="G3140" t="s">
        <v>19</v>
      </c>
      <c r="H3140" s="3">
        <v>113418.4449465848</v>
      </c>
      <c r="I3140">
        <v>22</v>
      </c>
      <c r="J3140" s="3">
        <v>72294.329062488992</v>
      </c>
      <c r="K3140" s="3">
        <v>41124.115884095852</v>
      </c>
    </row>
    <row r="3141" spans="1:11" x14ac:dyDescent="0.3">
      <c r="A3141" t="s">
        <v>3217</v>
      </c>
      <c r="B3141" s="2">
        <v>46266</v>
      </c>
      <c r="C3141">
        <v>2026</v>
      </c>
      <c r="D3141">
        <v>9</v>
      </c>
      <c r="E3141" t="s">
        <v>54</v>
      </c>
      <c r="F3141" t="s">
        <v>48</v>
      </c>
      <c r="G3141" t="s">
        <v>19</v>
      </c>
      <c r="H3141" s="3">
        <v>160501.7324397371</v>
      </c>
      <c r="I3141">
        <v>31</v>
      </c>
      <c r="J3141" s="3">
        <v>96015.364274795123</v>
      </c>
      <c r="K3141" s="3">
        <v>64486.368164942003</v>
      </c>
    </row>
    <row r="3142" spans="1:11" x14ac:dyDescent="0.3">
      <c r="A3142" t="s">
        <v>3218</v>
      </c>
      <c r="B3142" s="2">
        <v>46266</v>
      </c>
      <c r="C3142">
        <v>2026</v>
      </c>
      <c r="D3142">
        <v>9</v>
      </c>
      <c r="E3142" t="s">
        <v>58</v>
      </c>
      <c r="F3142" t="s">
        <v>67</v>
      </c>
      <c r="G3142" t="s">
        <v>19</v>
      </c>
      <c r="H3142" s="3">
        <v>80588.772866942338</v>
      </c>
      <c r="I3142">
        <v>15</v>
      </c>
      <c r="J3142" s="3">
        <v>48781.969801540101</v>
      </c>
      <c r="K3142" s="3">
        <v>31806.80306540224</v>
      </c>
    </row>
    <row r="3143" spans="1:11" x14ac:dyDescent="0.3">
      <c r="A3143" t="s">
        <v>3219</v>
      </c>
      <c r="B3143" s="2">
        <v>46266</v>
      </c>
      <c r="C3143">
        <v>2026</v>
      </c>
      <c r="D3143">
        <v>9</v>
      </c>
      <c r="E3143" t="s">
        <v>58</v>
      </c>
      <c r="F3143" t="s">
        <v>48</v>
      </c>
      <c r="G3143" t="s">
        <v>19</v>
      </c>
      <c r="H3143" s="3">
        <v>107236.7813087743</v>
      </c>
      <c r="I3143">
        <v>21</v>
      </c>
      <c r="J3143" s="3">
        <v>68053.89798087813</v>
      </c>
      <c r="K3143" s="3">
        <v>39182.883327896139</v>
      </c>
    </row>
    <row r="3144" spans="1:11" x14ac:dyDescent="0.3">
      <c r="A3144" t="s">
        <v>3220</v>
      </c>
      <c r="B3144" s="2">
        <v>46266</v>
      </c>
      <c r="C3144">
        <v>2026</v>
      </c>
      <c r="D3144">
        <v>9</v>
      </c>
      <c r="E3144" t="s">
        <v>62</v>
      </c>
      <c r="F3144" t="s">
        <v>67</v>
      </c>
      <c r="G3144" t="s">
        <v>19</v>
      </c>
      <c r="H3144" s="3">
        <v>58374.389424332679</v>
      </c>
      <c r="I3144">
        <v>11</v>
      </c>
      <c r="J3144" s="3">
        <v>36011.739605661183</v>
      </c>
      <c r="K3144" s="3">
        <v>22362.6498186715</v>
      </c>
    </row>
    <row r="3145" spans="1:11" x14ac:dyDescent="0.3">
      <c r="A3145" t="s">
        <v>3221</v>
      </c>
      <c r="B3145" s="2">
        <v>46266</v>
      </c>
      <c r="C3145">
        <v>2026</v>
      </c>
      <c r="D3145">
        <v>9</v>
      </c>
      <c r="E3145" t="s">
        <v>62</v>
      </c>
      <c r="F3145" t="s">
        <v>48</v>
      </c>
      <c r="G3145" t="s">
        <v>19</v>
      </c>
      <c r="H3145" s="3">
        <v>88365.595754171809</v>
      </c>
      <c r="I3145">
        <v>17</v>
      </c>
      <c r="J3145" s="3">
        <v>54124.245161395032</v>
      </c>
      <c r="K3145" s="3">
        <v>34241.350592776776</v>
      </c>
    </row>
    <row r="3146" spans="1:11" x14ac:dyDescent="0.3">
      <c r="A3146" t="s">
        <v>3222</v>
      </c>
      <c r="B3146" s="2">
        <v>46266</v>
      </c>
      <c r="C3146">
        <v>2026</v>
      </c>
      <c r="D3146">
        <v>9</v>
      </c>
      <c r="E3146" t="s">
        <v>50</v>
      </c>
      <c r="F3146" t="s">
        <v>67</v>
      </c>
      <c r="G3146" t="s">
        <v>24</v>
      </c>
      <c r="H3146" s="3">
        <v>154621.8676254368</v>
      </c>
      <c r="I3146">
        <v>25</v>
      </c>
      <c r="J3146" s="3">
        <v>99746.654549135084</v>
      </c>
      <c r="K3146" s="3">
        <v>54875.213076301719</v>
      </c>
    </row>
    <row r="3147" spans="1:11" x14ac:dyDescent="0.3">
      <c r="A3147" t="s">
        <v>3223</v>
      </c>
      <c r="B3147" s="2">
        <v>46266</v>
      </c>
      <c r="C3147">
        <v>2026</v>
      </c>
      <c r="D3147">
        <v>9</v>
      </c>
      <c r="E3147" t="s">
        <v>50</v>
      </c>
      <c r="F3147" t="s">
        <v>48</v>
      </c>
      <c r="G3147" t="s">
        <v>24</v>
      </c>
      <c r="H3147" s="3">
        <v>226784.46676556749</v>
      </c>
      <c r="I3147">
        <v>37</v>
      </c>
      <c r="J3147" s="3">
        <v>148182.42236481121</v>
      </c>
      <c r="K3147" s="3">
        <v>78602.044400756247</v>
      </c>
    </row>
    <row r="3148" spans="1:11" x14ac:dyDescent="0.3">
      <c r="A3148" t="s">
        <v>3224</v>
      </c>
      <c r="B3148" s="2">
        <v>46266</v>
      </c>
      <c r="C3148">
        <v>2026</v>
      </c>
      <c r="D3148">
        <v>9</v>
      </c>
      <c r="E3148" t="s">
        <v>54</v>
      </c>
      <c r="F3148" t="s">
        <v>67</v>
      </c>
      <c r="G3148" t="s">
        <v>24</v>
      </c>
      <c r="H3148" s="3">
        <v>129979.4838286334</v>
      </c>
      <c r="I3148">
        <v>21</v>
      </c>
      <c r="J3148" s="3">
        <v>83620.982008010935</v>
      </c>
      <c r="K3148" s="3">
        <v>46358.501820622492</v>
      </c>
    </row>
    <row r="3149" spans="1:11" x14ac:dyDescent="0.3">
      <c r="A3149" t="s">
        <v>3225</v>
      </c>
      <c r="B3149" s="2">
        <v>46266</v>
      </c>
      <c r="C3149">
        <v>2026</v>
      </c>
      <c r="D3149">
        <v>9</v>
      </c>
      <c r="E3149" t="s">
        <v>54</v>
      </c>
      <c r="F3149" t="s">
        <v>48</v>
      </c>
      <c r="G3149" t="s">
        <v>24</v>
      </c>
      <c r="H3149" s="3">
        <v>175824.24964377831</v>
      </c>
      <c r="I3149">
        <v>29</v>
      </c>
      <c r="J3149" s="3">
        <v>120411.86593237219</v>
      </c>
      <c r="K3149" s="3">
        <v>55412.383711406059</v>
      </c>
    </row>
    <row r="3150" spans="1:11" x14ac:dyDescent="0.3">
      <c r="A3150" t="s">
        <v>3226</v>
      </c>
      <c r="B3150" s="2">
        <v>46266</v>
      </c>
      <c r="C3150">
        <v>2026</v>
      </c>
      <c r="D3150">
        <v>9</v>
      </c>
      <c r="E3150" t="s">
        <v>58</v>
      </c>
      <c r="F3150" t="s">
        <v>67</v>
      </c>
      <c r="G3150" t="s">
        <v>24</v>
      </c>
      <c r="H3150" s="3">
        <v>82382.688081372879</v>
      </c>
      <c r="I3150">
        <v>14</v>
      </c>
      <c r="J3150" s="3">
        <v>54350.615827513619</v>
      </c>
      <c r="K3150" s="3">
        <v>28032.07225385926</v>
      </c>
    </row>
    <row r="3151" spans="1:11" x14ac:dyDescent="0.3">
      <c r="A3151" t="s">
        <v>3227</v>
      </c>
      <c r="B3151" s="2">
        <v>46266</v>
      </c>
      <c r="C3151">
        <v>2026</v>
      </c>
      <c r="D3151">
        <v>9</v>
      </c>
      <c r="E3151" t="s">
        <v>58</v>
      </c>
      <c r="F3151" t="s">
        <v>48</v>
      </c>
      <c r="G3151" t="s">
        <v>24</v>
      </c>
      <c r="H3151" s="3">
        <v>119713.5058981472</v>
      </c>
      <c r="I3151">
        <v>20</v>
      </c>
      <c r="J3151" s="3">
        <v>78928.496838002553</v>
      </c>
      <c r="K3151" s="3">
        <v>40785.009060144628</v>
      </c>
    </row>
    <row r="3152" spans="1:11" x14ac:dyDescent="0.3">
      <c r="A3152" t="s">
        <v>3228</v>
      </c>
      <c r="B3152" s="2">
        <v>46266</v>
      </c>
      <c r="C3152">
        <v>2026</v>
      </c>
      <c r="D3152">
        <v>9</v>
      </c>
      <c r="E3152" t="s">
        <v>62</v>
      </c>
      <c r="F3152" t="s">
        <v>67</v>
      </c>
      <c r="G3152" t="s">
        <v>24</v>
      </c>
      <c r="H3152" s="3">
        <v>67135.676829685195</v>
      </c>
      <c r="I3152">
        <v>11</v>
      </c>
      <c r="J3152" s="3">
        <v>44778.580103900124</v>
      </c>
      <c r="K3152" s="3">
        <v>22357.096725785072</v>
      </c>
    </row>
    <row r="3153" spans="1:11" x14ac:dyDescent="0.3">
      <c r="A3153" t="s">
        <v>3229</v>
      </c>
      <c r="B3153" s="2">
        <v>46266</v>
      </c>
      <c r="C3153">
        <v>2026</v>
      </c>
      <c r="D3153">
        <v>9</v>
      </c>
      <c r="E3153" t="s">
        <v>62</v>
      </c>
      <c r="F3153" t="s">
        <v>48</v>
      </c>
      <c r="G3153" t="s">
        <v>24</v>
      </c>
      <c r="H3153" s="3">
        <v>81807.410547334934</v>
      </c>
      <c r="I3153">
        <v>13</v>
      </c>
      <c r="J3153" s="3">
        <v>54928.167321484223</v>
      </c>
      <c r="K3153" s="3">
        <v>26879.243225850722</v>
      </c>
    </row>
    <row r="3154" spans="1:11" x14ac:dyDescent="0.3">
      <c r="A3154" t="s">
        <v>3230</v>
      </c>
      <c r="B3154" s="2">
        <v>46266</v>
      </c>
      <c r="C3154">
        <v>2026</v>
      </c>
      <c r="D3154">
        <v>9</v>
      </c>
      <c r="E3154" t="s">
        <v>50</v>
      </c>
      <c r="F3154" t="s">
        <v>67</v>
      </c>
      <c r="G3154" t="s">
        <v>29</v>
      </c>
      <c r="H3154" s="3">
        <v>101993.4868291591</v>
      </c>
      <c r="I3154">
        <v>24</v>
      </c>
      <c r="J3154" s="3">
        <v>66387.217018516807</v>
      </c>
      <c r="K3154" s="3">
        <v>35606.269810642247</v>
      </c>
    </row>
    <row r="3155" spans="1:11" x14ac:dyDescent="0.3">
      <c r="A3155" t="s">
        <v>3231</v>
      </c>
      <c r="B3155" s="2">
        <v>46266</v>
      </c>
      <c r="C3155">
        <v>2026</v>
      </c>
      <c r="D3155">
        <v>9</v>
      </c>
      <c r="E3155" t="s">
        <v>50</v>
      </c>
      <c r="F3155" t="s">
        <v>48</v>
      </c>
      <c r="G3155" t="s">
        <v>29</v>
      </c>
      <c r="H3155" s="3">
        <v>147906.93744393569</v>
      </c>
      <c r="I3155">
        <v>34</v>
      </c>
      <c r="J3155" s="3">
        <v>96489.771424296472</v>
      </c>
      <c r="K3155" s="3">
        <v>51417.166019639219</v>
      </c>
    </row>
    <row r="3156" spans="1:11" x14ac:dyDescent="0.3">
      <c r="A3156" t="s">
        <v>3232</v>
      </c>
      <c r="B3156" s="2">
        <v>46266</v>
      </c>
      <c r="C3156">
        <v>2026</v>
      </c>
      <c r="D3156">
        <v>9</v>
      </c>
      <c r="E3156" t="s">
        <v>54</v>
      </c>
      <c r="F3156" t="s">
        <v>67</v>
      </c>
      <c r="G3156" t="s">
        <v>29</v>
      </c>
      <c r="H3156" s="3">
        <v>83143.863927495564</v>
      </c>
      <c r="I3156">
        <v>19</v>
      </c>
      <c r="J3156" s="3">
        <v>52607.838123570938</v>
      </c>
      <c r="K3156" s="3">
        <v>30536.025803924629</v>
      </c>
    </row>
    <row r="3157" spans="1:11" x14ac:dyDescent="0.3">
      <c r="A3157" t="s">
        <v>3233</v>
      </c>
      <c r="B3157" s="2">
        <v>46266</v>
      </c>
      <c r="C3157">
        <v>2026</v>
      </c>
      <c r="D3157">
        <v>9</v>
      </c>
      <c r="E3157" t="s">
        <v>54</v>
      </c>
      <c r="F3157" t="s">
        <v>48</v>
      </c>
      <c r="G3157" t="s">
        <v>29</v>
      </c>
      <c r="H3157" s="3">
        <v>107452.627274509</v>
      </c>
      <c r="I3157">
        <v>25</v>
      </c>
      <c r="J3157" s="3">
        <v>68400.965760409861</v>
      </c>
      <c r="K3157" s="3">
        <v>39051.661514099149</v>
      </c>
    </row>
    <row r="3158" spans="1:11" x14ac:dyDescent="0.3">
      <c r="A3158" t="s">
        <v>3234</v>
      </c>
      <c r="B3158" s="2">
        <v>46266</v>
      </c>
      <c r="C3158">
        <v>2026</v>
      </c>
      <c r="D3158">
        <v>9</v>
      </c>
      <c r="E3158" t="s">
        <v>58</v>
      </c>
      <c r="F3158" t="s">
        <v>67</v>
      </c>
      <c r="G3158" t="s">
        <v>29</v>
      </c>
      <c r="H3158" s="3">
        <v>53273.629434471171</v>
      </c>
      <c r="I3158">
        <v>12</v>
      </c>
      <c r="J3158" s="3">
        <v>34567.086955717466</v>
      </c>
      <c r="K3158" s="3">
        <v>18706.542478753701</v>
      </c>
    </row>
    <row r="3159" spans="1:11" x14ac:dyDescent="0.3">
      <c r="A3159" t="s">
        <v>3235</v>
      </c>
      <c r="B3159" s="2">
        <v>46266</v>
      </c>
      <c r="C3159">
        <v>2026</v>
      </c>
      <c r="D3159">
        <v>9</v>
      </c>
      <c r="E3159" t="s">
        <v>58</v>
      </c>
      <c r="F3159" t="s">
        <v>48</v>
      </c>
      <c r="G3159" t="s">
        <v>29</v>
      </c>
      <c r="H3159" s="3">
        <v>75477.605603166186</v>
      </c>
      <c r="I3159">
        <v>18</v>
      </c>
      <c r="J3159" s="3">
        <v>47847.101733425101</v>
      </c>
      <c r="K3159" s="3">
        <v>27630.503869741089</v>
      </c>
    </row>
    <row r="3160" spans="1:11" x14ac:dyDescent="0.3">
      <c r="A3160" t="s">
        <v>3236</v>
      </c>
      <c r="B3160" s="2">
        <v>46266</v>
      </c>
      <c r="C3160">
        <v>2026</v>
      </c>
      <c r="D3160">
        <v>9</v>
      </c>
      <c r="E3160" t="s">
        <v>62</v>
      </c>
      <c r="F3160" t="s">
        <v>67</v>
      </c>
      <c r="G3160" t="s">
        <v>29</v>
      </c>
      <c r="H3160" s="3">
        <v>42787.526234712714</v>
      </c>
      <c r="I3160">
        <v>10</v>
      </c>
      <c r="J3160" s="3">
        <v>27381.49966846699</v>
      </c>
      <c r="K3160" s="3">
        <v>15406.02656624572</v>
      </c>
    </row>
    <row r="3161" spans="1:11" x14ac:dyDescent="0.3">
      <c r="A3161" t="s">
        <v>3237</v>
      </c>
      <c r="B3161" s="2">
        <v>46266</v>
      </c>
      <c r="C3161">
        <v>2026</v>
      </c>
      <c r="D3161">
        <v>9</v>
      </c>
      <c r="E3161" t="s">
        <v>62</v>
      </c>
      <c r="F3161" t="s">
        <v>48</v>
      </c>
      <c r="G3161" t="s">
        <v>29</v>
      </c>
      <c r="H3161" s="3">
        <v>58683.924106140941</v>
      </c>
      <c r="I3161">
        <v>14</v>
      </c>
      <c r="J3161" s="3">
        <v>37827.291206989488</v>
      </c>
      <c r="K3161" s="3">
        <v>20856.632899151449</v>
      </c>
    </row>
    <row r="3162" spans="1:11" x14ac:dyDescent="0.3">
      <c r="A3162" t="s">
        <v>3238</v>
      </c>
      <c r="B3162" s="2">
        <v>46266</v>
      </c>
      <c r="C3162">
        <v>2026</v>
      </c>
      <c r="D3162">
        <v>9</v>
      </c>
      <c r="E3162" t="s">
        <v>50</v>
      </c>
      <c r="F3162" t="s">
        <v>67</v>
      </c>
      <c r="G3162" t="s">
        <v>34</v>
      </c>
      <c r="H3162" s="3">
        <v>97534.922887890832</v>
      </c>
      <c r="I3162">
        <v>115</v>
      </c>
      <c r="J3162" s="3">
        <v>47478.43981636627</v>
      </c>
      <c r="K3162" s="3">
        <v>50056.483071524563</v>
      </c>
    </row>
    <row r="3163" spans="1:11" x14ac:dyDescent="0.3">
      <c r="A3163" t="s">
        <v>3239</v>
      </c>
      <c r="B3163" s="2">
        <v>46266</v>
      </c>
      <c r="C3163">
        <v>2026</v>
      </c>
      <c r="D3163">
        <v>9</v>
      </c>
      <c r="E3163" t="s">
        <v>50</v>
      </c>
      <c r="F3163" t="s">
        <v>48</v>
      </c>
      <c r="G3163" t="s">
        <v>34</v>
      </c>
      <c r="H3163" s="3">
        <v>129083.4467809293</v>
      </c>
      <c r="I3163">
        <v>152</v>
      </c>
      <c r="J3163" s="3">
        <v>59977.440688673647</v>
      </c>
      <c r="K3163" s="3">
        <v>69106.006092255659</v>
      </c>
    </row>
    <row r="3164" spans="1:11" x14ac:dyDescent="0.3">
      <c r="A3164" t="s">
        <v>3240</v>
      </c>
      <c r="B3164" s="2">
        <v>46266</v>
      </c>
      <c r="C3164">
        <v>2026</v>
      </c>
      <c r="D3164">
        <v>9</v>
      </c>
      <c r="E3164" t="s">
        <v>54</v>
      </c>
      <c r="F3164" t="s">
        <v>67</v>
      </c>
      <c r="G3164" t="s">
        <v>34</v>
      </c>
      <c r="H3164" s="3">
        <v>74838.349154702781</v>
      </c>
      <c r="I3164">
        <v>88</v>
      </c>
      <c r="J3164" s="3">
        <v>36384.564516364931</v>
      </c>
      <c r="K3164" s="3">
        <v>38453.784638337849</v>
      </c>
    </row>
    <row r="3165" spans="1:11" x14ac:dyDescent="0.3">
      <c r="A3165" t="s">
        <v>3241</v>
      </c>
      <c r="B3165" s="2">
        <v>46266</v>
      </c>
      <c r="C3165">
        <v>2026</v>
      </c>
      <c r="D3165">
        <v>9</v>
      </c>
      <c r="E3165" t="s">
        <v>54</v>
      </c>
      <c r="F3165" t="s">
        <v>48</v>
      </c>
      <c r="G3165" t="s">
        <v>34</v>
      </c>
      <c r="H3165" s="3">
        <v>109850.5914912912</v>
      </c>
      <c r="I3165">
        <v>129</v>
      </c>
      <c r="J3165" s="3">
        <v>52506.454283173232</v>
      </c>
      <c r="K3165" s="3">
        <v>57344.137208117972</v>
      </c>
    </row>
    <row r="3166" spans="1:11" x14ac:dyDescent="0.3">
      <c r="A3166" t="s">
        <v>3242</v>
      </c>
      <c r="B3166" s="2">
        <v>46266</v>
      </c>
      <c r="C3166">
        <v>2026</v>
      </c>
      <c r="D3166">
        <v>9</v>
      </c>
      <c r="E3166" t="s">
        <v>58</v>
      </c>
      <c r="F3166" t="s">
        <v>67</v>
      </c>
      <c r="G3166" t="s">
        <v>34</v>
      </c>
      <c r="H3166" s="3">
        <v>53839.703941998123</v>
      </c>
      <c r="I3166">
        <v>63</v>
      </c>
      <c r="J3166" s="3">
        <v>26172.149562565301</v>
      </c>
      <c r="K3166" s="3">
        <v>27667.554379432819</v>
      </c>
    </row>
    <row r="3167" spans="1:11" x14ac:dyDescent="0.3">
      <c r="A3167" t="s">
        <v>3243</v>
      </c>
      <c r="B3167" s="2">
        <v>46266</v>
      </c>
      <c r="C3167">
        <v>2026</v>
      </c>
      <c r="D3167">
        <v>9</v>
      </c>
      <c r="E3167" t="s">
        <v>58</v>
      </c>
      <c r="F3167" t="s">
        <v>48</v>
      </c>
      <c r="G3167" t="s">
        <v>34</v>
      </c>
      <c r="H3167" s="3">
        <v>69104.045014435425</v>
      </c>
      <c r="I3167">
        <v>81</v>
      </c>
      <c r="J3167" s="3">
        <v>33633.815626552678</v>
      </c>
      <c r="K3167" s="3">
        <v>35470.22938788274</v>
      </c>
    </row>
    <row r="3168" spans="1:11" x14ac:dyDescent="0.3">
      <c r="A3168" t="s">
        <v>3244</v>
      </c>
      <c r="B3168" s="2">
        <v>46266</v>
      </c>
      <c r="C3168">
        <v>2026</v>
      </c>
      <c r="D3168">
        <v>9</v>
      </c>
      <c r="E3168" t="s">
        <v>62</v>
      </c>
      <c r="F3168" t="s">
        <v>67</v>
      </c>
      <c r="G3168" t="s">
        <v>34</v>
      </c>
      <c r="H3168" s="3">
        <v>38363.190390999393</v>
      </c>
      <c r="I3168">
        <v>45</v>
      </c>
      <c r="J3168" s="3">
        <v>18947.287641696119</v>
      </c>
      <c r="K3168" s="3">
        <v>19415.90274930327</v>
      </c>
    </row>
    <row r="3169" spans="1:11" x14ac:dyDescent="0.3">
      <c r="A3169" t="s">
        <v>3245</v>
      </c>
      <c r="B3169" s="2">
        <v>46266</v>
      </c>
      <c r="C3169">
        <v>2026</v>
      </c>
      <c r="D3169">
        <v>9</v>
      </c>
      <c r="E3169" t="s">
        <v>62</v>
      </c>
      <c r="F3169" t="s">
        <v>48</v>
      </c>
      <c r="G3169" t="s">
        <v>34</v>
      </c>
      <c r="H3169" s="3">
        <v>57687.154234115922</v>
      </c>
      <c r="I3169">
        <v>68</v>
      </c>
      <c r="J3169" s="3">
        <v>28364.41835609225</v>
      </c>
      <c r="K3169" s="3">
        <v>29322.735878023679</v>
      </c>
    </row>
    <row r="3170" spans="1:11" x14ac:dyDescent="0.3">
      <c r="A3170" t="s">
        <v>3246</v>
      </c>
      <c r="B3170" s="2">
        <v>46266</v>
      </c>
      <c r="C3170">
        <v>2026</v>
      </c>
      <c r="D3170">
        <v>9</v>
      </c>
      <c r="E3170" t="s">
        <v>50</v>
      </c>
      <c r="F3170" t="s">
        <v>67</v>
      </c>
      <c r="G3170" t="s">
        <v>37</v>
      </c>
      <c r="H3170" s="3">
        <v>73909.840347831574</v>
      </c>
      <c r="I3170">
        <v>103</v>
      </c>
      <c r="J3170" s="3">
        <v>41635.708667651743</v>
      </c>
      <c r="K3170" s="3">
        <v>32274.131680179838</v>
      </c>
    </row>
    <row r="3171" spans="1:11" x14ac:dyDescent="0.3">
      <c r="A3171" t="s">
        <v>3247</v>
      </c>
      <c r="B3171" s="2">
        <v>46266</v>
      </c>
      <c r="C3171">
        <v>2026</v>
      </c>
      <c r="D3171">
        <v>9</v>
      </c>
      <c r="E3171" t="s">
        <v>50</v>
      </c>
      <c r="F3171" t="s">
        <v>48</v>
      </c>
      <c r="G3171" t="s">
        <v>37</v>
      </c>
      <c r="H3171" s="3">
        <v>101771.4847973795</v>
      </c>
      <c r="I3171">
        <v>141</v>
      </c>
      <c r="J3171" s="3">
        <v>57428.868910759353</v>
      </c>
      <c r="K3171" s="3">
        <v>44342.615886620188</v>
      </c>
    </row>
    <row r="3172" spans="1:11" x14ac:dyDescent="0.3">
      <c r="A3172" t="s">
        <v>3248</v>
      </c>
      <c r="B3172" s="2">
        <v>46266</v>
      </c>
      <c r="C3172">
        <v>2026</v>
      </c>
      <c r="D3172">
        <v>9</v>
      </c>
      <c r="E3172" t="s">
        <v>54</v>
      </c>
      <c r="F3172" t="s">
        <v>67</v>
      </c>
      <c r="G3172" t="s">
        <v>37</v>
      </c>
      <c r="H3172" s="3">
        <v>65796.651237363621</v>
      </c>
      <c r="I3172">
        <v>91</v>
      </c>
      <c r="J3172" s="3">
        <v>36377.95861882413</v>
      </c>
      <c r="K3172" s="3">
        <v>29418.692618539491</v>
      </c>
    </row>
    <row r="3173" spans="1:11" x14ac:dyDescent="0.3">
      <c r="A3173" t="s">
        <v>3249</v>
      </c>
      <c r="B3173" s="2">
        <v>46266</v>
      </c>
      <c r="C3173">
        <v>2026</v>
      </c>
      <c r="D3173">
        <v>9</v>
      </c>
      <c r="E3173" t="s">
        <v>54</v>
      </c>
      <c r="F3173" t="s">
        <v>48</v>
      </c>
      <c r="G3173" t="s">
        <v>37</v>
      </c>
      <c r="H3173" s="3">
        <v>96351.286813450337</v>
      </c>
      <c r="I3173">
        <v>134</v>
      </c>
      <c r="J3173" s="3">
        <v>53023.908385464492</v>
      </c>
      <c r="K3173" s="3">
        <v>43327.378427985837</v>
      </c>
    </row>
    <row r="3174" spans="1:11" x14ac:dyDescent="0.3">
      <c r="A3174" t="s">
        <v>3250</v>
      </c>
      <c r="B3174" s="2">
        <v>46266</v>
      </c>
      <c r="C3174">
        <v>2026</v>
      </c>
      <c r="D3174">
        <v>9</v>
      </c>
      <c r="E3174" t="s">
        <v>58</v>
      </c>
      <c r="F3174" t="s">
        <v>67</v>
      </c>
      <c r="G3174" t="s">
        <v>37</v>
      </c>
      <c r="H3174" s="3">
        <v>43922.2487358453</v>
      </c>
      <c r="I3174">
        <v>61</v>
      </c>
      <c r="J3174" s="3">
        <v>24536.76408609463</v>
      </c>
      <c r="K3174" s="3">
        <v>19385.48464975067</v>
      </c>
    </row>
    <row r="3175" spans="1:11" x14ac:dyDescent="0.3">
      <c r="A3175" t="s">
        <v>3251</v>
      </c>
      <c r="B3175" s="2">
        <v>46266</v>
      </c>
      <c r="C3175">
        <v>2026</v>
      </c>
      <c r="D3175">
        <v>9</v>
      </c>
      <c r="E3175" t="s">
        <v>58</v>
      </c>
      <c r="F3175" t="s">
        <v>48</v>
      </c>
      <c r="G3175" t="s">
        <v>37</v>
      </c>
      <c r="H3175" s="3">
        <v>57876.766838769523</v>
      </c>
      <c r="I3175">
        <v>80</v>
      </c>
      <c r="J3175" s="3">
        <v>32251.68949880185</v>
      </c>
      <c r="K3175" s="3">
        <v>25625.077339967669</v>
      </c>
    </row>
    <row r="3176" spans="1:11" x14ac:dyDescent="0.3">
      <c r="A3176" t="s">
        <v>3252</v>
      </c>
      <c r="B3176" s="2">
        <v>46266</v>
      </c>
      <c r="C3176">
        <v>2026</v>
      </c>
      <c r="D3176">
        <v>9</v>
      </c>
      <c r="E3176" t="s">
        <v>62</v>
      </c>
      <c r="F3176" t="s">
        <v>67</v>
      </c>
      <c r="G3176" t="s">
        <v>37</v>
      </c>
      <c r="H3176" s="3">
        <v>30541.4764062535</v>
      </c>
      <c r="I3176">
        <v>42</v>
      </c>
      <c r="J3176" s="3">
        <v>16704.362565584041</v>
      </c>
      <c r="K3176" s="3">
        <v>13837.11384066945</v>
      </c>
    </row>
    <row r="3177" spans="1:11" x14ac:dyDescent="0.3">
      <c r="A3177" t="s">
        <v>3253</v>
      </c>
      <c r="B3177" s="2">
        <v>46266</v>
      </c>
      <c r="C3177">
        <v>2026</v>
      </c>
      <c r="D3177">
        <v>9</v>
      </c>
      <c r="E3177" t="s">
        <v>62</v>
      </c>
      <c r="F3177" t="s">
        <v>48</v>
      </c>
      <c r="G3177" t="s">
        <v>37</v>
      </c>
      <c r="H3177" s="3">
        <v>43857.624756723861</v>
      </c>
      <c r="I3177">
        <v>61</v>
      </c>
      <c r="J3177" s="3">
        <v>24297.464088445009</v>
      </c>
      <c r="K3177" s="3">
        <v>19560.160668278852</v>
      </c>
    </row>
    <row r="3178" spans="1:11" x14ac:dyDescent="0.3">
      <c r="A3178" t="s">
        <v>3254</v>
      </c>
      <c r="B3178" s="2">
        <v>46266</v>
      </c>
      <c r="C3178">
        <v>2026</v>
      </c>
      <c r="D3178">
        <v>9</v>
      </c>
      <c r="E3178" t="s">
        <v>50</v>
      </c>
      <c r="F3178" t="s">
        <v>67</v>
      </c>
      <c r="G3178" t="s">
        <v>40</v>
      </c>
      <c r="H3178" s="3">
        <v>69595.586748972928</v>
      </c>
      <c r="I3178">
        <v>13</v>
      </c>
      <c r="J3178" s="3">
        <v>47990.618271543593</v>
      </c>
      <c r="K3178" s="3">
        <v>21604.968477429331</v>
      </c>
    </row>
    <row r="3179" spans="1:11" x14ac:dyDescent="0.3">
      <c r="A3179" t="s">
        <v>3255</v>
      </c>
      <c r="B3179" s="2">
        <v>46266</v>
      </c>
      <c r="C3179">
        <v>2026</v>
      </c>
      <c r="D3179">
        <v>9</v>
      </c>
      <c r="E3179" t="s">
        <v>50</v>
      </c>
      <c r="F3179" t="s">
        <v>48</v>
      </c>
      <c r="G3179" t="s">
        <v>40</v>
      </c>
      <c r="H3179" s="3">
        <v>97516.528499701701</v>
      </c>
      <c r="I3179">
        <v>18</v>
      </c>
      <c r="J3179" s="3">
        <v>66252.159310560062</v>
      </c>
      <c r="K3179" s="3">
        <v>31264.369189141638</v>
      </c>
    </row>
    <row r="3180" spans="1:11" x14ac:dyDescent="0.3">
      <c r="A3180" t="s">
        <v>3256</v>
      </c>
      <c r="B3180" s="2">
        <v>46266</v>
      </c>
      <c r="C3180">
        <v>2026</v>
      </c>
      <c r="D3180">
        <v>9</v>
      </c>
      <c r="E3180" t="s">
        <v>54</v>
      </c>
      <c r="F3180" t="s">
        <v>67</v>
      </c>
      <c r="G3180" t="s">
        <v>40</v>
      </c>
      <c r="H3180" s="3">
        <v>60222.586494320924</v>
      </c>
      <c r="I3180">
        <v>11</v>
      </c>
      <c r="J3180" s="3">
        <v>42518.803535580497</v>
      </c>
      <c r="K3180" s="3">
        <v>17703.782958740409</v>
      </c>
    </row>
    <row r="3181" spans="1:11" x14ac:dyDescent="0.3">
      <c r="A3181" t="s">
        <v>3257</v>
      </c>
      <c r="B3181" s="2">
        <v>46266</v>
      </c>
      <c r="C3181">
        <v>2026</v>
      </c>
      <c r="D3181">
        <v>9</v>
      </c>
      <c r="E3181" t="s">
        <v>54</v>
      </c>
      <c r="F3181" t="s">
        <v>48</v>
      </c>
      <c r="G3181" t="s">
        <v>40</v>
      </c>
      <c r="H3181" s="3">
        <v>81037.81812339359</v>
      </c>
      <c r="I3181">
        <v>15</v>
      </c>
      <c r="J3181" s="3">
        <v>55971.651974256223</v>
      </c>
      <c r="K3181" s="3">
        <v>25066.166149137371</v>
      </c>
    </row>
    <row r="3182" spans="1:11" x14ac:dyDescent="0.3">
      <c r="A3182" t="s">
        <v>3258</v>
      </c>
      <c r="B3182" s="2">
        <v>46266</v>
      </c>
      <c r="C3182">
        <v>2026</v>
      </c>
      <c r="D3182">
        <v>9</v>
      </c>
      <c r="E3182" t="s">
        <v>58</v>
      </c>
      <c r="F3182" t="s">
        <v>67</v>
      </c>
      <c r="G3182" t="s">
        <v>40</v>
      </c>
      <c r="H3182" s="3">
        <v>39763.034262941481</v>
      </c>
      <c r="I3182">
        <v>7</v>
      </c>
      <c r="J3182" s="3">
        <v>28448.262320968599</v>
      </c>
      <c r="K3182" s="3">
        <v>11314.77194197288</v>
      </c>
    </row>
    <row r="3183" spans="1:11" x14ac:dyDescent="0.3">
      <c r="A3183" t="s">
        <v>3259</v>
      </c>
      <c r="B3183" s="2">
        <v>46266</v>
      </c>
      <c r="C3183">
        <v>2026</v>
      </c>
      <c r="D3183">
        <v>9</v>
      </c>
      <c r="E3183" t="s">
        <v>58</v>
      </c>
      <c r="F3183" t="s">
        <v>48</v>
      </c>
      <c r="G3183" t="s">
        <v>40</v>
      </c>
      <c r="H3183" s="3">
        <v>56071.558464971757</v>
      </c>
      <c r="I3183">
        <v>10</v>
      </c>
      <c r="J3183" s="3">
        <v>37557.36829083367</v>
      </c>
      <c r="K3183" s="3">
        <v>18514.19017413809</v>
      </c>
    </row>
    <row r="3184" spans="1:11" x14ac:dyDescent="0.3">
      <c r="A3184" t="s">
        <v>3260</v>
      </c>
      <c r="B3184" s="2">
        <v>46266</v>
      </c>
      <c r="C3184">
        <v>2026</v>
      </c>
      <c r="D3184">
        <v>9</v>
      </c>
      <c r="E3184" t="s">
        <v>62</v>
      </c>
      <c r="F3184" t="s">
        <v>67</v>
      </c>
      <c r="G3184" t="s">
        <v>40</v>
      </c>
      <c r="H3184" s="3">
        <v>30162.09262548243</v>
      </c>
      <c r="I3184">
        <v>6</v>
      </c>
      <c r="J3184" s="3">
        <v>20603.26723913629</v>
      </c>
      <c r="K3184" s="3">
        <v>9558.8253863461359</v>
      </c>
    </row>
    <row r="3185" spans="1:11" x14ac:dyDescent="0.3">
      <c r="A3185" t="s">
        <v>3261</v>
      </c>
      <c r="B3185" s="2">
        <v>46266</v>
      </c>
      <c r="C3185">
        <v>2026</v>
      </c>
      <c r="D3185">
        <v>9</v>
      </c>
      <c r="E3185" t="s">
        <v>62</v>
      </c>
      <c r="F3185" t="s">
        <v>48</v>
      </c>
      <c r="G3185" t="s">
        <v>40</v>
      </c>
      <c r="H3185" s="3">
        <v>41971.172275327743</v>
      </c>
      <c r="I3185">
        <v>8</v>
      </c>
      <c r="J3185" s="3">
        <v>28977.122906727371</v>
      </c>
      <c r="K3185" s="3">
        <v>12994.049368600379</v>
      </c>
    </row>
    <row r="3186" spans="1:11" x14ac:dyDescent="0.3">
      <c r="A3186" t="s">
        <v>3262</v>
      </c>
      <c r="B3186" s="2">
        <v>46266</v>
      </c>
      <c r="C3186">
        <v>2026</v>
      </c>
      <c r="D3186">
        <v>9</v>
      </c>
      <c r="E3186" t="s">
        <v>50</v>
      </c>
      <c r="F3186" t="s">
        <v>67</v>
      </c>
      <c r="G3186" t="s">
        <v>43</v>
      </c>
      <c r="H3186" s="3">
        <v>147425.1768864567</v>
      </c>
      <c r="I3186">
        <v>42</v>
      </c>
      <c r="J3186" s="3">
        <v>88761.601195955271</v>
      </c>
      <c r="K3186" s="3">
        <v>58663.575690501428</v>
      </c>
    </row>
    <row r="3187" spans="1:11" x14ac:dyDescent="0.3">
      <c r="A3187" t="s">
        <v>3263</v>
      </c>
      <c r="B3187" s="2">
        <v>46266</v>
      </c>
      <c r="C3187">
        <v>2026</v>
      </c>
      <c r="D3187">
        <v>9</v>
      </c>
      <c r="E3187" t="s">
        <v>50</v>
      </c>
      <c r="F3187" t="s">
        <v>48</v>
      </c>
      <c r="G3187" t="s">
        <v>43</v>
      </c>
      <c r="H3187" s="3">
        <v>205890.88298663721</v>
      </c>
      <c r="I3187">
        <v>59</v>
      </c>
      <c r="J3187" s="3">
        <v>122349.0851837755</v>
      </c>
      <c r="K3187" s="3">
        <v>83541.797802861707</v>
      </c>
    </row>
    <row r="3188" spans="1:11" x14ac:dyDescent="0.3">
      <c r="A3188" t="s">
        <v>3264</v>
      </c>
      <c r="B3188" s="2">
        <v>46266</v>
      </c>
      <c r="C3188">
        <v>2026</v>
      </c>
      <c r="D3188">
        <v>9</v>
      </c>
      <c r="E3188" t="s">
        <v>54</v>
      </c>
      <c r="F3188" t="s">
        <v>67</v>
      </c>
      <c r="G3188" t="s">
        <v>43</v>
      </c>
      <c r="H3188" s="3">
        <v>117292.5112085896</v>
      </c>
      <c r="I3188">
        <v>34</v>
      </c>
      <c r="J3188" s="3">
        <v>69589.320903044732</v>
      </c>
      <c r="K3188" s="3">
        <v>47703.19030554482</v>
      </c>
    </row>
    <row r="3189" spans="1:11" x14ac:dyDescent="0.3">
      <c r="A3189" t="s">
        <v>3265</v>
      </c>
      <c r="B3189" s="2">
        <v>46266</v>
      </c>
      <c r="C3189">
        <v>2026</v>
      </c>
      <c r="D3189">
        <v>9</v>
      </c>
      <c r="E3189" t="s">
        <v>54</v>
      </c>
      <c r="F3189" t="s">
        <v>48</v>
      </c>
      <c r="G3189" t="s">
        <v>43</v>
      </c>
      <c r="H3189" s="3">
        <v>162324.97046958251</v>
      </c>
      <c r="I3189">
        <v>46</v>
      </c>
      <c r="J3189" s="3">
        <v>93828.45246033647</v>
      </c>
      <c r="K3189" s="3">
        <v>68496.518009246065</v>
      </c>
    </row>
    <row r="3190" spans="1:11" x14ac:dyDescent="0.3">
      <c r="A3190" t="s">
        <v>3266</v>
      </c>
      <c r="B3190" s="2">
        <v>46266</v>
      </c>
      <c r="C3190">
        <v>2026</v>
      </c>
      <c r="D3190">
        <v>9</v>
      </c>
      <c r="E3190" t="s">
        <v>58</v>
      </c>
      <c r="F3190" t="s">
        <v>67</v>
      </c>
      <c r="G3190" t="s">
        <v>43</v>
      </c>
      <c r="H3190" s="3">
        <v>78274.761442402581</v>
      </c>
      <c r="I3190">
        <v>22</v>
      </c>
      <c r="J3190" s="3">
        <v>45220.369358947763</v>
      </c>
      <c r="K3190" s="3">
        <v>33054.392083454833</v>
      </c>
    </row>
    <row r="3191" spans="1:11" x14ac:dyDescent="0.3">
      <c r="A3191" t="s">
        <v>3267</v>
      </c>
      <c r="B3191" s="2">
        <v>46266</v>
      </c>
      <c r="C3191">
        <v>2026</v>
      </c>
      <c r="D3191">
        <v>9</v>
      </c>
      <c r="E3191" t="s">
        <v>58</v>
      </c>
      <c r="F3191" t="s">
        <v>48</v>
      </c>
      <c r="G3191" t="s">
        <v>43</v>
      </c>
      <c r="H3191" s="3">
        <v>115816.0830508159</v>
      </c>
      <c r="I3191">
        <v>33</v>
      </c>
      <c r="J3191" s="3">
        <v>68728.159025628178</v>
      </c>
      <c r="K3191" s="3">
        <v>47087.924025187749</v>
      </c>
    </row>
    <row r="3192" spans="1:11" x14ac:dyDescent="0.3">
      <c r="A3192" t="s">
        <v>3268</v>
      </c>
      <c r="B3192" s="2">
        <v>46266</v>
      </c>
      <c r="C3192">
        <v>2026</v>
      </c>
      <c r="D3192">
        <v>9</v>
      </c>
      <c r="E3192" t="s">
        <v>62</v>
      </c>
      <c r="F3192" t="s">
        <v>67</v>
      </c>
      <c r="G3192" t="s">
        <v>43</v>
      </c>
      <c r="H3192" s="3">
        <v>63976.823920653609</v>
      </c>
      <c r="I3192">
        <v>18</v>
      </c>
      <c r="J3192" s="3">
        <v>36819.506298664492</v>
      </c>
      <c r="K3192" s="3">
        <v>27157.317621989121</v>
      </c>
    </row>
    <row r="3193" spans="1:11" x14ac:dyDescent="0.3">
      <c r="A3193" t="s">
        <v>3269</v>
      </c>
      <c r="B3193" s="2">
        <v>46266</v>
      </c>
      <c r="C3193">
        <v>2026</v>
      </c>
      <c r="D3193">
        <v>9</v>
      </c>
      <c r="E3193" t="s">
        <v>62</v>
      </c>
      <c r="F3193" t="s">
        <v>48</v>
      </c>
      <c r="G3193" t="s">
        <v>43</v>
      </c>
      <c r="H3193" s="3">
        <v>87200.326139760247</v>
      </c>
      <c r="I3193">
        <v>25</v>
      </c>
      <c r="J3193" s="3">
        <v>50955.637743300576</v>
      </c>
      <c r="K3193" s="3">
        <v>36244.688396459671</v>
      </c>
    </row>
    <row r="3194" spans="1:11" x14ac:dyDescent="0.3">
      <c r="A3194" t="s">
        <v>3270</v>
      </c>
      <c r="B3194" s="2">
        <v>46296</v>
      </c>
      <c r="C3194">
        <v>2026</v>
      </c>
      <c r="D3194">
        <v>10</v>
      </c>
      <c r="E3194" t="s">
        <v>50</v>
      </c>
      <c r="F3194" t="s">
        <v>67</v>
      </c>
      <c r="G3194" t="s">
        <v>19</v>
      </c>
      <c r="H3194" s="3">
        <v>157037.52885367861</v>
      </c>
      <c r="I3194">
        <v>30</v>
      </c>
      <c r="J3194" s="3">
        <v>98241.144955119787</v>
      </c>
      <c r="K3194" s="3">
        <v>58796.383898558823</v>
      </c>
    </row>
    <row r="3195" spans="1:11" x14ac:dyDescent="0.3">
      <c r="A3195" t="s">
        <v>3271</v>
      </c>
      <c r="B3195" s="2">
        <v>46296</v>
      </c>
      <c r="C3195">
        <v>2026</v>
      </c>
      <c r="D3195">
        <v>10</v>
      </c>
      <c r="E3195" t="s">
        <v>50</v>
      </c>
      <c r="F3195" t="s">
        <v>48</v>
      </c>
      <c r="G3195" t="s">
        <v>19</v>
      </c>
      <c r="H3195" s="3">
        <v>209648.15002249021</v>
      </c>
      <c r="I3195">
        <v>40</v>
      </c>
      <c r="J3195" s="3">
        <v>127683.53508886389</v>
      </c>
      <c r="K3195" s="3">
        <v>81964.614933626232</v>
      </c>
    </row>
    <row r="3196" spans="1:11" x14ac:dyDescent="0.3">
      <c r="A3196" t="s">
        <v>3272</v>
      </c>
      <c r="B3196" s="2">
        <v>46296</v>
      </c>
      <c r="C3196">
        <v>2026</v>
      </c>
      <c r="D3196">
        <v>10</v>
      </c>
      <c r="E3196" t="s">
        <v>54</v>
      </c>
      <c r="F3196" t="s">
        <v>67</v>
      </c>
      <c r="G3196" t="s">
        <v>19</v>
      </c>
      <c r="H3196" s="3">
        <v>120556.2617552359</v>
      </c>
      <c r="I3196">
        <v>23</v>
      </c>
      <c r="J3196" s="3">
        <v>76904.740852120667</v>
      </c>
      <c r="K3196" s="3">
        <v>43651.520903115219</v>
      </c>
    </row>
    <row r="3197" spans="1:11" x14ac:dyDescent="0.3">
      <c r="A3197" t="s">
        <v>3273</v>
      </c>
      <c r="B3197" s="2">
        <v>46296</v>
      </c>
      <c r="C3197">
        <v>2026</v>
      </c>
      <c r="D3197">
        <v>10</v>
      </c>
      <c r="E3197" t="s">
        <v>54</v>
      </c>
      <c r="F3197" t="s">
        <v>48</v>
      </c>
      <c r="G3197" t="s">
        <v>19</v>
      </c>
      <c r="H3197" s="3">
        <v>175203.71801396599</v>
      </c>
      <c r="I3197">
        <v>34</v>
      </c>
      <c r="J3197" s="3">
        <v>111019.4354597105</v>
      </c>
      <c r="K3197" s="3">
        <v>64184.282554255537</v>
      </c>
    </row>
    <row r="3198" spans="1:11" x14ac:dyDescent="0.3">
      <c r="A3198" t="s">
        <v>3274</v>
      </c>
      <c r="B3198" s="2">
        <v>46296</v>
      </c>
      <c r="C3198">
        <v>2026</v>
      </c>
      <c r="D3198">
        <v>10</v>
      </c>
      <c r="E3198" t="s">
        <v>58</v>
      </c>
      <c r="F3198" t="s">
        <v>67</v>
      </c>
      <c r="G3198" t="s">
        <v>19</v>
      </c>
      <c r="H3198" s="3">
        <v>85899.004441281839</v>
      </c>
      <c r="I3198">
        <v>17</v>
      </c>
      <c r="J3198" s="3">
        <v>51750.967859867931</v>
      </c>
      <c r="K3198" s="3">
        <v>34148.036581413908</v>
      </c>
    </row>
    <row r="3199" spans="1:11" x14ac:dyDescent="0.3">
      <c r="A3199" t="s">
        <v>3275</v>
      </c>
      <c r="B3199" s="2">
        <v>46296</v>
      </c>
      <c r="C3199">
        <v>2026</v>
      </c>
      <c r="D3199">
        <v>10</v>
      </c>
      <c r="E3199" t="s">
        <v>58</v>
      </c>
      <c r="F3199" t="s">
        <v>48</v>
      </c>
      <c r="G3199" t="s">
        <v>19</v>
      </c>
      <c r="H3199" s="3">
        <v>115996.777920294</v>
      </c>
      <c r="I3199">
        <v>22</v>
      </c>
      <c r="J3199" s="3">
        <v>70711.025320595596</v>
      </c>
      <c r="K3199" s="3">
        <v>45285.752599698397</v>
      </c>
    </row>
    <row r="3200" spans="1:11" x14ac:dyDescent="0.3">
      <c r="A3200" t="s">
        <v>3276</v>
      </c>
      <c r="B3200" s="2">
        <v>46296</v>
      </c>
      <c r="C3200">
        <v>2026</v>
      </c>
      <c r="D3200">
        <v>10</v>
      </c>
      <c r="E3200" t="s">
        <v>62</v>
      </c>
      <c r="F3200" t="s">
        <v>67</v>
      </c>
      <c r="G3200" t="s">
        <v>19</v>
      </c>
      <c r="H3200" s="3">
        <v>58566.714638799203</v>
      </c>
      <c r="I3200">
        <v>11</v>
      </c>
      <c r="J3200" s="3">
        <v>34817.368702210348</v>
      </c>
      <c r="K3200" s="3">
        <v>23749.345936588848</v>
      </c>
    </row>
    <row r="3201" spans="1:11" x14ac:dyDescent="0.3">
      <c r="A3201" t="s">
        <v>3277</v>
      </c>
      <c r="B3201" s="2">
        <v>46296</v>
      </c>
      <c r="C3201">
        <v>2026</v>
      </c>
      <c r="D3201">
        <v>10</v>
      </c>
      <c r="E3201" t="s">
        <v>62</v>
      </c>
      <c r="F3201" t="s">
        <v>48</v>
      </c>
      <c r="G3201" t="s">
        <v>19</v>
      </c>
      <c r="H3201" s="3">
        <v>92105.493913655766</v>
      </c>
      <c r="I3201">
        <v>18</v>
      </c>
      <c r="J3201" s="3">
        <v>56300.982668449149</v>
      </c>
      <c r="K3201" s="3">
        <v>35804.511245206617</v>
      </c>
    </row>
    <row r="3202" spans="1:11" x14ac:dyDescent="0.3">
      <c r="A3202" t="s">
        <v>3278</v>
      </c>
      <c r="B3202" s="2">
        <v>46296</v>
      </c>
      <c r="C3202">
        <v>2026</v>
      </c>
      <c r="D3202">
        <v>10</v>
      </c>
      <c r="E3202" t="s">
        <v>50</v>
      </c>
      <c r="F3202" t="s">
        <v>67</v>
      </c>
      <c r="G3202" t="s">
        <v>24</v>
      </c>
      <c r="H3202" s="3">
        <v>173014.65799347681</v>
      </c>
      <c r="I3202">
        <v>28</v>
      </c>
      <c r="J3202" s="3">
        <v>115764.9199848467</v>
      </c>
      <c r="K3202" s="3">
        <v>57249.73800863004</v>
      </c>
    </row>
    <row r="3203" spans="1:11" x14ac:dyDescent="0.3">
      <c r="A3203" t="s">
        <v>3279</v>
      </c>
      <c r="B3203" s="2">
        <v>46296</v>
      </c>
      <c r="C3203">
        <v>2026</v>
      </c>
      <c r="D3203">
        <v>10</v>
      </c>
      <c r="E3203" t="s">
        <v>50</v>
      </c>
      <c r="F3203" t="s">
        <v>48</v>
      </c>
      <c r="G3203" t="s">
        <v>24</v>
      </c>
      <c r="H3203" s="3">
        <v>244290.9469258734</v>
      </c>
      <c r="I3203">
        <v>40</v>
      </c>
      <c r="J3203" s="3">
        <v>160030.8288170477</v>
      </c>
      <c r="K3203" s="3">
        <v>84260.1181088257</v>
      </c>
    </row>
    <row r="3204" spans="1:11" x14ac:dyDescent="0.3">
      <c r="A3204" t="s">
        <v>3280</v>
      </c>
      <c r="B3204" s="2">
        <v>46296</v>
      </c>
      <c r="C3204">
        <v>2026</v>
      </c>
      <c r="D3204">
        <v>10</v>
      </c>
      <c r="E3204" t="s">
        <v>54</v>
      </c>
      <c r="F3204" t="s">
        <v>67</v>
      </c>
      <c r="G3204" t="s">
        <v>24</v>
      </c>
      <c r="H3204" s="3">
        <v>129404.26680206689</v>
      </c>
      <c r="I3204">
        <v>21</v>
      </c>
      <c r="J3204" s="3">
        <v>86115.210147284044</v>
      </c>
      <c r="K3204" s="3">
        <v>43289.056654782828</v>
      </c>
    </row>
    <row r="3205" spans="1:11" x14ac:dyDescent="0.3">
      <c r="A3205" t="s">
        <v>3281</v>
      </c>
      <c r="B3205" s="2">
        <v>46296</v>
      </c>
      <c r="C3205">
        <v>2026</v>
      </c>
      <c r="D3205">
        <v>10</v>
      </c>
      <c r="E3205" t="s">
        <v>54</v>
      </c>
      <c r="F3205" t="s">
        <v>48</v>
      </c>
      <c r="G3205" t="s">
        <v>24</v>
      </c>
      <c r="H3205" s="3">
        <v>174646.94879493839</v>
      </c>
      <c r="I3205">
        <v>29</v>
      </c>
      <c r="J3205" s="3">
        <v>112108.43820510271</v>
      </c>
      <c r="K3205" s="3">
        <v>62538.510589835787</v>
      </c>
    </row>
    <row r="3206" spans="1:11" x14ac:dyDescent="0.3">
      <c r="A3206" t="s">
        <v>3282</v>
      </c>
      <c r="B3206" s="2">
        <v>46296</v>
      </c>
      <c r="C3206">
        <v>2026</v>
      </c>
      <c r="D3206">
        <v>10</v>
      </c>
      <c r="E3206" t="s">
        <v>58</v>
      </c>
      <c r="F3206" t="s">
        <v>67</v>
      </c>
      <c r="G3206" t="s">
        <v>24</v>
      </c>
      <c r="H3206" s="3">
        <v>95252.790996873067</v>
      </c>
      <c r="I3206">
        <v>16</v>
      </c>
      <c r="J3206" s="3">
        <v>63769.833375263173</v>
      </c>
      <c r="K3206" s="3">
        <v>31482.95762160989</v>
      </c>
    </row>
    <row r="3207" spans="1:11" x14ac:dyDescent="0.3">
      <c r="A3207" t="s">
        <v>3283</v>
      </c>
      <c r="B3207" s="2">
        <v>46296</v>
      </c>
      <c r="C3207">
        <v>2026</v>
      </c>
      <c r="D3207">
        <v>10</v>
      </c>
      <c r="E3207" t="s">
        <v>58</v>
      </c>
      <c r="F3207" t="s">
        <v>48</v>
      </c>
      <c r="G3207" t="s">
        <v>24</v>
      </c>
      <c r="H3207" s="3">
        <v>122273.4541622665</v>
      </c>
      <c r="I3207">
        <v>20</v>
      </c>
      <c r="J3207" s="3">
        <v>79894.123288990406</v>
      </c>
      <c r="K3207" s="3">
        <v>42379.330873276049</v>
      </c>
    </row>
    <row r="3208" spans="1:11" x14ac:dyDescent="0.3">
      <c r="A3208" t="s">
        <v>3284</v>
      </c>
      <c r="B3208" s="2">
        <v>46296</v>
      </c>
      <c r="C3208">
        <v>2026</v>
      </c>
      <c r="D3208">
        <v>10</v>
      </c>
      <c r="E3208" t="s">
        <v>62</v>
      </c>
      <c r="F3208" t="s">
        <v>67</v>
      </c>
      <c r="G3208" t="s">
        <v>24</v>
      </c>
      <c r="H3208" s="3">
        <v>66488.197627685091</v>
      </c>
      <c r="I3208">
        <v>11</v>
      </c>
      <c r="J3208" s="3">
        <v>43891.823020331583</v>
      </c>
      <c r="K3208" s="3">
        <v>22596.374607353511</v>
      </c>
    </row>
    <row r="3209" spans="1:11" x14ac:dyDescent="0.3">
      <c r="A3209" t="s">
        <v>3285</v>
      </c>
      <c r="B3209" s="2">
        <v>46296</v>
      </c>
      <c r="C3209">
        <v>2026</v>
      </c>
      <c r="D3209">
        <v>10</v>
      </c>
      <c r="E3209" t="s">
        <v>62</v>
      </c>
      <c r="F3209" t="s">
        <v>48</v>
      </c>
      <c r="G3209" t="s">
        <v>24</v>
      </c>
      <c r="H3209" s="3">
        <v>87787.248575950769</v>
      </c>
      <c r="I3209">
        <v>14</v>
      </c>
      <c r="J3209" s="3">
        <v>57842.724080478401</v>
      </c>
      <c r="K3209" s="3">
        <v>29944.524495472371</v>
      </c>
    </row>
    <row r="3210" spans="1:11" x14ac:dyDescent="0.3">
      <c r="A3210" t="s">
        <v>3286</v>
      </c>
      <c r="B3210" s="2">
        <v>46296</v>
      </c>
      <c r="C3210">
        <v>2026</v>
      </c>
      <c r="D3210">
        <v>10</v>
      </c>
      <c r="E3210" t="s">
        <v>50</v>
      </c>
      <c r="F3210" t="s">
        <v>67</v>
      </c>
      <c r="G3210" t="s">
        <v>29</v>
      </c>
      <c r="H3210" s="3">
        <v>113287.2245938639</v>
      </c>
      <c r="I3210">
        <v>26</v>
      </c>
      <c r="J3210" s="3">
        <v>70844.365403029835</v>
      </c>
      <c r="K3210" s="3">
        <v>42442.859190834053</v>
      </c>
    </row>
    <row r="3211" spans="1:11" x14ac:dyDescent="0.3">
      <c r="A3211" t="s">
        <v>3287</v>
      </c>
      <c r="B3211" s="2">
        <v>46296</v>
      </c>
      <c r="C3211">
        <v>2026</v>
      </c>
      <c r="D3211">
        <v>10</v>
      </c>
      <c r="E3211" t="s">
        <v>50</v>
      </c>
      <c r="F3211" t="s">
        <v>48</v>
      </c>
      <c r="G3211" t="s">
        <v>29</v>
      </c>
      <c r="H3211" s="3">
        <v>153220.5904951806</v>
      </c>
      <c r="I3211">
        <v>36</v>
      </c>
      <c r="J3211" s="3">
        <v>96025.86737637264</v>
      </c>
      <c r="K3211" s="3">
        <v>57194.72311880799</v>
      </c>
    </row>
    <row r="3212" spans="1:11" x14ac:dyDescent="0.3">
      <c r="A3212" t="s">
        <v>3288</v>
      </c>
      <c r="B3212" s="2">
        <v>46296</v>
      </c>
      <c r="C3212">
        <v>2026</v>
      </c>
      <c r="D3212">
        <v>10</v>
      </c>
      <c r="E3212" t="s">
        <v>54</v>
      </c>
      <c r="F3212" t="s">
        <v>67</v>
      </c>
      <c r="G3212" t="s">
        <v>29</v>
      </c>
      <c r="H3212" s="3">
        <v>96809.312771023382</v>
      </c>
      <c r="I3212">
        <v>23</v>
      </c>
      <c r="J3212" s="3">
        <v>63037.286454453839</v>
      </c>
      <c r="K3212" s="3">
        <v>33772.026316569543</v>
      </c>
    </row>
    <row r="3213" spans="1:11" x14ac:dyDescent="0.3">
      <c r="A3213" t="s">
        <v>3289</v>
      </c>
      <c r="B3213" s="2">
        <v>46296</v>
      </c>
      <c r="C3213">
        <v>2026</v>
      </c>
      <c r="D3213">
        <v>10</v>
      </c>
      <c r="E3213" t="s">
        <v>54</v>
      </c>
      <c r="F3213" t="s">
        <v>48</v>
      </c>
      <c r="G3213" t="s">
        <v>29</v>
      </c>
      <c r="H3213" s="3">
        <v>126725.0349176008</v>
      </c>
      <c r="I3213">
        <v>29</v>
      </c>
      <c r="J3213" s="3">
        <v>81686.499986715731</v>
      </c>
      <c r="K3213" s="3">
        <v>45038.534930885071</v>
      </c>
    </row>
    <row r="3214" spans="1:11" x14ac:dyDescent="0.3">
      <c r="A3214" t="s">
        <v>3290</v>
      </c>
      <c r="B3214" s="2">
        <v>46296</v>
      </c>
      <c r="C3214">
        <v>2026</v>
      </c>
      <c r="D3214">
        <v>10</v>
      </c>
      <c r="E3214" t="s">
        <v>58</v>
      </c>
      <c r="F3214" t="s">
        <v>67</v>
      </c>
      <c r="G3214" t="s">
        <v>29</v>
      </c>
      <c r="H3214" s="3">
        <v>61753.246167284698</v>
      </c>
      <c r="I3214">
        <v>14</v>
      </c>
      <c r="J3214" s="3">
        <v>40269.079700735077</v>
      </c>
      <c r="K3214" s="3">
        <v>21484.16646654961</v>
      </c>
    </row>
    <row r="3215" spans="1:11" x14ac:dyDescent="0.3">
      <c r="A3215" t="s">
        <v>3291</v>
      </c>
      <c r="B3215" s="2">
        <v>46296</v>
      </c>
      <c r="C3215">
        <v>2026</v>
      </c>
      <c r="D3215">
        <v>10</v>
      </c>
      <c r="E3215" t="s">
        <v>58</v>
      </c>
      <c r="F3215" t="s">
        <v>48</v>
      </c>
      <c r="G3215" t="s">
        <v>29</v>
      </c>
      <c r="H3215" s="3">
        <v>81094.098775843449</v>
      </c>
      <c r="I3215">
        <v>19</v>
      </c>
      <c r="J3215" s="3">
        <v>52203.520244589839</v>
      </c>
      <c r="K3215" s="3">
        <v>28890.57853125361</v>
      </c>
    </row>
    <row r="3216" spans="1:11" x14ac:dyDescent="0.3">
      <c r="A3216" t="s">
        <v>3292</v>
      </c>
      <c r="B3216" s="2">
        <v>46296</v>
      </c>
      <c r="C3216">
        <v>2026</v>
      </c>
      <c r="D3216">
        <v>10</v>
      </c>
      <c r="E3216" t="s">
        <v>62</v>
      </c>
      <c r="F3216" t="s">
        <v>67</v>
      </c>
      <c r="G3216" t="s">
        <v>29</v>
      </c>
      <c r="H3216" s="3">
        <v>46887.654296678047</v>
      </c>
      <c r="I3216">
        <v>11</v>
      </c>
      <c r="J3216" s="3">
        <v>30085.334537487881</v>
      </c>
      <c r="K3216" s="3">
        <v>16802.319759190181</v>
      </c>
    </row>
    <row r="3217" spans="1:11" x14ac:dyDescent="0.3">
      <c r="A3217" t="s">
        <v>3293</v>
      </c>
      <c r="B3217" s="2">
        <v>46296</v>
      </c>
      <c r="C3217">
        <v>2026</v>
      </c>
      <c r="D3217">
        <v>10</v>
      </c>
      <c r="E3217" t="s">
        <v>62</v>
      </c>
      <c r="F3217" t="s">
        <v>48</v>
      </c>
      <c r="G3217" t="s">
        <v>29</v>
      </c>
      <c r="H3217" s="3">
        <v>64459.819740527993</v>
      </c>
      <c r="I3217">
        <v>15</v>
      </c>
      <c r="J3217" s="3">
        <v>39972.588633751708</v>
      </c>
      <c r="K3217" s="3">
        <v>24487.231106776278</v>
      </c>
    </row>
    <row r="3218" spans="1:11" x14ac:dyDescent="0.3">
      <c r="A3218" t="s">
        <v>3294</v>
      </c>
      <c r="B3218" s="2">
        <v>46296</v>
      </c>
      <c r="C3218">
        <v>2026</v>
      </c>
      <c r="D3218">
        <v>10</v>
      </c>
      <c r="E3218" t="s">
        <v>50</v>
      </c>
      <c r="F3218" t="s">
        <v>67</v>
      </c>
      <c r="G3218" t="s">
        <v>34</v>
      </c>
      <c r="H3218" s="3">
        <v>106317.63883450811</v>
      </c>
      <c r="I3218">
        <v>125</v>
      </c>
      <c r="J3218" s="3">
        <v>50784.112010766563</v>
      </c>
      <c r="K3218" s="3">
        <v>55533.5268237415</v>
      </c>
    </row>
    <row r="3219" spans="1:11" x14ac:dyDescent="0.3">
      <c r="A3219" t="s">
        <v>3295</v>
      </c>
      <c r="B3219" s="2">
        <v>46296</v>
      </c>
      <c r="C3219">
        <v>2026</v>
      </c>
      <c r="D3219">
        <v>10</v>
      </c>
      <c r="E3219" t="s">
        <v>50</v>
      </c>
      <c r="F3219" t="s">
        <v>48</v>
      </c>
      <c r="G3219" t="s">
        <v>34</v>
      </c>
      <c r="H3219" s="3">
        <v>136485.65006764399</v>
      </c>
      <c r="I3219">
        <v>161</v>
      </c>
      <c r="J3219" s="3">
        <v>65480.819455559322</v>
      </c>
      <c r="K3219" s="3">
        <v>71004.830612084639</v>
      </c>
    </row>
    <row r="3220" spans="1:11" x14ac:dyDescent="0.3">
      <c r="A3220" t="s">
        <v>3296</v>
      </c>
      <c r="B3220" s="2">
        <v>46296</v>
      </c>
      <c r="C3220">
        <v>2026</v>
      </c>
      <c r="D3220">
        <v>10</v>
      </c>
      <c r="E3220" t="s">
        <v>54</v>
      </c>
      <c r="F3220" t="s">
        <v>67</v>
      </c>
      <c r="G3220" t="s">
        <v>34</v>
      </c>
      <c r="H3220" s="3">
        <v>79048.435205718008</v>
      </c>
      <c r="I3220">
        <v>93</v>
      </c>
      <c r="J3220" s="3">
        <v>39277.179084644391</v>
      </c>
      <c r="K3220" s="3">
        <v>39771.256121073617</v>
      </c>
    </row>
    <row r="3221" spans="1:11" x14ac:dyDescent="0.3">
      <c r="A3221" t="s">
        <v>3297</v>
      </c>
      <c r="B3221" s="2">
        <v>46296</v>
      </c>
      <c r="C3221">
        <v>2026</v>
      </c>
      <c r="D3221">
        <v>10</v>
      </c>
      <c r="E3221" t="s">
        <v>54</v>
      </c>
      <c r="F3221" t="s">
        <v>48</v>
      </c>
      <c r="G3221" t="s">
        <v>34</v>
      </c>
      <c r="H3221" s="3">
        <v>117000.9211612034</v>
      </c>
      <c r="I3221">
        <v>138</v>
      </c>
      <c r="J3221" s="3">
        <v>56854.878345006488</v>
      </c>
      <c r="K3221" s="3">
        <v>60146.042816196867</v>
      </c>
    </row>
    <row r="3222" spans="1:11" x14ac:dyDescent="0.3">
      <c r="A3222" t="s">
        <v>3298</v>
      </c>
      <c r="B3222" s="2">
        <v>46296</v>
      </c>
      <c r="C3222">
        <v>2026</v>
      </c>
      <c r="D3222">
        <v>10</v>
      </c>
      <c r="E3222" t="s">
        <v>58</v>
      </c>
      <c r="F3222" t="s">
        <v>67</v>
      </c>
      <c r="G3222" t="s">
        <v>34</v>
      </c>
      <c r="H3222" s="3">
        <v>56527.607482865969</v>
      </c>
      <c r="I3222">
        <v>67</v>
      </c>
      <c r="J3222" s="3">
        <v>27883.461612841991</v>
      </c>
      <c r="K3222" s="3">
        <v>28644.145870023971</v>
      </c>
    </row>
    <row r="3223" spans="1:11" x14ac:dyDescent="0.3">
      <c r="A3223" t="s">
        <v>3299</v>
      </c>
      <c r="B3223" s="2">
        <v>46296</v>
      </c>
      <c r="C3223">
        <v>2026</v>
      </c>
      <c r="D3223">
        <v>10</v>
      </c>
      <c r="E3223" t="s">
        <v>58</v>
      </c>
      <c r="F3223" t="s">
        <v>48</v>
      </c>
      <c r="G3223" t="s">
        <v>34</v>
      </c>
      <c r="H3223" s="3">
        <v>77208.436837037574</v>
      </c>
      <c r="I3223">
        <v>91</v>
      </c>
      <c r="J3223" s="3">
        <v>37458.655668987543</v>
      </c>
      <c r="K3223" s="3">
        <v>39749.781168050038</v>
      </c>
    </row>
    <row r="3224" spans="1:11" x14ac:dyDescent="0.3">
      <c r="A3224" t="s">
        <v>3300</v>
      </c>
      <c r="B3224" s="2">
        <v>46296</v>
      </c>
      <c r="C3224">
        <v>2026</v>
      </c>
      <c r="D3224">
        <v>10</v>
      </c>
      <c r="E3224" t="s">
        <v>62</v>
      </c>
      <c r="F3224" t="s">
        <v>67</v>
      </c>
      <c r="G3224" t="s">
        <v>34</v>
      </c>
      <c r="H3224" s="3">
        <v>45512.538136372328</v>
      </c>
      <c r="I3224">
        <v>54</v>
      </c>
      <c r="J3224" s="3">
        <v>21566.31372575865</v>
      </c>
      <c r="K3224" s="3">
        <v>23946.224410613671</v>
      </c>
    </row>
    <row r="3225" spans="1:11" x14ac:dyDescent="0.3">
      <c r="A3225" t="s">
        <v>3301</v>
      </c>
      <c r="B3225" s="2">
        <v>46296</v>
      </c>
      <c r="C3225">
        <v>2026</v>
      </c>
      <c r="D3225">
        <v>10</v>
      </c>
      <c r="E3225" t="s">
        <v>62</v>
      </c>
      <c r="F3225" t="s">
        <v>48</v>
      </c>
      <c r="G3225" t="s">
        <v>34</v>
      </c>
      <c r="H3225" s="3">
        <v>60565.816059619297</v>
      </c>
      <c r="I3225">
        <v>71</v>
      </c>
      <c r="J3225" s="3">
        <v>29132.88148165707</v>
      </c>
      <c r="K3225" s="3">
        <v>31432.934577962231</v>
      </c>
    </row>
    <row r="3226" spans="1:11" x14ac:dyDescent="0.3">
      <c r="A3226" t="s">
        <v>3302</v>
      </c>
      <c r="B3226" s="2">
        <v>46296</v>
      </c>
      <c r="C3226">
        <v>2026</v>
      </c>
      <c r="D3226">
        <v>10</v>
      </c>
      <c r="E3226" t="s">
        <v>50</v>
      </c>
      <c r="F3226" t="s">
        <v>67</v>
      </c>
      <c r="G3226" t="s">
        <v>37</v>
      </c>
      <c r="H3226" s="3">
        <v>91578.585104503494</v>
      </c>
      <c r="I3226">
        <v>127</v>
      </c>
      <c r="J3226" s="3">
        <v>50582.388777678672</v>
      </c>
      <c r="K3226" s="3">
        <v>40996.196326824822</v>
      </c>
    </row>
    <row r="3227" spans="1:11" x14ac:dyDescent="0.3">
      <c r="A3227" t="s">
        <v>3303</v>
      </c>
      <c r="B3227" s="2">
        <v>46296</v>
      </c>
      <c r="C3227">
        <v>2026</v>
      </c>
      <c r="D3227">
        <v>10</v>
      </c>
      <c r="E3227" t="s">
        <v>50</v>
      </c>
      <c r="F3227" t="s">
        <v>48</v>
      </c>
      <c r="G3227" t="s">
        <v>37</v>
      </c>
      <c r="H3227" s="3">
        <v>124423.0968404309</v>
      </c>
      <c r="I3227">
        <v>173</v>
      </c>
      <c r="J3227" s="3">
        <v>67275.862082619497</v>
      </c>
      <c r="K3227" s="3">
        <v>57147.234757811369</v>
      </c>
    </row>
    <row r="3228" spans="1:11" x14ac:dyDescent="0.3">
      <c r="A3228" t="s">
        <v>3304</v>
      </c>
      <c r="B3228" s="2">
        <v>46296</v>
      </c>
      <c r="C3228">
        <v>2026</v>
      </c>
      <c r="D3228">
        <v>10</v>
      </c>
      <c r="E3228" t="s">
        <v>54</v>
      </c>
      <c r="F3228" t="s">
        <v>67</v>
      </c>
      <c r="G3228" t="s">
        <v>37</v>
      </c>
      <c r="H3228" s="3">
        <v>69853.189716449386</v>
      </c>
      <c r="I3228">
        <v>97</v>
      </c>
      <c r="J3228" s="3">
        <v>38153.4325690638</v>
      </c>
      <c r="K3228" s="3">
        <v>31699.75714738559</v>
      </c>
    </row>
    <row r="3229" spans="1:11" x14ac:dyDescent="0.3">
      <c r="A3229" t="s">
        <v>3305</v>
      </c>
      <c r="B3229" s="2">
        <v>46296</v>
      </c>
      <c r="C3229">
        <v>2026</v>
      </c>
      <c r="D3229">
        <v>10</v>
      </c>
      <c r="E3229" t="s">
        <v>54</v>
      </c>
      <c r="F3229" t="s">
        <v>48</v>
      </c>
      <c r="G3229" t="s">
        <v>37</v>
      </c>
      <c r="H3229" s="3">
        <v>97370.006243766198</v>
      </c>
      <c r="I3229">
        <v>135</v>
      </c>
      <c r="J3229" s="3">
        <v>53355.151652826251</v>
      </c>
      <c r="K3229" s="3">
        <v>44014.854590939947</v>
      </c>
    </row>
    <row r="3230" spans="1:11" x14ac:dyDescent="0.3">
      <c r="A3230" t="s">
        <v>3306</v>
      </c>
      <c r="B3230" s="2">
        <v>46296</v>
      </c>
      <c r="C3230">
        <v>2026</v>
      </c>
      <c r="D3230">
        <v>10</v>
      </c>
      <c r="E3230" t="s">
        <v>58</v>
      </c>
      <c r="F3230" t="s">
        <v>67</v>
      </c>
      <c r="G3230" t="s">
        <v>37</v>
      </c>
      <c r="H3230" s="3">
        <v>48648.943094456787</v>
      </c>
      <c r="I3230">
        <v>68</v>
      </c>
      <c r="J3230" s="3">
        <v>27530.224609822581</v>
      </c>
      <c r="K3230" s="3">
        <v>21118.718484634221</v>
      </c>
    </row>
    <row r="3231" spans="1:11" x14ac:dyDescent="0.3">
      <c r="A3231" t="s">
        <v>3307</v>
      </c>
      <c r="B3231" s="2">
        <v>46296</v>
      </c>
      <c r="C3231">
        <v>2026</v>
      </c>
      <c r="D3231">
        <v>10</v>
      </c>
      <c r="E3231" t="s">
        <v>58</v>
      </c>
      <c r="F3231" t="s">
        <v>48</v>
      </c>
      <c r="G3231" t="s">
        <v>37</v>
      </c>
      <c r="H3231" s="3">
        <v>63810.233206092918</v>
      </c>
      <c r="I3231">
        <v>89</v>
      </c>
      <c r="J3231" s="3">
        <v>33781.180135502087</v>
      </c>
      <c r="K3231" s="3">
        <v>30029.05307059082</v>
      </c>
    </row>
    <row r="3232" spans="1:11" x14ac:dyDescent="0.3">
      <c r="A3232" t="s">
        <v>3308</v>
      </c>
      <c r="B3232" s="2">
        <v>46296</v>
      </c>
      <c r="C3232">
        <v>2026</v>
      </c>
      <c r="D3232">
        <v>10</v>
      </c>
      <c r="E3232" t="s">
        <v>62</v>
      </c>
      <c r="F3232" t="s">
        <v>67</v>
      </c>
      <c r="G3232" t="s">
        <v>37</v>
      </c>
      <c r="H3232" s="3">
        <v>37627.405400508876</v>
      </c>
      <c r="I3232">
        <v>52</v>
      </c>
      <c r="J3232" s="3">
        <v>21144.253973981158</v>
      </c>
      <c r="K3232" s="3">
        <v>16483.151426527718</v>
      </c>
    </row>
    <row r="3233" spans="1:11" x14ac:dyDescent="0.3">
      <c r="A3233" t="s">
        <v>3309</v>
      </c>
      <c r="B3233" s="2">
        <v>46296</v>
      </c>
      <c r="C3233">
        <v>2026</v>
      </c>
      <c r="D3233">
        <v>10</v>
      </c>
      <c r="E3233" t="s">
        <v>62</v>
      </c>
      <c r="F3233" t="s">
        <v>48</v>
      </c>
      <c r="G3233" t="s">
        <v>37</v>
      </c>
      <c r="H3233" s="3">
        <v>48701.599587288358</v>
      </c>
      <c r="I3233">
        <v>68</v>
      </c>
      <c r="J3233" s="3">
        <v>26334.207851368708</v>
      </c>
      <c r="K3233" s="3">
        <v>22367.391735919649</v>
      </c>
    </row>
    <row r="3234" spans="1:11" x14ac:dyDescent="0.3">
      <c r="A3234" t="s">
        <v>3310</v>
      </c>
      <c r="B3234" s="2">
        <v>46296</v>
      </c>
      <c r="C3234">
        <v>2026</v>
      </c>
      <c r="D3234">
        <v>10</v>
      </c>
      <c r="E3234" t="s">
        <v>50</v>
      </c>
      <c r="F3234" t="s">
        <v>67</v>
      </c>
      <c r="G3234" t="s">
        <v>40</v>
      </c>
      <c r="H3234" s="3">
        <v>75971.899789526826</v>
      </c>
      <c r="I3234">
        <v>14</v>
      </c>
      <c r="J3234" s="3">
        <v>51125.956730293197</v>
      </c>
      <c r="K3234" s="3">
        <v>24845.943059233621</v>
      </c>
    </row>
    <row r="3235" spans="1:11" x14ac:dyDescent="0.3">
      <c r="A3235" t="s">
        <v>3311</v>
      </c>
      <c r="B3235" s="2">
        <v>46296</v>
      </c>
      <c r="C3235">
        <v>2026</v>
      </c>
      <c r="D3235">
        <v>10</v>
      </c>
      <c r="E3235" t="s">
        <v>50</v>
      </c>
      <c r="F3235" t="s">
        <v>48</v>
      </c>
      <c r="G3235" t="s">
        <v>40</v>
      </c>
      <c r="H3235" s="3">
        <v>108684.1606016752</v>
      </c>
      <c r="I3235">
        <v>20</v>
      </c>
      <c r="J3235" s="3">
        <v>76584.824283081252</v>
      </c>
      <c r="K3235" s="3">
        <v>32099.336318593971</v>
      </c>
    </row>
    <row r="3236" spans="1:11" x14ac:dyDescent="0.3">
      <c r="A3236" t="s">
        <v>3312</v>
      </c>
      <c r="B3236" s="2">
        <v>46296</v>
      </c>
      <c r="C3236">
        <v>2026</v>
      </c>
      <c r="D3236">
        <v>10</v>
      </c>
      <c r="E3236" t="s">
        <v>54</v>
      </c>
      <c r="F3236" t="s">
        <v>67</v>
      </c>
      <c r="G3236" t="s">
        <v>40</v>
      </c>
      <c r="H3236" s="3">
        <v>66037.141512530361</v>
      </c>
      <c r="I3236">
        <v>12</v>
      </c>
      <c r="J3236" s="3">
        <v>46165.916751771023</v>
      </c>
      <c r="K3236" s="3">
        <v>19871.224760759349</v>
      </c>
    </row>
    <row r="3237" spans="1:11" x14ac:dyDescent="0.3">
      <c r="A3237" t="s">
        <v>3313</v>
      </c>
      <c r="B3237" s="2">
        <v>46296</v>
      </c>
      <c r="C3237">
        <v>2026</v>
      </c>
      <c r="D3237">
        <v>10</v>
      </c>
      <c r="E3237" t="s">
        <v>54</v>
      </c>
      <c r="F3237" t="s">
        <v>48</v>
      </c>
      <c r="G3237" t="s">
        <v>40</v>
      </c>
      <c r="H3237" s="3">
        <v>86123.250195822489</v>
      </c>
      <c r="I3237">
        <v>16</v>
      </c>
      <c r="J3237" s="3">
        <v>60766.93952787749</v>
      </c>
      <c r="K3237" s="3">
        <v>25356.310667944999</v>
      </c>
    </row>
    <row r="3238" spans="1:11" x14ac:dyDescent="0.3">
      <c r="A3238" t="s">
        <v>3314</v>
      </c>
      <c r="B3238" s="2">
        <v>46296</v>
      </c>
      <c r="C3238">
        <v>2026</v>
      </c>
      <c r="D3238">
        <v>10</v>
      </c>
      <c r="E3238" t="s">
        <v>58</v>
      </c>
      <c r="F3238" t="s">
        <v>67</v>
      </c>
      <c r="G3238" t="s">
        <v>40</v>
      </c>
      <c r="H3238" s="3">
        <v>44871.702657834947</v>
      </c>
      <c r="I3238">
        <v>8</v>
      </c>
      <c r="J3238" s="3">
        <v>31407.711271477168</v>
      </c>
      <c r="K3238" s="3">
        <v>13463.99138635778</v>
      </c>
    </row>
    <row r="3239" spans="1:11" x14ac:dyDescent="0.3">
      <c r="A3239" t="s">
        <v>3315</v>
      </c>
      <c r="B3239" s="2">
        <v>46296</v>
      </c>
      <c r="C3239">
        <v>2026</v>
      </c>
      <c r="D3239">
        <v>10</v>
      </c>
      <c r="E3239" t="s">
        <v>58</v>
      </c>
      <c r="F3239" t="s">
        <v>48</v>
      </c>
      <c r="G3239" t="s">
        <v>40</v>
      </c>
      <c r="H3239" s="3">
        <v>58050.339137906289</v>
      </c>
      <c r="I3239">
        <v>11</v>
      </c>
      <c r="J3239" s="3">
        <v>41539.851790611261</v>
      </c>
      <c r="K3239" s="3">
        <v>16510.487347295031</v>
      </c>
    </row>
    <row r="3240" spans="1:11" x14ac:dyDescent="0.3">
      <c r="A3240" t="s">
        <v>3316</v>
      </c>
      <c r="B3240" s="2">
        <v>46296</v>
      </c>
      <c r="C3240">
        <v>2026</v>
      </c>
      <c r="D3240">
        <v>10</v>
      </c>
      <c r="E3240" t="s">
        <v>62</v>
      </c>
      <c r="F3240" t="s">
        <v>67</v>
      </c>
      <c r="G3240" t="s">
        <v>40</v>
      </c>
      <c r="H3240" s="3">
        <v>33212.725274518583</v>
      </c>
      <c r="I3240">
        <v>6</v>
      </c>
      <c r="J3240" s="3">
        <v>23147.255166373288</v>
      </c>
      <c r="K3240" s="3">
        <v>10065.470108145289</v>
      </c>
    </row>
    <row r="3241" spans="1:11" x14ac:dyDescent="0.3">
      <c r="A3241" t="s">
        <v>3317</v>
      </c>
      <c r="B3241" s="2">
        <v>46296</v>
      </c>
      <c r="C3241">
        <v>2026</v>
      </c>
      <c r="D3241">
        <v>10</v>
      </c>
      <c r="E3241" t="s">
        <v>62</v>
      </c>
      <c r="F3241" t="s">
        <v>48</v>
      </c>
      <c r="G3241" t="s">
        <v>40</v>
      </c>
      <c r="H3241" s="3">
        <v>48540.631732551461</v>
      </c>
      <c r="I3241">
        <v>9</v>
      </c>
      <c r="J3241" s="3">
        <v>33398.699652704738</v>
      </c>
      <c r="K3241" s="3">
        <v>15141.93207984672</v>
      </c>
    </row>
    <row r="3242" spans="1:11" x14ac:dyDescent="0.3">
      <c r="A3242" t="s">
        <v>3318</v>
      </c>
      <c r="B3242" s="2">
        <v>46296</v>
      </c>
      <c r="C3242">
        <v>2026</v>
      </c>
      <c r="D3242">
        <v>10</v>
      </c>
      <c r="E3242" t="s">
        <v>50</v>
      </c>
      <c r="F3242" t="s">
        <v>67</v>
      </c>
      <c r="G3242" t="s">
        <v>43</v>
      </c>
      <c r="H3242" s="3">
        <v>159586.08721728419</v>
      </c>
      <c r="I3242">
        <v>46</v>
      </c>
      <c r="J3242" s="3">
        <v>94736.984538632169</v>
      </c>
      <c r="K3242" s="3">
        <v>64849.102678652023</v>
      </c>
    </row>
    <row r="3243" spans="1:11" x14ac:dyDescent="0.3">
      <c r="A3243" t="s">
        <v>3319</v>
      </c>
      <c r="B3243" s="2">
        <v>46296</v>
      </c>
      <c r="C3243">
        <v>2026</v>
      </c>
      <c r="D3243">
        <v>10</v>
      </c>
      <c r="E3243" t="s">
        <v>50</v>
      </c>
      <c r="F3243" t="s">
        <v>48</v>
      </c>
      <c r="G3243" t="s">
        <v>43</v>
      </c>
      <c r="H3243" s="3">
        <v>216251.7697528298</v>
      </c>
      <c r="I3243">
        <v>62</v>
      </c>
      <c r="J3243" s="3">
        <v>130444.28763832329</v>
      </c>
      <c r="K3243" s="3">
        <v>85807.482114506522</v>
      </c>
    </row>
    <row r="3244" spans="1:11" x14ac:dyDescent="0.3">
      <c r="A3244" t="s">
        <v>3320</v>
      </c>
      <c r="B3244" s="2">
        <v>46296</v>
      </c>
      <c r="C3244">
        <v>2026</v>
      </c>
      <c r="D3244">
        <v>10</v>
      </c>
      <c r="E3244" t="s">
        <v>54</v>
      </c>
      <c r="F3244" t="s">
        <v>67</v>
      </c>
      <c r="G3244" t="s">
        <v>43</v>
      </c>
      <c r="H3244" s="3">
        <v>131498.0446138265</v>
      </c>
      <c r="I3244">
        <v>38</v>
      </c>
      <c r="J3244" s="3">
        <v>76495.441483836898</v>
      </c>
      <c r="K3244" s="3">
        <v>55002.603129989569</v>
      </c>
    </row>
    <row r="3245" spans="1:11" x14ac:dyDescent="0.3">
      <c r="A3245" t="s">
        <v>3321</v>
      </c>
      <c r="B3245" s="2">
        <v>46296</v>
      </c>
      <c r="C3245">
        <v>2026</v>
      </c>
      <c r="D3245">
        <v>10</v>
      </c>
      <c r="E3245" t="s">
        <v>54</v>
      </c>
      <c r="F3245" t="s">
        <v>48</v>
      </c>
      <c r="G3245" t="s">
        <v>43</v>
      </c>
      <c r="H3245" s="3">
        <v>167169.02318685071</v>
      </c>
      <c r="I3245">
        <v>48</v>
      </c>
      <c r="J3245" s="3">
        <v>97472.403046465188</v>
      </c>
      <c r="K3245" s="3">
        <v>69696.620140385523</v>
      </c>
    </row>
    <row r="3246" spans="1:11" x14ac:dyDescent="0.3">
      <c r="A3246" t="s">
        <v>3322</v>
      </c>
      <c r="B3246" s="2">
        <v>46296</v>
      </c>
      <c r="C3246">
        <v>2026</v>
      </c>
      <c r="D3246">
        <v>10</v>
      </c>
      <c r="E3246" t="s">
        <v>58</v>
      </c>
      <c r="F3246" t="s">
        <v>67</v>
      </c>
      <c r="G3246" t="s">
        <v>43</v>
      </c>
      <c r="H3246" s="3">
        <v>89562.519622775581</v>
      </c>
      <c r="I3246">
        <v>26</v>
      </c>
      <c r="J3246" s="3">
        <v>52548.018036567373</v>
      </c>
      <c r="K3246" s="3">
        <v>37014.501586208207</v>
      </c>
    </row>
    <row r="3247" spans="1:11" x14ac:dyDescent="0.3">
      <c r="A3247" t="s">
        <v>3323</v>
      </c>
      <c r="B3247" s="2">
        <v>46296</v>
      </c>
      <c r="C3247">
        <v>2026</v>
      </c>
      <c r="D3247">
        <v>10</v>
      </c>
      <c r="E3247" t="s">
        <v>58</v>
      </c>
      <c r="F3247" t="s">
        <v>48</v>
      </c>
      <c r="G3247" t="s">
        <v>43</v>
      </c>
      <c r="H3247" s="3">
        <v>123381.57414789651</v>
      </c>
      <c r="I3247">
        <v>35</v>
      </c>
      <c r="J3247" s="3">
        <v>70037.467982941962</v>
      </c>
      <c r="K3247" s="3">
        <v>53344.106164954559</v>
      </c>
    </row>
    <row r="3248" spans="1:11" x14ac:dyDescent="0.3">
      <c r="A3248" t="s">
        <v>3324</v>
      </c>
      <c r="B3248" s="2">
        <v>46296</v>
      </c>
      <c r="C3248">
        <v>2026</v>
      </c>
      <c r="D3248">
        <v>10</v>
      </c>
      <c r="E3248" t="s">
        <v>62</v>
      </c>
      <c r="F3248" t="s">
        <v>67</v>
      </c>
      <c r="G3248" t="s">
        <v>43</v>
      </c>
      <c r="H3248" s="3">
        <v>59824.578919854153</v>
      </c>
      <c r="I3248">
        <v>17</v>
      </c>
      <c r="J3248" s="3">
        <v>35384.227888366717</v>
      </c>
      <c r="K3248" s="3">
        <v>24440.351031487429</v>
      </c>
    </row>
    <row r="3249" spans="1:11" x14ac:dyDescent="0.3">
      <c r="A3249" t="s">
        <v>3325</v>
      </c>
      <c r="B3249" s="2">
        <v>46296</v>
      </c>
      <c r="C3249">
        <v>2026</v>
      </c>
      <c r="D3249">
        <v>10</v>
      </c>
      <c r="E3249" t="s">
        <v>62</v>
      </c>
      <c r="F3249" t="s">
        <v>48</v>
      </c>
      <c r="G3249" t="s">
        <v>43</v>
      </c>
      <c r="H3249" s="3">
        <v>89638.684932855977</v>
      </c>
      <c r="I3249">
        <v>26</v>
      </c>
      <c r="J3249" s="3">
        <v>51091.299684107718</v>
      </c>
      <c r="K3249" s="3">
        <v>38547.385248748258</v>
      </c>
    </row>
    <row r="3250" spans="1:11" x14ac:dyDescent="0.3">
      <c r="A3250" t="s">
        <v>3326</v>
      </c>
      <c r="B3250" s="2">
        <v>46327</v>
      </c>
      <c r="C3250">
        <v>2026</v>
      </c>
      <c r="D3250">
        <v>11</v>
      </c>
      <c r="E3250" t="s">
        <v>50</v>
      </c>
      <c r="F3250" t="s">
        <v>67</v>
      </c>
      <c r="G3250" t="s">
        <v>19</v>
      </c>
      <c r="H3250" s="3">
        <v>174284.7132187715</v>
      </c>
      <c r="I3250">
        <v>34</v>
      </c>
      <c r="J3250" s="3">
        <v>108159.7234824989</v>
      </c>
      <c r="K3250" s="3">
        <v>66124.989736272561</v>
      </c>
    </row>
    <row r="3251" spans="1:11" x14ac:dyDescent="0.3">
      <c r="A3251" t="s">
        <v>3327</v>
      </c>
      <c r="B3251" s="2">
        <v>46327</v>
      </c>
      <c r="C3251">
        <v>2026</v>
      </c>
      <c r="D3251">
        <v>11</v>
      </c>
      <c r="E3251" t="s">
        <v>50</v>
      </c>
      <c r="F3251" t="s">
        <v>48</v>
      </c>
      <c r="G3251" t="s">
        <v>19</v>
      </c>
      <c r="H3251" s="3">
        <v>243036.0641572965</v>
      </c>
      <c r="I3251">
        <v>47</v>
      </c>
      <c r="J3251" s="3">
        <v>153029.27001974781</v>
      </c>
      <c r="K3251" s="3">
        <v>90006.794137548684</v>
      </c>
    </row>
    <row r="3252" spans="1:11" x14ac:dyDescent="0.3">
      <c r="A3252" t="s">
        <v>3328</v>
      </c>
      <c r="B3252" s="2">
        <v>46327</v>
      </c>
      <c r="C3252">
        <v>2026</v>
      </c>
      <c r="D3252">
        <v>11</v>
      </c>
      <c r="E3252" t="s">
        <v>54</v>
      </c>
      <c r="F3252" t="s">
        <v>67</v>
      </c>
      <c r="G3252" t="s">
        <v>19</v>
      </c>
      <c r="H3252" s="3">
        <v>164354.03707006201</v>
      </c>
      <c r="I3252">
        <v>32</v>
      </c>
      <c r="J3252" s="3">
        <v>101024.82044560451</v>
      </c>
      <c r="K3252" s="3">
        <v>63329.216624457491</v>
      </c>
    </row>
    <row r="3253" spans="1:11" x14ac:dyDescent="0.3">
      <c r="A3253" t="s">
        <v>3329</v>
      </c>
      <c r="B3253" s="2">
        <v>46327</v>
      </c>
      <c r="C3253">
        <v>2026</v>
      </c>
      <c r="D3253">
        <v>11</v>
      </c>
      <c r="E3253" t="s">
        <v>54</v>
      </c>
      <c r="F3253" t="s">
        <v>48</v>
      </c>
      <c r="G3253" t="s">
        <v>19</v>
      </c>
      <c r="H3253" s="3">
        <v>197166.55425228141</v>
      </c>
      <c r="I3253">
        <v>38</v>
      </c>
      <c r="J3253" s="3">
        <v>125933.5537508397</v>
      </c>
      <c r="K3253" s="3">
        <v>71233.000501441697</v>
      </c>
    </row>
    <row r="3254" spans="1:11" x14ac:dyDescent="0.3">
      <c r="A3254" t="s">
        <v>3330</v>
      </c>
      <c r="B3254" s="2">
        <v>46327</v>
      </c>
      <c r="C3254">
        <v>2026</v>
      </c>
      <c r="D3254">
        <v>11</v>
      </c>
      <c r="E3254" t="s">
        <v>58</v>
      </c>
      <c r="F3254" t="s">
        <v>67</v>
      </c>
      <c r="G3254" t="s">
        <v>19</v>
      </c>
      <c r="H3254" s="3">
        <v>93089.67793977799</v>
      </c>
      <c r="I3254">
        <v>18</v>
      </c>
      <c r="J3254" s="3">
        <v>56198.313971391282</v>
      </c>
      <c r="K3254" s="3">
        <v>36891.363968386708</v>
      </c>
    </row>
    <row r="3255" spans="1:11" x14ac:dyDescent="0.3">
      <c r="A3255" t="s">
        <v>3331</v>
      </c>
      <c r="B3255" s="2">
        <v>46327</v>
      </c>
      <c r="C3255">
        <v>2026</v>
      </c>
      <c r="D3255">
        <v>11</v>
      </c>
      <c r="E3255" t="s">
        <v>58</v>
      </c>
      <c r="F3255" t="s">
        <v>48</v>
      </c>
      <c r="G3255" t="s">
        <v>19</v>
      </c>
      <c r="H3255" s="3">
        <v>129397.3625712412</v>
      </c>
      <c r="I3255">
        <v>25</v>
      </c>
      <c r="J3255" s="3">
        <v>81946.63404634138</v>
      </c>
      <c r="K3255" s="3">
        <v>47450.728524899838</v>
      </c>
    </row>
    <row r="3256" spans="1:11" x14ac:dyDescent="0.3">
      <c r="A3256" t="s">
        <v>3332</v>
      </c>
      <c r="B3256" s="2">
        <v>46327</v>
      </c>
      <c r="C3256">
        <v>2026</v>
      </c>
      <c r="D3256">
        <v>11</v>
      </c>
      <c r="E3256" t="s">
        <v>62</v>
      </c>
      <c r="F3256" t="s">
        <v>67</v>
      </c>
      <c r="G3256" t="s">
        <v>19</v>
      </c>
      <c r="H3256" s="3">
        <v>77428.779050086567</v>
      </c>
      <c r="I3256">
        <v>15</v>
      </c>
      <c r="J3256" s="3">
        <v>48589.232434788362</v>
      </c>
      <c r="K3256" s="3">
        <v>28839.546615298212</v>
      </c>
    </row>
    <row r="3257" spans="1:11" x14ac:dyDescent="0.3">
      <c r="A3257" t="s">
        <v>3333</v>
      </c>
      <c r="B3257" s="2">
        <v>46327</v>
      </c>
      <c r="C3257">
        <v>2026</v>
      </c>
      <c r="D3257">
        <v>11</v>
      </c>
      <c r="E3257" t="s">
        <v>62</v>
      </c>
      <c r="F3257" t="s">
        <v>48</v>
      </c>
      <c r="G3257" t="s">
        <v>19</v>
      </c>
      <c r="H3257" s="3">
        <v>96354.630255339405</v>
      </c>
      <c r="I3257">
        <v>19</v>
      </c>
      <c r="J3257" s="3">
        <v>57894.58987783164</v>
      </c>
      <c r="K3257" s="3">
        <v>38460.040377507758</v>
      </c>
    </row>
    <row r="3258" spans="1:11" x14ac:dyDescent="0.3">
      <c r="A3258" t="s">
        <v>3334</v>
      </c>
      <c r="B3258" s="2">
        <v>46327</v>
      </c>
      <c r="C3258">
        <v>2026</v>
      </c>
      <c r="D3258">
        <v>11</v>
      </c>
      <c r="E3258" t="s">
        <v>50</v>
      </c>
      <c r="F3258" t="s">
        <v>67</v>
      </c>
      <c r="G3258" t="s">
        <v>24</v>
      </c>
      <c r="H3258" s="3">
        <v>165925.65995130301</v>
      </c>
      <c r="I3258">
        <v>27</v>
      </c>
      <c r="J3258" s="3">
        <v>114854.4447246191</v>
      </c>
      <c r="K3258" s="3">
        <v>51071.21522668394</v>
      </c>
    </row>
    <row r="3259" spans="1:11" x14ac:dyDescent="0.3">
      <c r="A3259" t="s">
        <v>3335</v>
      </c>
      <c r="B3259" s="2">
        <v>46327</v>
      </c>
      <c r="C3259">
        <v>2026</v>
      </c>
      <c r="D3259">
        <v>11</v>
      </c>
      <c r="E3259" t="s">
        <v>50</v>
      </c>
      <c r="F3259" t="s">
        <v>48</v>
      </c>
      <c r="G3259" t="s">
        <v>24</v>
      </c>
      <c r="H3259" s="3">
        <v>238111.3305575597</v>
      </c>
      <c r="I3259">
        <v>39</v>
      </c>
      <c r="J3259" s="3">
        <v>156973.15788798171</v>
      </c>
      <c r="K3259" s="3">
        <v>81138.172669577994</v>
      </c>
    </row>
    <row r="3260" spans="1:11" x14ac:dyDescent="0.3">
      <c r="A3260" t="s">
        <v>3336</v>
      </c>
      <c r="B3260" s="2">
        <v>46327</v>
      </c>
      <c r="C3260">
        <v>2026</v>
      </c>
      <c r="D3260">
        <v>11</v>
      </c>
      <c r="E3260" t="s">
        <v>54</v>
      </c>
      <c r="F3260" t="s">
        <v>67</v>
      </c>
      <c r="G3260" t="s">
        <v>24</v>
      </c>
      <c r="H3260" s="3">
        <v>151430.44984241191</v>
      </c>
      <c r="I3260">
        <v>25</v>
      </c>
      <c r="J3260" s="3">
        <v>98365.508629561722</v>
      </c>
      <c r="K3260" s="3">
        <v>53064.941212850194</v>
      </c>
    </row>
    <row r="3261" spans="1:11" x14ac:dyDescent="0.3">
      <c r="A3261" t="s">
        <v>3337</v>
      </c>
      <c r="B3261" s="2">
        <v>46327</v>
      </c>
      <c r="C3261">
        <v>2026</v>
      </c>
      <c r="D3261">
        <v>11</v>
      </c>
      <c r="E3261" t="s">
        <v>54</v>
      </c>
      <c r="F3261" t="s">
        <v>48</v>
      </c>
      <c r="G3261" t="s">
        <v>24</v>
      </c>
      <c r="H3261" s="3">
        <v>202831.6866956208</v>
      </c>
      <c r="I3261">
        <v>33</v>
      </c>
      <c r="J3261" s="3">
        <v>130478.339014845</v>
      </c>
      <c r="K3261" s="3">
        <v>72353.347680775812</v>
      </c>
    </row>
    <row r="3262" spans="1:11" x14ac:dyDescent="0.3">
      <c r="A3262" t="s">
        <v>3338</v>
      </c>
      <c r="B3262" s="2">
        <v>46327</v>
      </c>
      <c r="C3262">
        <v>2026</v>
      </c>
      <c r="D3262">
        <v>11</v>
      </c>
      <c r="E3262" t="s">
        <v>58</v>
      </c>
      <c r="F3262" t="s">
        <v>67</v>
      </c>
      <c r="G3262" t="s">
        <v>24</v>
      </c>
      <c r="H3262" s="3">
        <v>99857.996290024457</v>
      </c>
      <c r="I3262">
        <v>16</v>
      </c>
      <c r="J3262" s="3">
        <v>65645.267305865564</v>
      </c>
      <c r="K3262" s="3">
        <v>34212.728984158894</v>
      </c>
    </row>
    <row r="3263" spans="1:11" x14ac:dyDescent="0.3">
      <c r="A3263" t="s">
        <v>3339</v>
      </c>
      <c r="B3263" s="2">
        <v>46327</v>
      </c>
      <c r="C3263">
        <v>2026</v>
      </c>
      <c r="D3263">
        <v>11</v>
      </c>
      <c r="E3263" t="s">
        <v>58</v>
      </c>
      <c r="F3263" t="s">
        <v>48</v>
      </c>
      <c r="G3263" t="s">
        <v>24</v>
      </c>
      <c r="H3263" s="3">
        <v>148542.17604811399</v>
      </c>
      <c r="I3263">
        <v>24</v>
      </c>
      <c r="J3263" s="3">
        <v>97813.003698223969</v>
      </c>
      <c r="K3263" s="3">
        <v>50729.172349890046</v>
      </c>
    </row>
    <row r="3264" spans="1:11" x14ac:dyDescent="0.3">
      <c r="A3264" t="s">
        <v>3340</v>
      </c>
      <c r="B3264" s="2">
        <v>46327</v>
      </c>
      <c r="C3264">
        <v>2026</v>
      </c>
      <c r="D3264">
        <v>11</v>
      </c>
      <c r="E3264" t="s">
        <v>62</v>
      </c>
      <c r="F3264" t="s">
        <v>67</v>
      </c>
      <c r="G3264" t="s">
        <v>24</v>
      </c>
      <c r="H3264" s="3">
        <v>71431.835189044694</v>
      </c>
      <c r="I3264">
        <v>12</v>
      </c>
      <c r="J3264" s="3">
        <v>47232.117267482638</v>
      </c>
      <c r="K3264" s="3">
        <v>24199.717921562049</v>
      </c>
    </row>
    <row r="3265" spans="1:11" x14ac:dyDescent="0.3">
      <c r="A3265" t="s">
        <v>3341</v>
      </c>
      <c r="B3265" s="2">
        <v>46327</v>
      </c>
      <c r="C3265">
        <v>2026</v>
      </c>
      <c r="D3265">
        <v>11</v>
      </c>
      <c r="E3265" t="s">
        <v>62</v>
      </c>
      <c r="F3265" t="s">
        <v>48</v>
      </c>
      <c r="G3265" t="s">
        <v>24</v>
      </c>
      <c r="H3265" s="3">
        <v>93587.223770027704</v>
      </c>
      <c r="I3265">
        <v>15</v>
      </c>
      <c r="J3265" s="3">
        <v>61436.473091954889</v>
      </c>
      <c r="K3265" s="3">
        <v>32150.750678072811</v>
      </c>
    </row>
    <row r="3266" spans="1:11" x14ac:dyDescent="0.3">
      <c r="A3266" t="s">
        <v>3342</v>
      </c>
      <c r="B3266" s="2">
        <v>46327</v>
      </c>
      <c r="C3266">
        <v>2026</v>
      </c>
      <c r="D3266">
        <v>11</v>
      </c>
      <c r="E3266" t="s">
        <v>50</v>
      </c>
      <c r="F3266" t="s">
        <v>67</v>
      </c>
      <c r="G3266" t="s">
        <v>29</v>
      </c>
      <c r="H3266" s="3">
        <v>118140.0488973021</v>
      </c>
      <c r="I3266">
        <v>27</v>
      </c>
      <c r="J3266" s="3">
        <v>76471.43407430542</v>
      </c>
      <c r="K3266" s="3">
        <v>41668.614822996678</v>
      </c>
    </row>
    <row r="3267" spans="1:11" x14ac:dyDescent="0.3">
      <c r="A3267" t="s">
        <v>3343</v>
      </c>
      <c r="B3267" s="2">
        <v>46327</v>
      </c>
      <c r="C3267">
        <v>2026</v>
      </c>
      <c r="D3267">
        <v>11</v>
      </c>
      <c r="E3267" t="s">
        <v>50</v>
      </c>
      <c r="F3267" t="s">
        <v>48</v>
      </c>
      <c r="G3267" t="s">
        <v>29</v>
      </c>
      <c r="H3267" s="3">
        <v>161695.99378889901</v>
      </c>
      <c r="I3267">
        <v>38</v>
      </c>
      <c r="J3267" s="3">
        <v>102763.3832644059</v>
      </c>
      <c r="K3267" s="3">
        <v>58932.610524493073</v>
      </c>
    </row>
    <row r="3268" spans="1:11" x14ac:dyDescent="0.3">
      <c r="A3268" t="s">
        <v>3344</v>
      </c>
      <c r="B3268" s="2">
        <v>46327</v>
      </c>
      <c r="C3268">
        <v>2026</v>
      </c>
      <c r="D3268">
        <v>11</v>
      </c>
      <c r="E3268" t="s">
        <v>54</v>
      </c>
      <c r="F3268" t="s">
        <v>67</v>
      </c>
      <c r="G3268" t="s">
        <v>29</v>
      </c>
      <c r="H3268" s="3">
        <v>104246.7818914246</v>
      </c>
      <c r="I3268">
        <v>24</v>
      </c>
      <c r="J3268" s="3">
        <v>64394.19763844226</v>
      </c>
      <c r="K3268" s="3">
        <v>39852.584252982393</v>
      </c>
    </row>
    <row r="3269" spans="1:11" x14ac:dyDescent="0.3">
      <c r="A3269" t="s">
        <v>3345</v>
      </c>
      <c r="B3269" s="2">
        <v>46327</v>
      </c>
      <c r="C3269">
        <v>2026</v>
      </c>
      <c r="D3269">
        <v>11</v>
      </c>
      <c r="E3269" t="s">
        <v>54</v>
      </c>
      <c r="F3269" t="s">
        <v>48</v>
      </c>
      <c r="G3269" t="s">
        <v>29</v>
      </c>
      <c r="H3269" s="3">
        <v>145046.5570168751</v>
      </c>
      <c r="I3269">
        <v>34</v>
      </c>
      <c r="J3269" s="3">
        <v>92580.222940395164</v>
      </c>
      <c r="K3269" s="3">
        <v>52466.334076479972</v>
      </c>
    </row>
    <row r="3270" spans="1:11" x14ac:dyDescent="0.3">
      <c r="A3270" t="s">
        <v>3346</v>
      </c>
      <c r="B3270" s="2">
        <v>46327</v>
      </c>
      <c r="C3270">
        <v>2026</v>
      </c>
      <c r="D3270">
        <v>11</v>
      </c>
      <c r="E3270" t="s">
        <v>58</v>
      </c>
      <c r="F3270" t="s">
        <v>67</v>
      </c>
      <c r="G3270" t="s">
        <v>29</v>
      </c>
      <c r="H3270" s="3">
        <v>68739.30137947356</v>
      </c>
      <c r="I3270">
        <v>16</v>
      </c>
      <c r="J3270" s="3">
        <v>42118.402368534051</v>
      </c>
      <c r="K3270" s="3">
        <v>26620.899010939509</v>
      </c>
    </row>
    <row r="3271" spans="1:11" x14ac:dyDescent="0.3">
      <c r="A3271" t="s">
        <v>3347</v>
      </c>
      <c r="B3271" s="2">
        <v>46327</v>
      </c>
      <c r="C3271">
        <v>2026</v>
      </c>
      <c r="D3271">
        <v>11</v>
      </c>
      <c r="E3271" t="s">
        <v>58</v>
      </c>
      <c r="F3271" t="s">
        <v>48</v>
      </c>
      <c r="G3271" t="s">
        <v>29</v>
      </c>
      <c r="H3271" s="3">
        <v>95862.534619275684</v>
      </c>
      <c r="I3271">
        <v>22</v>
      </c>
      <c r="J3271" s="3">
        <v>61742.703940861218</v>
      </c>
      <c r="K3271" s="3">
        <v>34119.830678414473</v>
      </c>
    </row>
    <row r="3272" spans="1:11" x14ac:dyDescent="0.3">
      <c r="A3272" t="s">
        <v>3348</v>
      </c>
      <c r="B3272" s="2">
        <v>46327</v>
      </c>
      <c r="C3272">
        <v>2026</v>
      </c>
      <c r="D3272">
        <v>11</v>
      </c>
      <c r="E3272" t="s">
        <v>62</v>
      </c>
      <c r="F3272" t="s">
        <v>67</v>
      </c>
      <c r="G3272" t="s">
        <v>29</v>
      </c>
      <c r="H3272" s="3">
        <v>49506.498792526188</v>
      </c>
      <c r="I3272">
        <v>12</v>
      </c>
      <c r="J3272" s="3">
        <v>31125.649747521311</v>
      </c>
      <c r="K3272" s="3">
        <v>18380.849045004881</v>
      </c>
    </row>
    <row r="3273" spans="1:11" x14ac:dyDescent="0.3">
      <c r="A3273" t="s">
        <v>3349</v>
      </c>
      <c r="B3273" s="2">
        <v>46327</v>
      </c>
      <c r="C3273">
        <v>2026</v>
      </c>
      <c r="D3273">
        <v>11</v>
      </c>
      <c r="E3273" t="s">
        <v>62</v>
      </c>
      <c r="F3273" t="s">
        <v>48</v>
      </c>
      <c r="G3273" t="s">
        <v>29</v>
      </c>
      <c r="H3273" s="3">
        <v>74328.075983181334</v>
      </c>
      <c r="I3273">
        <v>17</v>
      </c>
      <c r="J3273" s="3">
        <v>47709.847474490947</v>
      </c>
      <c r="K3273" s="3">
        <v>26618.228508690379</v>
      </c>
    </row>
    <row r="3274" spans="1:11" x14ac:dyDescent="0.3">
      <c r="A3274" t="s">
        <v>3350</v>
      </c>
      <c r="B3274" s="2">
        <v>46327</v>
      </c>
      <c r="C3274">
        <v>2026</v>
      </c>
      <c r="D3274">
        <v>11</v>
      </c>
      <c r="E3274" t="s">
        <v>50</v>
      </c>
      <c r="F3274" t="s">
        <v>67</v>
      </c>
      <c r="G3274" t="s">
        <v>34</v>
      </c>
      <c r="H3274" s="3">
        <v>120581.3216583598</v>
      </c>
      <c r="I3274">
        <v>142</v>
      </c>
      <c r="J3274" s="3">
        <v>59248.06743499553</v>
      </c>
      <c r="K3274" s="3">
        <v>61333.254223364238</v>
      </c>
    </row>
    <row r="3275" spans="1:11" x14ac:dyDescent="0.3">
      <c r="A3275" t="s">
        <v>3351</v>
      </c>
      <c r="B3275" s="2">
        <v>46327</v>
      </c>
      <c r="C3275">
        <v>2026</v>
      </c>
      <c r="D3275">
        <v>11</v>
      </c>
      <c r="E3275" t="s">
        <v>50</v>
      </c>
      <c r="F3275" t="s">
        <v>48</v>
      </c>
      <c r="G3275" t="s">
        <v>34</v>
      </c>
      <c r="H3275" s="3">
        <v>163256.19049614691</v>
      </c>
      <c r="I3275">
        <v>192</v>
      </c>
      <c r="J3275" s="3">
        <v>77024.729633783674</v>
      </c>
      <c r="K3275" s="3">
        <v>86231.460862363238</v>
      </c>
    </row>
    <row r="3276" spans="1:11" x14ac:dyDescent="0.3">
      <c r="A3276" t="s">
        <v>3352</v>
      </c>
      <c r="B3276" s="2">
        <v>46327</v>
      </c>
      <c r="C3276">
        <v>2026</v>
      </c>
      <c r="D3276">
        <v>11</v>
      </c>
      <c r="E3276" t="s">
        <v>54</v>
      </c>
      <c r="F3276" t="s">
        <v>67</v>
      </c>
      <c r="G3276" t="s">
        <v>34</v>
      </c>
      <c r="H3276" s="3">
        <v>91494.127259680521</v>
      </c>
      <c r="I3276">
        <v>108</v>
      </c>
      <c r="J3276" s="3">
        <v>44756.11398372789</v>
      </c>
      <c r="K3276" s="3">
        <v>46738.013275952631</v>
      </c>
    </row>
    <row r="3277" spans="1:11" x14ac:dyDescent="0.3">
      <c r="A3277" t="s">
        <v>3353</v>
      </c>
      <c r="B3277" s="2">
        <v>46327</v>
      </c>
      <c r="C3277">
        <v>2026</v>
      </c>
      <c r="D3277">
        <v>11</v>
      </c>
      <c r="E3277" t="s">
        <v>54</v>
      </c>
      <c r="F3277" t="s">
        <v>48</v>
      </c>
      <c r="G3277" t="s">
        <v>34</v>
      </c>
      <c r="H3277" s="3">
        <v>134376.7122774267</v>
      </c>
      <c r="I3277">
        <v>158</v>
      </c>
      <c r="J3277" s="3">
        <v>63997.650194643567</v>
      </c>
      <c r="K3277" s="3">
        <v>70379.062082783115</v>
      </c>
    </row>
    <row r="3278" spans="1:11" x14ac:dyDescent="0.3">
      <c r="A3278" t="s">
        <v>3354</v>
      </c>
      <c r="B3278" s="2">
        <v>46327</v>
      </c>
      <c r="C3278">
        <v>2026</v>
      </c>
      <c r="D3278">
        <v>11</v>
      </c>
      <c r="E3278" t="s">
        <v>58</v>
      </c>
      <c r="F3278" t="s">
        <v>67</v>
      </c>
      <c r="G3278" t="s">
        <v>34</v>
      </c>
      <c r="H3278" s="3">
        <v>59603.840400084817</v>
      </c>
      <c r="I3278">
        <v>70</v>
      </c>
      <c r="J3278" s="3">
        <v>29512.698709051761</v>
      </c>
      <c r="K3278" s="3">
        <v>30091.141691033059</v>
      </c>
    </row>
    <row r="3279" spans="1:11" x14ac:dyDescent="0.3">
      <c r="A3279" t="s">
        <v>3355</v>
      </c>
      <c r="B3279" s="2">
        <v>46327</v>
      </c>
      <c r="C3279">
        <v>2026</v>
      </c>
      <c r="D3279">
        <v>11</v>
      </c>
      <c r="E3279" t="s">
        <v>58</v>
      </c>
      <c r="F3279" t="s">
        <v>48</v>
      </c>
      <c r="G3279" t="s">
        <v>34</v>
      </c>
      <c r="H3279" s="3">
        <v>94274.460697455084</v>
      </c>
      <c r="I3279">
        <v>111</v>
      </c>
      <c r="J3279" s="3">
        <v>44954.312887290027</v>
      </c>
      <c r="K3279" s="3">
        <v>49320.14781016505</v>
      </c>
    </row>
    <row r="3280" spans="1:11" x14ac:dyDescent="0.3">
      <c r="A3280" t="s">
        <v>3356</v>
      </c>
      <c r="B3280" s="2">
        <v>46327</v>
      </c>
      <c r="C3280">
        <v>2026</v>
      </c>
      <c r="D3280">
        <v>11</v>
      </c>
      <c r="E3280" t="s">
        <v>62</v>
      </c>
      <c r="F3280" t="s">
        <v>67</v>
      </c>
      <c r="G3280" t="s">
        <v>34</v>
      </c>
      <c r="H3280" s="3">
        <v>51591.181804864282</v>
      </c>
      <c r="I3280">
        <v>61</v>
      </c>
      <c r="J3280" s="3">
        <v>24389.119358057509</v>
      </c>
      <c r="K3280" s="3">
        <v>27202.062446806769</v>
      </c>
    </row>
    <row r="3281" spans="1:11" x14ac:dyDescent="0.3">
      <c r="A3281" t="s">
        <v>3357</v>
      </c>
      <c r="B3281" s="2">
        <v>46327</v>
      </c>
      <c r="C3281">
        <v>2026</v>
      </c>
      <c r="D3281">
        <v>11</v>
      </c>
      <c r="E3281" t="s">
        <v>62</v>
      </c>
      <c r="F3281" t="s">
        <v>48</v>
      </c>
      <c r="G3281" t="s">
        <v>34</v>
      </c>
      <c r="H3281" s="3">
        <v>65280.908660648318</v>
      </c>
      <c r="I3281">
        <v>77</v>
      </c>
      <c r="J3281" s="3">
        <v>31722.45723350325</v>
      </c>
      <c r="K3281" s="3">
        <v>33558.451427145061</v>
      </c>
    </row>
    <row r="3282" spans="1:11" x14ac:dyDescent="0.3">
      <c r="A3282" t="s">
        <v>3358</v>
      </c>
      <c r="B3282" s="2">
        <v>46327</v>
      </c>
      <c r="C3282">
        <v>2026</v>
      </c>
      <c r="D3282">
        <v>11</v>
      </c>
      <c r="E3282" t="s">
        <v>50</v>
      </c>
      <c r="F3282" t="s">
        <v>67</v>
      </c>
      <c r="G3282" t="s">
        <v>37</v>
      </c>
      <c r="H3282" s="3">
        <v>94816.464756319503</v>
      </c>
      <c r="I3282">
        <v>132</v>
      </c>
      <c r="J3282" s="3">
        <v>51739.987204729478</v>
      </c>
      <c r="K3282" s="3">
        <v>43076.477551590018</v>
      </c>
    </row>
    <row r="3283" spans="1:11" x14ac:dyDescent="0.3">
      <c r="A3283" t="s">
        <v>3359</v>
      </c>
      <c r="B3283" s="2">
        <v>46327</v>
      </c>
      <c r="C3283">
        <v>2026</v>
      </c>
      <c r="D3283">
        <v>11</v>
      </c>
      <c r="E3283" t="s">
        <v>50</v>
      </c>
      <c r="F3283" t="s">
        <v>48</v>
      </c>
      <c r="G3283" t="s">
        <v>37</v>
      </c>
      <c r="H3283" s="3">
        <v>128314.384366383</v>
      </c>
      <c r="I3283">
        <v>178</v>
      </c>
      <c r="J3283" s="3">
        <v>69504.0076453402</v>
      </c>
      <c r="K3283" s="3">
        <v>58810.376721042827</v>
      </c>
    </row>
    <row r="3284" spans="1:11" x14ac:dyDescent="0.3">
      <c r="A3284" t="s">
        <v>3360</v>
      </c>
      <c r="B3284" s="2">
        <v>46327</v>
      </c>
      <c r="C3284">
        <v>2026</v>
      </c>
      <c r="D3284">
        <v>11</v>
      </c>
      <c r="E3284" t="s">
        <v>54</v>
      </c>
      <c r="F3284" t="s">
        <v>67</v>
      </c>
      <c r="G3284" t="s">
        <v>37</v>
      </c>
      <c r="H3284" s="3">
        <v>79164.909373610033</v>
      </c>
      <c r="I3284">
        <v>110</v>
      </c>
      <c r="J3284" s="3">
        <v>43166.201485572477</v>
      </c>
      <c r="K3284" s="3">
        <v>35998.707888037548</v>
      </c>
    </row>
    <row r="3285" spans="1:11" x14ac:dyDescent="0.3">
      <c r="A3285" t="s">
        <v>3361</v>
      </c>
      <c r="B3285" s="2">
        <v>46327</v>
      </c>
      <c r="C3285">
        <v>2026</v>
      </c>
      <c r="D3285">
        <v>11</v>
      </c>
      <c r="E3285" t="s">
        <v>54</v>
      </c>
      <c r="F3285" t="s">
        <v>48</v>
      </c>
      <c r="G3285" t="s">
        <v>37</v>
      </c>
      <c r="H3285" s="3">
        <v>112389.3752925497</v>
      </c>
      <c r="I3285">
        <v>156</v>
      </c>
      <c r="J3285" s="3">
        <v>61764.524738070817</v>
      </c>
      <c r="K3285" s="3">
        <v>50624.850554478922</v>
      </c>
    </row>
    <row r="3286" spans="1:11" x14ac:dyDescent="0.3">
      <c r="A3286" t="s">
        <v>3362</v>
      </c>
      <c r="B3286" s="2">
        <v>46327</v>
      </c>
      <c r="C3286">
        <v>2026</v>
      </c>
      <c r="D3286">
        <v>11</v>
      </c>
      <c r="E3286" t="s">
        <v>58</v>
      </c>
      <c r="F3286" t="s">
        <v>67</v>
      </c>
      <c r="G3286" t="s">
        <v>37</v>
      </c>
      <c r="H3286" s="3">
        <v>48218.910186286463</v>
      </c>
      <c r="I3286">
        <v>67</v>
      </c>
      <c r="J3286" s="3">
        <v>27161.113388160458</v>
      </c>
      <c r="K3286" s="3">
        <v>21057.796798126001</v>
      </c>
    </row>
    <row r="3287" spans="1:11" x14ac:dyDescent="0.3">
      <c r="A3287" t="s">
        <v>3363</v>
      </c>
      <c r="B3287" s="2">
        <v>46327</v>
      </c>
      <c r="C3287">
        <v>2026</v>
      </c>
      <c r="D3287">
        <v>11</v>
      </c>
      <c r="E3287" t="s">
        <v>58</v>
      </c>
      <c r="F3287" t="s">
        <v>48</v>
      </c>
      <c r="G3287" t="s">
        <v>37</v>
      </c>
      <c r="H3287" s="3">
        <v>75271.717189835879</v>
      </c>
      <c r="I3287">
        <v>105</v>
      </c>
      <c r="J3287" s="3">
        <v>39958.181607023776</v>
      </c>
      <c r="K3287" s="3">
        <v>35313.535582812103</v>
      </c>
    </row>
    <row r="3288" spans="1:11" x14ac:dyDescent="0.3">
      <c r="A3288" t="s">
        <v>3364</v>
      </c>
      <c r="B3288" s="2">
        <v>46327</v>
      </c>
      <c r="C3288">
        <v>2026</v>
      </c>
      <c r="D3288">
        <v>11</v>
      </c>
      <c r="E3288" t="s">
        <v>62</v>
      </c>
      <c r="F3288" t="s">
        <v>67</v>
      </c>
      <c r="G3288" t="s">
        <v>37</v>
      </c>
      <c r="H3288" s="3">
        <v>42927.727619309437</v>
      </c>
      <c r="I3288">
        <v>60</v>
      </c>
      <c r="J3288" s="3">
        <v>23620.059113003099</v>
      </c>
      <c r="K3288" s="3">
        <v>19307.668506306341</v>
      </c>
    </row>
    <row r="3289" spans="1:11" x14ac:dyDescent="0.3">
      <c r="A3289" t="s">
        <v>3365</v>
      </c>
      <c r="B3289" s="2">
        <v>46327</v>
      </c>
      <c r="C3289">
        <v>2026</v>
      </c>
      <c r="D3289">
        <v>11</v>
      </c>
      <c r="E3289" t="s">
        <v>62</v>
      </c>
      <c r="F3289" t="s">
        <v>48</v>
      </c>
      <c r="G3289" t="s">
        <v>37</v>
      </c>
      <c r="H3289" s="3">
        <v>52333.615309515313</v>
      </c>
      <c r="I3289">
        <v>73</v>
      </c>
      <c r="J3289" s="3">
        <v>29107.252717082189</v>
      </c>
      <c r="K3289" s="3">
        <v>23226.362592433121</v>
      </c>
    </row>
    <row r="3290" spans="1:11" x14ac:dyDescent="0.3">
      <c r="A3290" t="s">
        <v>3366</v>
      </c>
      <c r="B3290" s="2">
        <v>46327</v>
      </c>
      <c r="C3290">
        <v>2026</v>
      </c>
      <c r="D3290">
        <v>11</v>
      </c>
      <c r="E3290" t="s">
        <v>50</v>
      </c>
      <c r="F3290" t="s">
        <v>67</v>
      </c>
      <c r="G3290" t="s">
        <v>40</v>
      </c>
      <c r="H3290" s="3">
        <v>90988.647252369308</v>
      </c>
      <c r="I3290">
        <v>17</v>
      </c>
      <c r="J3290" s="3">
        <v>63000.778776095227</v>
      </c>
      <c r="K3290" s="3">
        <v>27987.868476274081</v>
      </c>
    </row>
    <row r="3291" spans="1:11" x14ac:dyDescent="0.3">
      <c r="A3291" t="s">
        <v>3367</v>
      </c>
      <c r="B3291" s="2">
        <v>46327</v>
      </c>
      <c r="C3291">
        <v>2026</v>
      </c>
      <c r="D3291">
        <v>11</v>
      </c>
      <c r="E3291" t="s">
        <v>50</v>
      </c>
      <c r="F3291" t="s">
        <v>48</v>
      </c>
      <c r="G3291" t="s">
        <v>40</v>
      </c>
      <c r="H3291" s="3">
        <v>123187.33565262319</v>
      </c>
      <c r="I3291">
        <v>23</v>
      </c>
      <c r="J3291" s="3">
        <v>87003.337899870661</v>
      </c>
      <c r="K3291" s="3">
        <v>36183.997752752519</v>
      </c>
    </row>
    <row r="3292" spans="1:11" x14ac:dyDescent="0.3">
      <c r="A3292" t="s">
        <v>3368</v>
      </c>
      <c r="B3292" s="2">
        <v>46327</v>
      </c>
      <c r="C3292">
        <v>2026</v>
      </c>
      <c r="D3292">
        <v>11</v>
      </c>
      <c r="E3292" t="s">
        <v>54</v>
      </c>
      <c r="F3292" t="s">
        <v>67</v>
      </c>
      <c r="G3292" t="s">
        <v>40</v>
      </c>
      <c r="H3292" s="3">
        <v>70386.395792888361</v>
      </c>
      <c r="I3292">
        <v>13</v>
      </c>
      <c r="J3292" s="3">
        <v>48501.620481505721</v>
      </c>
      <c r="K3292" s="3">
        <v>21884.77531138264</v>
      </c>
    </row>
    <row r="3293" spans="1:11" x14ac:dyDescent="0.3">
      <c r="A3293" t="s">
        <v>3369</v>
      </c>
      <c r="B3293" s="2">
        <v>46327</v>
      </c>
      <c r="C3293">
        <v>2026</v>
      </c>
      <c r="D3293">
        <v>11</v>
      </c>
      <c r="E3293" t="s">
        <v>54</v>
      </c>
      <c r="F3293" t="s">
        <v>48</v>
      </c>
      <c r="G3293" t="s">
        <v>40</v>
      </c>
      <c r="H3293" s="3">
        <v>102211.8631845506</v>
      </c>
      <c r="I3293">
        <v>19</v>
      </c>
      <c r="J3293" s="3">
        <v>70291.902830590378</v>
      </c>
      <c r="K3293" s="3">
        <v>31919.96035396021</v>
      </c>
    </row>
    <row r="3294" spans="1:11" x14ac:dyDescent="0.3">
      <c r="A3294" t="s">
        <v>3370</v>
      </c>
      <c r="B3294" s="2">
        <v>46327</v>
      </c>
      <c r="C3294">
        <v>2026</v>
      </c>
      <c r="D3294">
        <v>11</v>
      </c>
      <c r="E3294" t="s">
        <v>58</v>
      </c>
      <c r="F3294" t="s">
        <v>67</v>
      </c>
      <c r="G3294" t="s">
        <v>40</v>
      </c>
      <c r="H3294" s="3">
        <v>51869.393733538876</v>
      </c>
      <c r="I3294">
        <v>10</v>
      </c>
      <c r="J3294" s="3">
        <v>36171.470955357843</v>
      </c>
      <c r="K3294" s="3">
        <v>15697.92277818103</v>
      </c>
    </row>
    <row r="3295" spans="1:11" x14ac:dyDescent="0.3">
      <c r="A3295" t="s">
        <v>3371</v>
      </c>
      <c r="B3295" s="2">
        <v>46327</v>
      </c>
      <c r="C3295">
        <v>2026</v>
      </c>
      <c r="D3295">
        <v>11</v>
      </c>
      <c r="E3295" t="s">
        <v>58</v>
      </c>
      <c r="F3295" t="s">
        <v>48</v>
      </c>
      <c r="G3295" t="s">
        <v>40</v>
      </c>
      <c r="H3295" s="3">
        <v>70641.36932964671</v>
      </c>
      <c r="I3295">
        <v>13</v>
      </c>
      <c r="J3295" s="3">
        <v>48829.679382864641</v>
      </c>
      <c r="K3295" s="3">
        <v>21811.689946782069</v>
      </c>
    </row>
    <row r="3296" spans="1:11" x14ac:dyDescent="0.3">
      <c r="A3296" t="s">
        <v>3372</v>
      </c>
      <c r="B3296" s="2">
        <v>46327</v>
      </c>
      <c r="C3296">
        <v>2026</v>
      </c>
      <c r="D3296">
        <v>11</v>
      </c>
      <c r="E3296" t="s">
        <v>62</v>
      </c>
      <c r="F3296" t="s">
        <v>67</v>
      </c>
      <c r="G3296" t="s">
        <v>40</v>
      </c>
      <c r="H3296" s="3">
        <v>36225.720355638783</v>
      </c>
      <c r="I3296">
        <v>7</v>
      </c>
      <c r="J3296" s="3">
        <v>24820.093000196121</v>
      </c>
      <c r="K3296" s="3">
        <v>11405.627355442661</v>
      </c>
    </row>
    <row r="3297" spans="1:11" x14ac:dyDescent="0.3">
      <c r="A3297" t="s">
        <v>3373</v>
      </c>
      <c r="B3297" s="2">
        <v>46327</v>
      </c>
      <c r="C3297">
        <v>2026</v>
      </c>
      <c r="D3297">
        <v>11</v>
      </c>
      <c r="E3297" t="s">
        <v>62</v>
      </c>
      <c r="F3297" t="s">
        <v>48</v>
      </c>
      <c r="G3297" t="s">
        <v>40</v>
      </c>
      <c r="H3297" s="3">
        <v>53138.969140136243</v>
      </c>
      <c r="I3297">
        <v>10</v>
      </c>
      <c r="J3297" s="3">
        <v>37006.536545111761</v>
      </c>
      <c r="K3297" s="3">
        <v>16132.432595024469</v>
      </c>
    </row>
    <row r="3298" spans="1:11" x14ac:dyDescent="0.3">
      <c r="A3298" t="s">
        <v>3374</v>
      </c>
      <c r="B3298" s="2">
        <v>46327</v>
      </c>
      <c r="C3298">
        <v>2026</v>
      </c>
      <c r="D3298">
        <v>11</v>
      </c>
      <c r="E3298" t="s">
        <v>50</v>
      </c>
      <c r="F3298" t="s">
        <v>67</v>
      </c>
      <c r="G3298" t="s">
        <v>43</v>
      </c>
      <c r="H3298" s="3">
        <v>195488.8265625448</v>
      </c>
      <c r="I3298">
        <v>56</v>
      </c>
      <c r="J3298" s="3">
        <v>113983.69933449299</v>
      </c>
      <c r="K3298" s="3">
        <v>81505.127228051861</v>
      </c>
    </row>
    <row r="3299" spans="1:11" x14ac:dyDescent="0.3">
      <c r="A3299" t="s">
        <v>3375</v>
      </c>
      <c r="B3299" s="2">
        <v>46327</v>
      </c>
      <c r="C3299">
        <v>2026</v>
      </c>
      <c r="D3299">
        <v>11</v>
      </c>
      <c r="E3299" t="s">
        <v>50</v>
      </c>
      <c r="F3299" t="s">
        <v>48</v>
      </c>
      <c r="G3299" t="s">
        <v>43</v>
      </c>
      <c r="H3299" s="3">
        <v>279337.23271613999</v>
      </c>
      <c r="I3299">
        <v>80</v>
      </c>
      <c r="J3299" s="3">
        <v>162995.872747785</v>
      </c>
      <c r="K3299" s="3">
        <v>116341.359968355</v>
      </c>
    </row>
    <row r="3300" spans="1:11" x14ac:dyDescent="0.3">
      <c r="A3300" t="s">
        <v>3376</v>
      </c>
      <c r="B3300" s="2">
        <v>46327</v>
      </c>
      <c r="C3300">
        <v>2026</v>
      </c>
      <c r="D3300">
        <v>11</v>
      </c>
      <c r="E3300" t="s">
        <v>54</v>
      </c>
      <c r="F3300" t="s">
        <v>67</v>
      </c>
      <c r="G3300" t="s">
        <v>43</v>
      </c>
      <c r="H3300" s="3">
        <v>159614.2118393381</v>
      </c>
      <c r="I3300">
        <v>46</v>
      </c>
      <c r="J3300" s="3">
        <v>93277.380772032659</v>
      </c>
      <c r="K3300" s="3">
        <v>66336.831067305407</v>
      </c>
    </row>
    <row r="3301" spans="1:11" x14ac:dyDescent="0.3">
      <c r="A3301" t="s">
        <v>3377</v>
      </c>
      <c r="B3301" s="2">
        <v>46327</v>
      </c>
      <c r="C3301">
        <v>2026</v>
      </c>
      <c r="D3301">
        <v>11</v>
      </c>
      <c r="E3301" t="s">
        <v>54</v>
      </c>
      <c r="F3301" t="s">
        <v>48</v>
      </c>
      <c r="G3301" t="s">
        <v>43</v>
      </c>
      <c r="H3301" s="3">
        <v>227295.15509060081</v>
      </c>
      <c r="I3301">
        <v>65</v>
      </c>
      <c r="J3301" s="3">
        <v>137370.28070959501</v>
      </c>
      <c r="K3301" s="3">
        <v>89924.874381005822</v>
      </c>
    </row>
    <row r="3302" spans="1:11" x14ac:dyDescent="0.3">
      <c r="A3302" t="s">
        <v>3378</v>
      </c>
      <c r="B3302" s="2">
        <v>46327</v>
      </c>
      <c r="C3302">
        <v>2026</v>
      </c>
      <c r="D3302">
        <v>11</v>
      </c>
      <c r="E3302" t="s">
        <v>58</v>
      </c>
      <c r="F3302" t="s">
        <v>67</v>
      </c>
      <c r="G3302" t="s">
        <v>43</v>
      </c>
      <c r="H3302" s="3">
        <v>102453.0270086844</v>
      </c>
      <c r="I3302">
        <v>29</v>
      </c>
      <c r="J3302" s="3">
        <v>56942.655395028189</v>
      </c>
      <c r="K3302" s="3">
        <v>45510.371613656222</v>
      </c>
    </row>
    <row r="3303" spans="1:11" x14ac:dyDescent="0.3">
      <c r="A3303" t="s">
        <v>3379</v>
      </c>
      <c r="B3303" s="2">
        <v>46327</v>
      </c>
      <c r="C3303">
        <v>2026</v>
      </c>
      <c r="D3303">
        <v>11</v>
      </c>
      <c r="E3303" t="s">
        <v>58</v>
      </c>
      <c r="F3303" t="s">
        <v>48</v>
      </c>
      <c r="G3303" t="s">
        <v>43</v>
      </c>
      <c r="H3303" s="3">
        <v>148285.8628806526</v>
      </c>
      <c r="I3303">
        <v>42</v>
      </c>
      <c r="J3303" s="3">
        <v>88111.646508290869</v>
      </c>
      <c r="K3303" s="3">
        <v>60174.216372361727</v>
      </c>
    </row>
    <row r="3304" spans="1:11" x14ac:dyDescent="0.3">
      <c r="A3304" t="s">
        <v>3380</v>
      </c>
      <c r="B3304" s="2">
        <v>46327</v>
      </c>
      <c r="C3304">
        <v>2026</v>
      </c>
      <c r="D3304">
        <v>11</v>
      </c>
      <c r="E3304" t="s">
        <v>62</v>
      </c>
      <c r="F3304" t="s">
        <v>67</v>
      </c>
      <c r="G3304" t="s">
        <v>43</v>
      </c>
      <c r="H3304" s="3">
        <v>77454.433525132918</v>
      </c>
      <c r="I3304">
        <v>22</v>
      </c>
      <c r="J3304" s="3">
        <v>45726.306611827953</v>
      </c>
      <c r="K3304" s="3">
        <v>31728.126913304968</v>
      </c>
    </row>
    <row r="3305" spans="1:11" x14ac:dyDescent="0.3">
      <c r="A3305" t="s">
        <v>3381</v>
      </c>
      <c r="B3305" s="2">
        <v>46327</v>
      </c>
      <c r="C3305">
        <v>2026</v>
      </c>
      <c r="D3305">
        <v>11</v>
      </c>
      <c r="E3305" t="s">
        <v>62</v>
      </c>
      <c r="F3305" t="s">
        <v>48</v>
      </c>
      <c r="G3305" t="s">
        <v>43</v>
      </c>
      <c r="H3305" s="3">
        <v>103906.6193002631</v>
      </c>
      <c r="I3305">
        <v>30</v>
      </c>
      <c r="J3305" s="3">
        <v>59450.084506665407</v>
      </c>
      <c r="K3305" s="3">
        <v>44456.534793597682</v>
      </c>
    </row>
    <row r="3306" spans="1:11" x14ac:dyDescent="0.3">
      <c r="A3306" t="s">
        <v>3382</v>
      </c>
      <c r="B3306" s="2">
        <v>46357</v>
      </c>
      <c r="C3306">
        <v>2026</v>
      </c>
      <c r="D3306">
        <v>12</v>
      </c>
      <c r="E3306" t="s">
        <v>50</v>
      </c>
      <c r="F3306" t="s">
        <v>67</v>
      </c>
      <c r="G3306" t="s">
        <v>19</v>
      </c>
      <c r="H3306" s="3">
        <v>156623.5584138291</v>
      </c>
      <c r="I3306">
        <v>30</v>
      </c>
      <c r="J3306" s="3">
        <v>97647.983511347207</v>
      </c>
      <c r="K3306" s="3">
        <v>58975.574902481872</v>
      </c>
    </row>
    <row r="3307" spans="1:11" x14ac:dyDescent="0.3">
      <c r="A3307" t="s">
        <v>3383</v>
      </c>
      <c r="B3307" s="2">
        <v>46357</v>
      </c>
      <c r="C3307">
        <v>2026</v>
      </c>
      <c r="D3307">
        <v>12</v>
      </c>
      <c r="E3307" t="s">
        <v>50</v>
      </c>
      <c r="F3307" t="s">
        <v>48</v>
      </c>
      <c r="G3307" t="s">
        <v>19</v>
      </c>
      <c r="H3307" s="3">
        <v>217439.51496947289</v>
      </c>
      <c r="I3307">
        <v>42</v>
      </c>
      <c r="J3307" s="3">
        <v>135966.97095209491</v>
      </c>
      <c r="K3307" s="3">
        <v>81472.544017378037</v>
      </c>
    </row>
    <row r="3308" spans="1:11" x14ac:dyDescent="0.3">
      <c r="A3308" t="s">
        <v>3384</v>
      </c>
      <c r="B3308" s="2">
        <v>46357</v>
      </c>
      <c r="C3308">
        <v>2026</v>
      </c>
      <c r="D3308">
        <v>12</v>
      </c>
      <c r="E3308" t="s">
        <v>54</v>
      </c>
      <c r="F3308" t="s">
        <v>67</v>
      </c>
      <c r="G3308" t="s">
        <v>19</v>
      </c>
      <c r="H3308" s="3">
        <v>134170.1512912871</v>
      </c>
      <c r="I3308">
        <v>26</v>
      </c>
      <c r="J3308" s="3">
        <v>84068.383551842053</v>
      </c>
      <c r="K3308" s="3">
        <v>50101.767739445007</v>
      </c>
    </row>
    <row r="3309" spans="1:11" x14ac:dyDescent="0.3">
      <c r="A3309" t="s">
        <v>3385</v>
      </c>
      <c r="B3309" s="2">
        <v>46357</v>
      </c>
      <c r="C3309">
        <v>2026</v>
      </c>
      <c r="D3309">
        <v>12</v>
      </c>
      <c r="E3309" t="s">
        <v>54</v>
      </c>
      <c r="F3309" t="s">
        <v>48</v>
      </c>
      <c r="G3309" t="s">
        <v>19</v>
      </c>
      <c r="H3309" s="3">
        <v>189053.87796302329</v>
      </c>
      <c r="I3309">
        <v>36</v>
      </c>
      <c r="J3309" s="3">
        <v>111618.4680273249</v>
      </c>
      <c r="K3309" s="3">
        <v>77435.409935698466</v>
      </c>
    </row>
    <row r="3310" spans="1:11" x14ac:dyDescent="0.3">
      <c r="A3310" t="s">
        <v>3386</v>
      </c>
      <c r="B3310" s="2">
        <v>46357</v>
      </c>
      <c r="C3310">
        <v>2026</v>
      </c>
      <c r="D3310">
        <v>12</v>
      </c>
      <c r="E3310" t="s">
        <v>58</v>
      </c>
      <c r="F3310" t="s">
        <v>67</v>
      </c>
      <c r="G3310" t="s">
        <v>19</v>
      </c>
      <c r="H3310" s="3">
        <v>86887.73714358914</v>
      </c>
      <c r="I3310">
        <v>17</v>
      </c>
      <c r="J3310" s="3">
        <v>55195.339951056667</v>
      </c>
      <c r="K3310" s="3">
        <v>31692.397192532469</v>
      </c>
    </row>
    <row r="3311" spans="1:11" x14ac:dyDescent="0.3">
      <c r="A3311" t="s">
        <v>3387</v>
      </c>
      <c r="B3311" s="2">
        <v>46357</v>
      </c>
      <c r="C3311">
        <v>2026</v>
      </c>
      <c r="D3311">
        <v>12</v>
      </c>
      <c r="E3311" t="s">
        <v>58</v>
      </c>
      <c r="F3311" t="s">
        <v>48</v>
      </c>
      <c r="G3311" t="s">
        <v>19</v>
      </c>
      <c r="H3311" s="3">
        <v>129027.21292478</v>
      </c>
      <c r="I3311">
        <v>25</v>
      </c>
      <c r="J3311" s="3">
        <v>78934.572695967407</v>
      </c>
      <c r="K3311" s="3">
        <v>50092.640228812641</v>
      </c>
    </row>
    <row r="3312" spans="1:11" x14ac:dyDescent="0.3">
      <c r="A3312" t="s">
        <v>3388</v>
      </c>
      <c r="B3312" s="2">
        <v>46357</v>
      </c>
      <c r="C3312">
        <v>2026</v>
      </c>
      <c r="D3312">
        <v>12</v>
      </c>
      <c r="E3312" t="s">
        <v>62</v>
      </c>
      <c r="F3312" t="s">
        <v>67</v>
      </c>
      <c r="G3312" t="s">
        <v>19</v>
      </c>
      <c r="H3312" s="3">
        <v>70325.77756558999</v>
      </c>
      <c r="I3312">
        <v>14</v>
      </c>
      <c r="J3312" s="3">
        <v>44140.824953429088</v>
      </c>
      <c r="K3312" s="3">
        <v>26184.952612160901</v>
      </c>
    </row>
    <row r="3313" spans="1:11" x14ac:dyDescent="0.3">
      <c r="A3313" t="s">
        <v>3389</v>
      </c>
      <c r="B3313" s="2">
        <v>46357</v>
      </c>
      <c r="C3313">
        <v>2026</v>
      </c>
      <c r="D3313">
        <v>12</v>
      </c>
      <c r="E3313" t="s">
        <v>62</v>
      </c>
      <c r="F3313" t="s">
        <v>48</v>
      </c>
      <c r="G3313" t="s">
        <v>19</v>
      </c>
      <c r="H3313" s="3">
        <v>100474.9306808962</v>
      </c>
      <c r="I3313">
        <v>19</v>
      </c>
      <c r="J3313" s="3">
        <v>63125.423220212891</v>
      </c>
      <c r="K3313" s="3">
        <v>37349.507460683279</v>
      </c>
    </row>
    <row r="3314" spans="1:11" x14ac:dyDescent="0.3">
      <c r="A3314" t="s">
        <v>3390</v>
      </c>
      <c r="B3314" s="2">
        <v>46357</v>
      </c>
      <c r="C3314">
        <v>2026</v>
      </c>
      <c r="D3314">
        <v>12</v>
      </c>
      <c r="E3314" t="s">
        <v>50</v>
      </c>
      <c r="F3314" t="s">
        <v>67</v>
      </c>
      <c r="G3314" t="s">
        <v>24</v>
      </c>
      <c r="H3314" s="3">
        <v>181354.34201199241</v>
      </c>
      <c r="I3314">
        <v>30</v>
      </c>
      <c r="J3314" s="3">
        <v>117805.0309894119</v>
      </c>
      <c r="K3314" s="3">
        <v>63549.311022580478</v>
      </c>
    </row>
    <row r="3315" spans="1:11" x14ac:dyDescent="0.3">
      <c r="A3315" t="s">
        <v>3391</v>
      </c>
      <c r="B3315" s="2">
        <v>46357</v>
      </c>
      <c r="C3315">
        <v>2026</v>
      </c>
      <c r="D3315">
        <v>12</v>
      </c>
      <c r="E3315" t="s">
        <v>50</v>
      </c>
      <c r="F3315" t="s">
        <v>48</v>
      </c>
      <c r="G3315" t="s">
        <v>24</v>
      </c>
      <c r="H3315" s="3">
        <v>247667.42972965431</v>
      </c>
      <c r="I3315">
        <v>41</v>
      </c>
      <c r="J3315" s="3">
        <v>165403.76771737059</v>
      </c>
      <c r="K3315" s="3">
        <v>82263.662012283719</v>
      </c>
    </row>
    <row r="3316" spans="1:11" x14ac:dyDescent="0.3">
      <c r="A3316" t="s">
        <v>3392</v>
      </c>
      <c r="B3316" s="2">
        <v>46357</v>
      </c>
      <c r="C3316">
        <v>2026</v>
      </c>
      <c r="D3316">
        <v>12</v>
      </c>
      <c r="E3316" t="s">
        <v>54</v>
      </c>
      <c r="F3316" t="s">
        <v>67</v>
      </c>
      <c r="G3316" t="s">
        <v>24</v>
      </c>
      <c r="H3316" s="3">
        <v>159905.20817975729</v>
      </c>
      <c r="I3316">
        <v>26</v>
      </c>
      <c r="J3316" s="3">
        <v>104805.12596059281</v>
      </c>
      <c r="K3316" s="3">
        <v>55100.082219164447</v>
      </c>
    </row>
    <row r="3317" spans="1:11" x14ac:dyDescent="0.3">
      <c r="A3317" t="s">
        <v>3393</v>
      </c>
      <c r="B3317" s="2">
        <v>46357</v>
      </c>
      <c r="C3317">
        <v>2026</v>
      </c>
      <c r="D3317">
        <v>12</v>
      </c>
      <c r="E3317" t="s">
        <v>54</v>
      </c>
      <c r="F3317" t="s">
        <v>48</v>
      </c>
      <c r="G3317" t="s">
        <v>24</v>
      </c>
      <c r="H3317" s="3">
        <v>213014.59108333039</v>
      </c>
      <c r="I3317">
        <v>35</v>
      </c>
      <c r="J3317" s="3">
        <v>135347.7753885056</v>
      </c>
      <c r="K3317" s="3">
        <v>77666.815694824763</v>
      </c>
    </row>
    <row r="3318" spans="1:11" x14ac:dyDescent="0.3">
      <c r="A3318" t="s">
        <v>3394</v>
      </c>
      <c r="B3318" s="2">
        <v>46357</v>
      </c>
      <c r="C3318">
        <v>2026</v>
      </c>
      <c r="D3318">
        <v>12</v>
      </c>
      <c r="E3318" t="s">
        <v>58</v>
      </c>
      <c r="F3318" t="s">
        <v>67</v>
      </c>
      <c r="G3318" t="s">
        <v>24</v>
      </c>
      <c r="H3318" s="3">
        <v>102749.9489371964</v>
      </c>
      <c r="I3318">
        <v>17</v>
      </c>
      <c r="J3318" s="3">
        <v>69240.393126400886</v>
      </c>
      <c r="K3318" s="3">
        <v>33509.555810795529</v>
      </c>
    </row>
    <row r="3319" spans="1:11" x14ac:dyDescent="0.3">
      <c r="A3319" t="s">
        <v>3395</v>
      </c>
      <c r="B3319" s="2">
        <v>46357</v>
      </c>
      <c r="C3319">
        <v>2026</v>
      </c>
      <c r="D3319">
        <v>12</v>
      </c>
      <c r="E3319" t="s">
        <v>58</v>
      </c>
      <c r="F3319" t="s">
        <v>48</v>
      </c>
      <c r="G3319" t="s">
        <v>24</v>
      </c>
      <c r="H3319" s="3">
        <v>139666.03160635609</v>
      </c>
      <c r="I3319">
        <v>23</v>
      </c>
      <c r="J3319" s="3">
        <v>90893.601103099427</v>
      </c>
      <c r="K3319" s="3">
        <v>48772.430503256634</v>
      </c>
    </row>
    <row r="3320" spans="1:11" x14ac:dyDescent="0.3">
      <c r="A3320" t="s">
        <v>3396</v>
      </c>
      <c r="B3320" s="2">
        <v>46357</v>
      </c>
      <c r="C3320">
        <v>2026</v>
      </c>
      <c r="D3320">
        <v>12</v>
      </c>
      <c r="E3320" t="s">
        <v>62</v>
      </c>
      <c r="F3320" t="s">
        <v>67</v>
      </c>
      <c r="G3320" t="s">
        <v>24</v>
      </c>
      <c r="H3320" s="3">
        <v>76848.400048585885</v>
      </c>
      <c r="I3320">
        <v>13</v>
      </c>
      <c r="J3320" s="3">
        <v>49939.826541161543</v>
      </c>
      <c r="K3320" s="3">
        <v>26908.573507424349</v>
      </c>
    </row>
    <row r="3321" spans="1:11" x14ac:dyDescent="0.3">
      <c r="A3321" t="s">
        <v>3397</v>
      </c>
      <c r="B3321" s="2">
        <v>46357</v>
      </c>
      <c r="C3321">
        <v>2026</v>
      </c>
      <c r="D3321">
        <v>12</v>
      </c>
      <c r="E3321" t="s">
        <v>62</v>
      </c>
      <c r="F3321" t="s">
        <v>48</v>
      </c>
      <c r="G3321" t="s">
        <v>24</v>
      </c>
      <c r="H3321" s="3">
        <v>106072.5006451189</v>
      </c>
      <c r="I3321">
        <v>17</v>
      </c>
      <c r="J3321" s="3">
        <v>69499.930475755929</v>
      </c>
      <c r="K3321" s="3">
        <v>36572.570169362953</v>
      </c>
    </row>
    <row r="3322" spans="1:11" x14ac:dyDescent="0.3">
      <c r="A3322" t="s">
        <v>3398</v>
      </c>
      <c r="B3322" s="2">
        <v>46357</v>
      </c>
      <c r="C3322">
        <v>2026</v>
      </c>
      <c r="D3322">
        <v>12</v>
      </c>
      <c r="E3322" t="s">
        <v>50</v>
      </c>
      <c r="F3322" t="s">
        <v>67</v>
      </c>
      <c r="G3322" t="s">
        <v>29</v>
      </c>
      <c r="H3322" s="3">
        <v>125426.2295920747</v>
      </c>
      <c r="I3322">
        <v>29</v>
      </c>
      <c r="J3322" s="3">
        <v>80666.144550612604</v>
      </c>
      <c r="K3322" s="3">
        <v>44760.085041462051</v>
      </c>
    </row>
    <row r="3323" spans="1:11" x14ac:dyDescent="0.3">
      <c r="A3323" t="s">
        <v>3399</v>
      </c>
      <c r="B3323" s="2">
        <v>46357</v>
      </c>
      <c r="C3323">
        <v>2026</v>
      </c>
      <c r="D3323">
        <v>12</v>
      </c>
      <c r="E3323" t="s">
        <v>50</v>
      </c>
      <c r="F3323" t="s">
        <v>48</v>
      </c>
      <c r="G3323" t="s">
        <v>29</v>
      </c>
      <c r="H3323" s="3">
        <v>170962.57554990501</v>
      </c>
      <c r="I3323">
        <v>40</v>
      </c>
      <c r="J3323" s="3">
        <v>109303.2549152256</v>
      </c>
      <c r="K3323" s="3">
        <v>61659.320634679447</v>
      </c>
    </row>
    <row r="3324" spans="1:11" x14ac:dyDescent="0.3">
      <c r="A3324" t="s">
        <v>3400</v>
      </c>
      <c r="B3324" s="2">
        <v>46357</v>
      </c>
      <c r="C3324">
        <v>2026</v>
      </c>
      <c r="D3324">
        <v>12</v>
      </c>
      <c r="E3324" t="s">
        <v>54</v>
      </c>
      <c r="F3324" t="s">
        <v>67</v>
      </c>
      <c r="G3324" t="s">
        <v>29</v>
      </c>
      <c r="H3324" s="3">
        <v>93819.669658793238</v>
      </c>
      <c r="I3324">
        <v>22</v>
      </c>
      <c r="J3324" s="3">
        <v>60636.940735794</v>
      </c>
      <c r="K3324" s="3">
        <v>33182.728922999238</v>
      </c>
    </row>
    <row r="3325" spans="1:11" x14ac:dyDescent="0.3">
      <c r="A3325" t="s">
        <v>3401</v>
      </c>
      <c r="B3325" s="2">
        <v>46357</v>
      </c>
      <c r="C3325">
        <v>2026</v>
      </c>
      <c r="D3325">
        <v>12</v>
      </c>
      <c r="E3325" t="s">
        <v>54</v>
      </c>
      <c r="F3325" t="s">
        <v>48</v>
      </c>
      <c r="G3325" t="s">
        <v>29</v>
      </c>
      <c r="H3325" s="3">
        <v>137970.15235607201</v>
      </c>
      <c r="I3325">
        <v>32</v>
      </c>
      <c r="J3325" s="3">
        <v>86171.891469084541</v>
      </c>
      <c r="K3325" s="3">
        <v>51798.260886987409</v>
      </c>
    </row>
    <row r="3326" spans="1:11" x14ac:dyDescent="0.3">
      <c r="A3326" t="s">
        <v>3402</v>
      </c>
      <c r="B3326" s="2">
        <v>46357</v>
      </c>
      <c r="C3326">
        <v>2026</v>
      </c>
      <c r="D3326">
        <v>12</v>
      </c>
      <c r="E3326" t="s">
        <v>58</v>
      </c>
      <c r="F3326" t="s">
        <v>67</v>
      </c>
      <c r="G3326" t="s">
        <v>29</v>
      </c>
      <c r="H3326" s="3">
        <v>62394.855362676368</v>
      </c>
      <c r="I3326">
        <v>15</v>
      </c>
      <c r="J3326" s="3">
        <v>39399.088472936899</v>
      </c>
      <c r="K3326" s="3">
        <v>22995.766889739469</v>
      </c>
    </row>
    <row r="3327" spans="1:11" x14ac:dyDescent="0.3">
      <c r="A3327" t="s">
        <v>3403</v>
      </c>
      <c r="B3327" s="2">
        <v>46357</v>
      </c>
      <c r="C3327">
        <v>2026</v>
      </c>
      <c r="D3327">
        <v>12</v>
      </c>
      <c r="E3327" t="s">
        <v>58</v>
      </c>
      <c r="F3327" t="s">
        <v>48</v>
      </c>
      <c r="G3327" t="s">
        <v>29</v>
      </c>
      <c r="H3327" s="3">
        <v>95169.528750679005</v>
      </c>
      <c r="I3327">
        <v>22</v>
      </c>
      <c r="J3327" s="3">
        <v>60781.324665543427</v>
      </c>
      <c r="K3327" s="3">
        <v>34388.20408513557</v>
      </c>
    </row>
    <row r="3328" spans="1:11" x14ac:dyDescent="0.3">
      <c r="A3328" t="s">
        <v>3404</v>
      </c>
      <c r="B3328" s="2">
        <v>46357</v>
      </c>
      <c r="C3328">
        <v>2026</v>
      </c>
      <c r="D3328">
        <v>12</v>
      </c>
      <c r="E3328" t="s">
        <v>62</v>
      </c>
      <c r="F3328" t="s">
        <v>67</v>
      </c>
      <c r="G3328" t="s">
        <v>29</v>
      </c>
      <c r="H3328" s="3">
        <v>50229.925527131709</v>
      </c>
      <c r="I3328">
        <v>12</v>
      </c>
      <c r="J3328" s="3">
        <v>33245.362431856753</v>
      </c>
      <c r="K3328" s="3">
        <v>16984.56309527496</v>
      </c>
    </row>
    <row r="3329" spans="1:11" x14ac:dyDescent="0.3">
      <c r="A3329" t="s">
        <v>3405</v>
      </c>
      <c r="B3329" s="2">
        <v>46357</v>
      </c>
      <c r="C3329">
        <v>2026</v>
      </c>
      <c r="D3329">
        <v>12</v>
      </c>
      <c r="E3329" t="s">
        <v>62</v>
      </c>
      <c r="F3329" t="s">
        <v>48</v>
      </c>
      <c r="G3329" t="s">
        <v>29</v>
      </c>
      <c r="H3329" s="3">
        <v>68687.887659098255</v>
      </c>
      <c r="I3329">
        <v>16</v>
      </c>
      <c r="J3329" s="3">
        <v>43870.190008159079</v>
      </c>
      <c r="K3329" s="3">
        <v>24817.697650939179</v>
      </c>
    </row>
    <row r="3330" spans="1:11" x14ac:dyDescent="0.3">
      <c r="A3330" t="s">
        <v>3406</v>
      </c>
      <c r="B3330" s="2">
        <v>46357</v>
      </c>
      <c r="C3330">
        <v>2026</v>
      </c>
      <c r="D3330">
        <v>12</v>
      </c>
      <c r="E3330" t="s">
        <v>50</v>
      </c>
      <c r="F3330" t="s">
        <v>67</v>
      </c>
      <c r="G3330" t="s">
        <v>34</v>
      </c>
      <c r="H3330" s="3">
        <v>116111.8651367689</v>
      </c>
      <c r="I3330">
        <v>137</v>
      </c>
      <c r="J3330" s="3">
        <v>56822.39731054056</v>
      </c>
      <c r="K3330" s="3">
        <v>59289.467826228392</v>
      </c>
    </row>
    <row r="3331" spans="1:11" x14ac:dyDescent="0.3">
      <c r="A3331" t="s">
        <v>3407</v>
      </c>
      <c r="B3331" s="2">
        <v>46357</v>
      </c>
      <c r="C3331">
        <v>2026</v>
      </c>
      <c r="D3331">
        <v>12</v>
      </c>
      <c r="E3331" t="s">
        <v>50</v>
      </c>
      <c r="F3331" t="s">
        <v>48</v>
      </c>
      <c r="G3331" t="s">
        <v>34</v>
      </c>
      <c r="H3331" s="3">
        <v>160002.63628068761</v>
      </c>
      <c r="I3331">
        <v>188</v>
      </c>
      <c r="J3331" s="3">
        <v>76854.564958246527</v>
      </c>
      <c r="K3331" s="3">
        <v>83148.071322441116</v>
      </c>
    </row>
    <row r="3332" spans="1:11" x14ac:dyDescent="0.3">
      <c r="A3332" t="s">
        <v>3408</v>
      </c>
      <c r="B3332" s="2">
        <v>46357</v>
      </c>
      <c r="C3332">
        <v>2026</v>
      </c>
      <c r="D3332">
        <v>12</v>
      </c>
      <c r="E3332" t="s">
        <v>54</v>
      </c>
      <c r="F3332" t="s">
        <v>67</v>
      </c>
      <c r="G3332" t="s">
        <v>34</v>
      </c>
      <c r="H3332" s="3">
        <v>87445.141327804784</v>
      </c>
      <c r="I3332">
        <v>103</v>
      </c>
      <c r="J3332" s="3">
        <v>41608.251151445867</v>
      </c>
      <c r="K3332" s="3">
        <v>45836.890176358917</v>
      </c>
    </row>
    <row r="3333" spans="1:11" x14ac:dyDescent="0.3">
      <c r="A3333" t="s">
        <v>3409</v>
      </c>
      <c r="B3333" s="2">
        <v>46357</v>
      </c>
      <c r="C3333">
        <v>2026</v>
      </c>
      <c r="D3333">
        <v>12</v>
      </c>
      <c r="E3333" t="s">
        <v>54</v>
      </c>
      <c r="F3333" t="s">
        <v>48</v>
      </c>
      <c r="G3333" t="s">
        <v>34</v>
      </c>
      <c r="H3333" s="3">
        <v>115998.6226142004</v>
      </c>
      <c r="I3333">
        <v>136</v>
      </c>
      <c r="J3333" s="3">
        <v>55432.064704163691</v>
      </c>
      <c r="K3333" s="3">
        <v>60566.557910036703</v>
      </c>
    </row>
    <row r="3334" spans="1:11" x14ac:dyDescent="0.3">
      <c r="A3334" t="s">
        <v>3410</v>
      </c>
      <c r="B3334" s="2">
        <v>46357</v>
      </c>
      <c r="C3334">
        <v>2026</v>
      </c>
      <c r="D3334">
        <v>12</v>
      </c>
      <c r="E3334" t="s">
        <v>58</v>
      </c>
      <c r="F3334" t="s">
        <v>67</v>
      </c>
      <c r="G3334" t="s">
        <v>34</v>
      </c>
      <c r="H3334" s="3">
        <v>62774.815359669527</v>
      </c>
      <c r="I3334">
        <v>74</v>
      </c>
      <c r="J3334" s="3">
        <v>30040.56483158869</v>
      </c>
      <c r="K3334" s="3">
        <v>32734.25052808084</v>
      </c>
    </row>
    <row r="3335" spans="1:11" x14ac:dyDescent="0.3">
      <c r="A3335" t="s">
        <v>3411</v>
      </c>
      <c r="B3335" s="2">
        <v>46357</v>
      </c>
      <c r="C3335">
        <v>2026</v>
      </c>
      <c r="D3335">
        <v>12</v>
      </c>
      <c r="E3335" t="s">
        <v>58</v>
      </c>
      <c r="F3335" t="s">
        <v>48</v>
      </c>
      <c r="G3335" t="s">
        <v>34</v>
      </c>
      <c r="H3335" s="3">
        <v>92189.504056159523</v>
      </c>
      <c r="I3335">
        <v>108</v>
      </c>
      <c r="J3335" s="3">
        <v>44731.776230192067</v>
      </c>
      <c r="K3335" s="3">
        <v>47457.727825967457</v>
      </c>
    </row>
    <row r="3336" spans="1:11" x14ac:dyDescent="0.3">
      <c r="A3336" t="s">
        <v>3412</v>
      </c>
      <c r="B3336" s="2">
        <v>46357</v>
      </c>
      <c r="C3336">
        <v>2026</v>
      </c>
      <c r="D3336">
        <v>12</v>
      </c>
      <c r="E3336" t="s">
        <v>62</v>
      </c>
      <c r="F3336" t="s">
        <v>67</v>
      </c>
      <c r="G3336" t="s">
        <v>34</v>
      </c>
      <c r="H3336" s="3">
        <v>46691.506117170829</v>
      </c>
      <c r="I3336">
        <v>55</v>
      </c>
      <c r="J3336" s="3">
        <v>22966.461208573881</v>
      </c>
      <c r="K3336" s="3">
        <v>23725.044908596949</v>
      </c>
    </row>
    <row r="3337" spans="1:11" x14ac:dyDescent="0.3">
      <c r="A3337" t="s">
        <v>3413</v>
      </c>
      <c r="B3337" s="2">
        <v>46357</v>
      </c>
      <c r="C3337">
        <v>2026</v>
      </c>
      <c r="D3337">
        <v>12</v>
      </c>
      <c r="E3337" t="s">
        <v>62</v>
      </c>
      <c r="F3337" t="s">
        <v>48</v>
      </c>
      <c r="G3337" t="s">
        <v>34</v>
      </c>
      <c r="H3337" s="3">
        <v>67986.662591631262</v>
      </c>
      <c r="I3337">
        <v>80</v>
      </c>
      <c r="J3337" s="3">
        <v>32844.876287718267</v>
      </c>
      <c r="K3337" s="3">
        <v>35141.786303913002</v>
      </c>
    </row>
    <row r="3338" spans="1:11" x14ac:dyDescent="0.3">
      <c r="A3338" t="s">
        <v>3414</v>
      </c>
      <c r="B3338" s="2">
        <v>46357</v>
      </c>
      <c r="C3338">
        <v>2026</v>
      </c>
      <c r="D3338">
        <v>12</v>
      </c>
      <c r="E3338" t="s">
        <v>50</v>
      </c>
      <c r="F3338" t="s">
        <v>67</v>
      </c>
      <c r="G3338" t="s">
        <v>37</v>
      </c>
      <c r="H3338" s="3">
        <v>87072.341427521998</v>
      </c>
      <c r="I3338">
        <v>121</v>
      </c>
      <c r="J3338" s="3">
        <v>48913.06795128659</v>
      </c>
      <c r="K3338" s="3">
        <v>38159.273476235408</v>
      </c>
    </row>
    <row r="3339" spans="1:11" x14ac:dyDescent="0.3">
      <c r="A3339" t="s">
        <v>3415</v>
      </c>
      <c r="B3339" s="2">
        <v>46357</v>
      </c>
      <c r="C3339">
        <v>2026</v>
      </c>
      <c r="D3339">
        <v>12</v>
      </c>
      <c r="E3339" t="s">
        <v>50</v>
      </c>
      <c r="F3339" t="s">
        <v>48</v>
      </c>
      <c r="G3339" t="s">
        <v>37</v>
      </c>
      <c r="H3339" s="3">
        <v>134427.4998764928</v>
      </c>
      <c r="I3339">
        <v>187</v>
      </c>
      <c r="J3339" s="3">
        <v>72651.151635944072</v>
      </c>
      <c r="K3339" s="3">
        <v>61776.348240548701</v>
      </c>
    </row>
    <row r="3340" spans="1:11" x14ac:dyDescent="0.3">
      <c r="A3340" t="s">
        <v>3416</v>
      </c>
      <c r="B3340" s="2">
        <v>46357</v>
      </c>
      <c r="C3340">
        <v>2026</v>
      </c>
      <c r="D3340">
        <v>12</v>
      </c>
      <c r="E3340" t="s">
        <v>54</v>
      </c>
      <c r="F3340" t="s">
        <v>67</v>
      </c>
      <c r="G3340" t="s">
        <v>37</v>
      </c>
      <c r="H3340" s="3">
        <v>77018.606557501233</v>
      </c>
      <c r="I3340">
        <v>107</v>
      </c>
      <c r="J3340" s="3">
        <v>42044.084392777353</v>
      </c>
      <c r="K3340" s="3">
        <v>34974.522164723887</v>
      </c>
    </row>
    <row r="3341" spans="1:11" x14ac:dyDescent="0.3">
      <c r="A3341" t="s">
        <v>3417</v>
      </c>
      <c r="B3341" s="2">
        <v>46357</v>
      </c>
      <c r="C3341">
        <v>2026</v>
      </c>
      <c r="D3341">
        <v>12</v>
      </c>
      <c r="E3341" t="s">
        <v>54</v>
      </c>
      <c r="F3341" t="s">
        <v>48</v>
      </c>
      <c r="G3341" t="s">
        <v>37</v>
      </c>
      <c r="H3341" s="3">
        <v>107172.9505056497</v>
      </c>
      <c r="I3341">
        <v>149</v>
      </c>
      <c r="J3341" s="3">
        <v>58176.628945574783</v>
      </c>
      <c r="K3341" s="3">
        <v>48996.321560074961</v>
      </c>
    </row>
    <row r="3342" spans="1:11" x14ac:dyDescent="0.3">
      <c r="A3342" t="s">
        <v>3418</v>
      </c>
      <c r="B3342" s="2">
        <v>46357</v>
      </c>
      <c r="C3342">
        <v>2026</v>
      </c>
      <c r="D3342">
        <v>12</v>
      </c>
      <c r="E3342" t="s">
        <v>58</v>
      </c>
      <c r="F3342" t="s">
        <v>67</v>
      </c>
      <c r="G3342" t="s">
        <v>37</v>
      </c>
      <c r="H3342" s="3">
        <v>51069.009543422988</v>
      </c>
      <c r="I3342">
        <v>71</v>
      </c>
      <c r="J3342" s="3">
        <v>28246.93314962407</v>
      </c>
      <c r="K3342" s="3">
        <v>22822.07639379891</v>
      </c>
    </row>
    <row r="3343" spans="1:11" x14ac:dyDescent="0.3">
      <c r="A3343" t="s">
        <v>3419</v>
      </c>
      <c r="B3343" s="2">
        <v>46357</v>
      </c>
      <c r="C3343">
        <v>2026</v>
      </c>
      <c r="D3343">
        <v>12</v>
      </c>
      <c r="E3343" t="s">
        <v>58</v>
      </c>
      <c r="F3343" t="s">
        <v>48</v>
      </c>
      <c r="G3343" t="s">
        <v>37</v>
      </c>
      <c r="H3343" s="3">
        <v>75892.674374819573</v>
      </c>
      <c r="I3343">
        <v>105</v>
      </c>
      <c r="J3343" s="3">
        <v>41471.2720189295</v>
      </c>
      <c r="K3343" s="3">
        <v>34421.402355890074</v>
      </c>
    </row>
    <row r="3344" spans="1:11" x14ac:dyDescent="0.3">
      <c r="A3344" t="s">
        <v>3420</v>
      </c>
      <c r="B3344" s="2">
        <v>46357</v>
      </c>
      <c r="C3344">
        <v>2026</v>
      </c>
      <c r="D3344">
        <v>12</v>
      </c>
      <c r="E3344" t="s">
        <v>62</v>
      </c>
      <c r="F3344" t="s">
        <v>67</v>
      </c>
      <c r="G3344" t="s">
        <v>37</v>
      </c>
      <c r="H3344" s="3">
        <v>40374.388514469749</v>
      </c>
      <c r="I3344">
        <v>56</v>
      </c>
      <c r="J3344" s="3">
        <v>22497.60863022129</v>
      </c>
      <c r="K3344" s="3">
        <v>17876.779884248459</v>
      </c>
    </row>
    <row r="3345" spans="1:11" x14ac:dyDescent="0.3">
      <c r="A3345" t="s">
        <v>3421</v>
      </c>
      <c r="B3345" s="2">
        <v>46357</v>
      </c>
      <c r="C3345">
        <v>2026</v>
      </c>
      <c r="D3345">
        <v>12</v>
      </c>
      <c r="E3345" t="s">
        <v>62</v>
      </c>
      <c r="F3345" t="s">
        <v>48</v>
      </c>
      <c r="G3345" t="s">
        <v>37</v>
      </c>
      <c r="H3345" s="3">
        <v>54839.373431923639</v>
      </c>
      <c r="I3345">
        <v>76</v>
      </c>
      <c r="J3345" s="3">
        <v>29656.205437311281</v>
      </c>
      <c r="K3345" s="3">
        <v>25183.167994612351</v>
      </c>
    </row>
    <row r="3346" spans="1:11" x14ac:dyDescent="0.3">
      <c r="A3346" t="s">
        <v>3422</v>
      </c>
      <c r="B3346" s="2">
        <v>46357</v>
      </c>
      <c r="C3346">
        <v>2026</v>
      </c>
      <c r="D3346">
        <v>12</v>
      </c>
      <c r="E3346" t="s">
        <v>50</v>
      </c>
      <c r="F3346" t="s">
        <v>67</v>
      </c>
      <c r="G3346" t="s">
        <v>40</v>
      </c>
      <c r="H3346" s="3">
        <v>85747.69820635856</v>
      </c>
      <c r="I3346">
        <v>16</v>
      </c>
      <c r="J3346" s="3">
        <v>59211.739164257793</v>
      </c>
      <c r="K3346" s="3">
        <v>26535.959042100771</v>
      </c>
    </row>
    <row r="3347" spans="1:11" x14ac:dyDescent="0.3">
      <c r="A3347" t="s">
        <v>3423</v>
      </c>
      <c r="B3347" s="2">
        <v>46357</v>
      </c>
      <c r="C3347">
        <v>2026</v>
      </c>
      <c r="D3347">
        <v>12</v>
      </c>
      <c r="E3347" t="s">
        <v>50</v>
      </c>
      <c r="F3347" t="s">
        <v>48</v>
      </c>
      <c r="G3347" t="s">
        <v>40</v>
      </c>
      <c r="H3347" s="3">
        <v>123419.4188775834</v>
      </c>
      <c r="I3347">
        <v>23</v>
      </c>
      <c r="J3347" s="3">
        <v>86212.262350051838</v>
      </c>
      <c r="K3347" s="3">
        <v>37207.15652753161</v>
      </c>
    </row>
    <row r="3348" spans="1:11" x14ac:dyDescent="0.3">
      <c r="A3348" t="s">
        <v>3424</v>
      </c>
      <c r="B3348" s="2">
        <v>46357</v>
      </c>
      <c r="C3348">
        <v>2026</v>
      </c>
      <c r="D3348">
        <v>12</v>
      </c>
      <c r="E3348" t="s">
        <v>54</v>
      </c>
      <c r="F3348" t="s">
        <v>67</v>
      </c>
      <c r="G3348" t="s">
        <v>40</v>
      </c>
      <c r="H3348" s="3">
        <v>70127.863136413012</v>
      </c>
      <c r="I3348">
        <v>13</v>
      </c>
      <c r="J3348" s="3">
        <v>46589.371506461161</v>
      </c>
      <c r="K3348" s="3">
        <v>23538.491629951852</v>
      </c>
    </row>
    <row r="3349" spans="1:11" x14ac:dyDescent="0.3">
      <c r="A3349" t="s">
        <v>3425</v>
      </c>
      <c r="B3349" s="2">
        <v>46357</v>
      </c>
      <c r="C3349">
        <v>2026</v>
      </c>
      <c r="D3349">
        <v>12</v>
      </c>
      <c r="E3349" t="s">
        <v>54</v>
      </c>
      <c r="F3349" t="s">
        <v>48</v>
      </c>
      <c r="G3349" t="s">
        <v>40</v>
      </c>
      <c r="H3349" s="3">
        <v>104164.60208191061</v>
      </c>
      <c r="I3349">
        <v>19</v>
      </c>
      <c r="J3349" s="3">
        <v>74618.38153720407</v>
      </c>
      <c r="K3349" s="3">
        <v>29546.220544706521</v>
      </c>
    </row>
    <row r="3350" spans="1:11" x14ac:dyDescent="0.3">
      <c r="A3350" t="s">
        <v>3426</v>
      </c>
      <c r="B3350" s="2">
        <v>46357</v>
      </c>
      <c r="C3350">
        <v>2026</v>
      </c>
      <c r="D3350">
        <v>12</v>
      </c>
      <c r="E3350" t="s">
        <v>58</v>
      </c>
      <c r="F3350" t="s">
        <v>67</v>
      </c>
      <c r="G3350" t="s">
        <v>40</v>
      </c>
      <c r="H3350" s="3">
        <v>51405.417461655357</v>
      </c>
      <c r="I3350">
        <v>10</v>
      </c>
      <c r="J3350" s="3">
        <v>35288.958231218683</v>
      </c>
      <c r="K3350" s="3">
        <v>16116.459230436691</v>
      </c>
    </row>
    <row r="3351" spans="1:11" x14ac:dyDescent="0.3">
      <c r="A3351" t="s">
        <v>3427</v>
      </c>
      <c r="B3351" s="2">
        <v>46357</v>
      </c>
      <c r="C3351">
        <v>2026</v>
      </c>
      <c r="D3351">
        <v>12</v>
      </c>
      <c r="E3351" t="s">
        <v>58</v>
      </c>
      <c r="F3351" t="s">
        <v>48</v>
      </c>
      <c r="G3351" t="s">
        <v>40</v>
      </c>
      <c r="H3351" s="3">
        <v>66031.379895311809</v>
      </c>
      <c r="I3351">
        <v>12</v>
      </c>
      <c r="J3351" s="3">
        <v>43900.89717411359</v>
      </c>
      <c r="K3351" s="3">
        <v>22130.482721198219</v>
      </c>
    </row>
    <row r="3352" spans="1:11" x14ac:dyDescent="0.3">
      <c r="A3352" t="s">
        <v>3428</v>
      </c>
      <c r="B3352" s="2">
        <v>46357</v>
      </c>
      <c r="C3352">
        <v>2026</v>
      </c>
      <c r="D3352">
        <v>12</v>
      </c>
      <c r="E3352" t="s">
        <v>62</v>
      </c>
      <c r="F3352" t="s">
        <v>67</v>
      </c>
      <c r="G3352" t="s">
        <v>40</v>
      </c>
      <c r="H3352" s="3">
        <v>36716.616337129097</v>
      </c>
      <c r="I3352">
        <v>7</v>
      </c>
      <c r="J3352" s="3">
        <v>25406.559311518591</v>
      </c>
      <c r="K3352" s="3">
        <v>11310.057025610509</v>
      </c>
    </row>
    <row r="3353" spans="1:11" x14ac:dyDescent="0.3">
      <c r="A3353" t="s">
        <v>3429</v>
      </c>
      <c r="B3353" s="2">
        <v>46357</v>
      </c>
      <c r="C3353">
        <v>2026</v>
      </c>
      <c r="D3353">
        <v>12</v>
      </c>
      <c r="E3353" t="s">
        <v>62</v>
      </c>
      <c r="F3353" t="s">
        <v>48</v>
      </c>
      <c r="G3353" t="s">
        <v>40</v>
      </c>
      <c r="H3353" s="3">
        <v>51340.818894401273</v>
      </c>
      <c r="I3353">
        <v>10</v>
      </c>
      <c r="J3353" s="3">
        <v>35446.490363839403</v>
      </c>
      <c r="K3353" s="3">
        <v>15894.32853056187</v>
      </c>
    </row>
    <row r="3354" spans="1:11" x14ac:dyDescent="0.3">
      <c r="A3354" t="s">
        <v>3430</v>
      </c>
      <c r="B3354" s="2">
        <v>46357</v>
      </c>
      <c r="C3354">
        <v>2026</v>
      </c>
      <c r="D3354">
        <v>12</v>
      </c>
      <c r="E3354" t="s">
        <v>50</v>
      </c>
      <c r="F3354" t="s">
        <v>67</v>
      </c>
      <c r="G3354" t="s">
        <v>43</v>
      </c>
      <c r="H3354" s="3">
        <v>179069.02306678909</v>
      </c>
      <c r="I3354">
        <v>51</v>
      </c>
      <c r="J3354" s="3">
        <v>105494.98400110081</v>
      </c>
      <c r="K3354" s="3">
        <v>73574.039065688325</v>
      </c>
    </row>
    <row r="3355" spans="1:11" x14ac:dyDescent="0.3">
      <c r="A3355" t="s">
        <v>3431</v>
      </c>
      <c r="B3355" s="2">
        <v>46357</v>
      </c>
      <c r="C3355">
        <v>2026</v>
      </c>
      <c r="D3355">
        <v>12</v>
      </c>
      <c r="E3355" t="s">
        <v>50</v>
      </c>
      <c r="F3355" t="s">
        <v>48</v>
      </c>
      <c r="G3355" t="s">
        <v>43</v>
      </c>
      <c r="H3355" s="3">
        <v>270113.48842756078</v>
      </c>
      <c r="I3355">
        <v>77</v>
      </c>
      <c r="J3355" s="3">
        <v>162210.2941996819</v>
      </c>
      <c r="K3355" s="3">
        <v>107903.19422787891</v>
      </c>
    </row>
    <row r="3356" spans="1:11" x14ac:dyDescent="0.3">
      <c r="A3356" t="s">
        <v>3432</v>
      </c>
      <c r="B3356" s="2">
        <v>46357</v>
      </c>
      <c r="C3356">
        <v>2026</v>
      </c>
      <c r="D3356">
        <v>12</v>
      </c>
      <c r="E3356" t="s">
        <v>54</v>
      </c>
      <c r="F3356" t="s">
        <v>67</v>
      </c>
      <c r="G3356" t="s">
        <v>43</v>
      </c>
      <c r="H3356" s="3">
        <v>139664.08302922841</v>
      </c>
      <c r="I3356">
        <v>40</v>
      </c>
      <c r="J3356" s="3">
        <v>83510.443706996928</v>
      </c>
      <c r="K3356" s="3">
        <v>56153.63932223148</v>
      </c>
    </row>
    <row r="3357" spans="1:11" x14ac:dyDescent="0.3">
      <c r="A3357" t="s">
        <v>3433</v>
      </c>
      <c r="B3357" s="2">
        <v>46357</v>
      </c>
      <c r="C3357">
        <v>2026</v>
      </c>
      <c r="D3357">
        <v>12</v>
      </c>
      <c r="E3357" t="s">
        <v>54</v>
      </c>
      <c r="F3357" t="s">
        <v>48</v>
      </c>
      <c r="G3357" t="s">
        <v>43</v>
      </c>
      <c r="H3357" s="3">
        <v>197658.92590998751</v>
      </c>
      <c r="I3357">
        <v>56</v>
      </c>
      <c r="J3357" s="3">
        <v>117244.0494571546</v>
      </c>
      <c r="K3357" s="3">
        <v>80414.876452832934</v>
      </c>
    </row>
    <row r="3358" spans="1:11" x14ac:dyDescent="0.3">
      <c r="A3358" t="s">
        <v>3434</v>
      </c>
      <c r="B3358" s="2">
        <v>46357</v>
      </c>
      <c r="C3358">
        <v>2026</v>
      </c>
      <c r="D3358">
        <v>12</v>
      </c>
      <c r="E3358" t="s">
        <v>58</v>
      </c>
      <c r="F3358" t="s">
        <v>67</v>
      </c>
      <c r="G3358" t="s">
        <v>43</v>
      </c>
      <c r="H3358" s="3">
        <v>106954.0067454586</v>
      </c>
      <c r="I3358">
        <v>31</v>
      </c>
      <c r="J3358" s="3">
        <v>63614.173955116887</v>
      </c>
      <c r="K3358" s="3">
        <v>43339.832790341658</v>
      </c>
    </row>
    <row r="3359" spans="1:11" x14ac:dyDescent="0.3">
      <c r="A3359" t="s">
        <v>3435</v>
      </c>
      <c r="B3359" s="2">
        <v>46357</v>
      </c>
      <c r="C3359">
        <v>2026</v>
      </c>
      <c r="D3359">
        <v>12</v>
      </c>
      <c r="E3359" t="s">
        <v>58</v>
      </c>
      <c r="F3359" t="s">
        <v>48</v>
      </c>
      <c r="G3359" t="s">
        <v>43</v>
      </c>
      <c r="H3359" s="3">
        <v>144290.7253399732</v>
      </c>
      <c r="I3359">
        <v>41</v>
      </c>
      <c r="J3359" s="3">
        <v>84971.612453990296</v>
      </c>
      <c r="K3359" s="3">
        <v>59319.112885982933</v>
      </c>
    </row>
    <row r="3360" spans="1:11" x14ac:dyDescent="0.3">
      <c r="A3360" t="s">
        <v>3436</v>
      </c>
      <c r="B3360" s="2">
        <v>46357</v>
      </c>
      <c r="C3360">
        <v>2026</v>
      </c>
      <c r="D3360">
        <v>12</v>
      </c>
      <c r="E3360" t="s">
        <v>62</v>
      </c>
      <c r="F3360" t="s">
        <v>67</v>
      </c>
      <c r="G3360" t="s">
        <v>43</v>
      </c>
      <c r="H3360" s="3">
        <v>72473.847619274718</v>
      </c>
      <c r="I3360">
        <v>21</v>
      </c>
      <c r="J3360" s="3">
        <v>44126.116152963979</v>
      </c>
      <c r="K3360" s="3">
        <v>28347.731466310739</v>
      </c>
    </row>
    <row r="3361" spans="1:11" x14ac:dyDescent="0.3">
      <c r="A3361" t="s">
        <v>3437</v>
      </c>
      <c r="B3361" s="2">
        <v>46357</v>
      </c>
      <c r="C3361">
        <v>2026</v>
      </c>
      <c r="D3361">
        <v>12</v>
      </c>
      <c r="E3361" t="s">
        <v>62</v>
      </c>
      <c r="F3361" t="s">
        <v>48</v>
      </c>
      <c r="G3361" t="s">
        <v>43</v>
      </c>
      <c r="H3361" s="3">
        <v>102016.7097288326</v>
      </c>
      <c r="I3361">
        <v>29</v>
      </c>
      <c r="J3361" s="3">
        <v>58587.27195092391</v>
      </c>
      <c r="K3361" s="3">
        <v>43429.437777908694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1" customWidth="1"/>
    <col min="3" max="3" width="14.6640625" bestFit="1" customWidth="1"/>
    <col min="4" max="4" width="25" customWidth="1"/>
    <col min="5" max="5" width="19" customWidth="1"/>
    <col min="6" max="6" width="20" customWidth="1"/>
  </cols>
  <sheetData>
    <row r="1" spans="1:8" x14ac:dyDescent="0.3">
      <c r="A1" s="1" t="s">
        <v>71</v>
      </c>
      <c r="B1" s="1" t="s">
        <v>72</v>
      </c>
      <c r="C1" s="1" t="s">
        <v>73</v>
      </c>
      <c r="D1" s="1" t="s">
        <v>3438</v>
      </c>
      <c r="E1" s="1" t="s">
        <v>3439</v>
      </c>
      <c r="F1" s="1" t="s">
        <v>3440</v>
      </c>
    </row>
    <row r="2" spans="1:8" x14ac:dyDescent="0.3">
      <c r="A2" s="2">
        <v>44562</v>
      </c>
      <c r="B2">
        <v>2022</v>
      </c>
      <c r="C2">
        <v>1</v>
      </c>
      <c r="D2" t="s">
        <v>3441</v>
      </c>
      <c r="E2" t="s">
        <v>3442</v>
      </c>
      <c r="F2" s="3">
        <v>218018.2817561297</v>
      </c>
      <c r="H2" s="34" t="s">
        <v>3541</v>
      </c>
    </row>
    <row r="3" spans="1:8" x14ac:dyDescent="0.3">
      <c r="A3" s="2">
        <v>44562</v>
      </c>
      <c r="B3">
        <v>2022</v>
      </c>
      <c r="C3">
        <v>1</v>
      </c>
      <c r="D3" t="s">
        <v>3443</v>
      </c>
      <c r="E3" t="s">
        <v>3444</v>
      </c>
      <c r="F3" s="3">
        <v>62175.127260364679</v>
      </c>
    </row>
    <row r="4" spans="1:8" x14ac:dyDescent="0.3">
      <c r="A4" s="2">
        <v>44562</v>
      </c>
      <c r="B4">
        <v>2022</v>
      </c>
      <c r="C4">
        <v>1</v>
      </c>
      <c r="D4" t="s">
        <v>3445</v>
      </c>
      <c r="E4" t="s">
        <v>3446</v>
      </c>
      <c r="F4" s="3">
        <v>84448.416094225395</v>
      </c>
    </row>
    <row r="5" spans="1:8" x14ac:dyDescent="0.3">
      <c r="A5" s="2">
        <v>44562</v>
      </c>
      <c r="B5">
        <v>2022</v>
      </c>
      <c r="C5">
        <v>1</v>
      </c>
      <c r="D5" t="s">
        <v>3447</v>
      </c>
      <c r="E5" t="s">
        <v>3448</v>
      </c>
      <c r="F5" s="3">
        <v>28356.850285672132</v>
      </c>
    </row>
    <row r="6" spans="1:8" x14ac:dyDescent="0.3">
      <c r="A6" s="2">
        <v>44562</v>
      </c>
      <c r="B6">
        <v>2022</v>
      </c>
      <c r="C6">
        <v>1</v>
      </c>
      <c r="D6" t="s">
        <v>3449</v>
      </c>
      <c r="E6" t="s">
        <v>3450</v>
      </c>
      <c r="F6" s="3">
        <v>75199.834736591991</v>
      </c>
    </row>
    <row r="7" spans="1:8" x14ac:dyDescent="0.3">
      <c r="A7" s="2">
        <v>44562</v>
      </c>
      <c r="B7">
        <v>2022</v>
      </c>
      <c r="C7">
        <v>1</v>
      </c>
      <c r="D7" t="s">
        <v>3451</v>
      </c>
      <c r="E7" t="s">
        <v>3444</v>
      </c>
      <c r="F7" s="3">
        <v>18695.27552558326</v>
      </c>
    </row>
    <row r="8" spans="1:8" x14ac:dyDescent="0.3">
      <c r="A8" s="2">
        <v>44562</v>
      </c>
      <c r="B8">
        <v>2022</v>
      </c>
      <c r="C8">
        <v>1</v>
      </c>
      <c r="D8" t="s">
        <v>3452</v>
      </c>
      <c r="E8" t="s">
        <v>3453</v>
      </c>
      <c r="F8" s="3">
        <v>12502.129501291471</v>
      </c>
    </row>
    <row r="9" spans="1:8" x14ac:dyDescent="0.3">
      <c r="A9" s="2">
        <v>44562</v>
      </c>
      <c r="B9">
        <v>2022</v>
      </c>
      <c r="C9">
        <v>1</v>
      </c>
      <c r="D9" t="s">
        <v>3454</v>
      </c>
      <c r="E9" t="s">
        <v>3453</v>
      </c>
      <c r="F9" s="3">
        <v>17169.56304248032</v>
      </c>
    </row>
    <row r="10" spans="1:8" x14ac:dyDescent="0.3">
      <c r="A10" s="2">
        <v>44562</v>
      </c>
      <c r="B10">
        <v>2022</v>
      </c>
      <c r="C10">
        <v>1</v>
      </c>
      <c r="D10" t="s">
        <v>3455</v>
      </c>
      <c r="E10" t="s">
        <v>3453</v>
      </c>
      <c r="F10" s="3">
        <v>20034.266717535429</v>
      </c>
    </row>
    <row r="11" spans="1:8" x14ac:dyDescent="0.3">
      <c r="A11" s="2">
        <v>44562</v>
      </c>
      <c r="B11">
        <v>2022</v>
      </c>
      <c r="C11">
        <v>1</v>
      </c>
      <c r="D11" t="s">
        <v>3456</v>
      </c>
      <c r="E11" t="s">
        <v>3450</v>
      </c>
      <c r="F11" s="3">
        <v>14902.098460382411</v>
      </c>
    </row>
    <row r="12" spans="1:8" x14ac:dyDescent="0.3">
      <c r="A12" s="2">
        <v>44593</v>
      </c>
      <c r="B12">
        <v>2022</v>
      </c>
      <c r="C12">
        <v>2</v>
      </c>
      <c r="D12" t="s">
        <v>3441</v>
      </c>
      <c r="E12" t="s">
        <v>3442</v>
      </c>
      <c r="F12" s="3">
        <v>221814.1664260262</v>
      </c>
    </row>
    <row r="13" spans="1:8" x14ac:dyDescent="0.3">
      <c r="A13" s="2">
        <v>44593</v>
      </c>
      <c r="B13">
        <v>2022</v>
      </c>
      <c r="C13">
        <v>2</v>
      </c>
      <c r="D13" t="s">
        <v>3443</v>
      </c>
      <c r="E13" t="s">
        <v>3444</v>
      </c>
      <c r="F13" s="3">
        <v>59269.088117686617</v>
      </c>
    </row>
    <row r="14" spans="1:8" x14ac:dyDescent="0.3">
      <c r="A14" s="2">
        <v>44593</v>
      </c>
      <c r="B14">
        <v>2022</v>
      </c>
      <c r="C14">
        <v>2</v>
      </c>
      <c r="D14" t="s">
        <v>3445</v>
      </c>
      <c r="E14" t="s">
        <v>3446</v>
      </c>
      <c r="F14" s="3">
        <v>77204.143920122326</v>
      </c>
    </row>
    <row r="15" spans="1:8" x14ac:dyDescent="0.3">
      <c r="A15" s="2">
        <v>44593</v>
      </c>
      <c r="B15">
        <v>2022</v>
      </c>
      <c r="C15">
        <v>2</v>
      </c>
      <c r="D15" t="s">
        <v>3447</v>
      </c>
      <c r="E15" t="s">
        <v>3448</v>
      </c>
      <c r="F15" s="3">
        <v>27638.51766438047</v>
      </c>
    </row>
    <row r="16" spans="1:8" x14ac:dyDescent="0.3">
      <c r="A16" s="2">
        <v>44593</v>
      </c>
      <c r="B16">
        <v>2022</v>
      </c>
      <c r="C16">
        <v>2</v>
      </c>
      <c r="D16" t="s">
        <v>3449</v>
      </c>
      <c r="E16" t="s">
        <v>3450</v>
      </c>
      <c r="F16" s="3">
        <v>75816.483703802922</v>
      </c>
    </row>
    <row r="17" spans="1:6" x14ac:dyDescent="0.3">
      <c r="A17" s="2">
        <v>44593</v>
      </c>
      <c r="B17">
        <v>2022</v>
      </c>
      <c r="C17">
        <v>2</v>
      </c>
      <c r="D17" t="s">
        <v>3451</v>
      </c>
      <c r="E17" t="s">
        <v>3444</v>
      </c>
      <c r="F17" s="3">
        <v>18203.254140959561</v>
      </c>
    </row>
    <row r="18" spans="1:6" x14ac:dyDescent="0.3">
      <c r="A18" s="2">
        <v>44593</v>
      </c>
      <c r="B18">
        <v>2022</v>
      </c>
      <c r="C18">
        <v>2</v>
      </c>
      <c r="D18" t="s">
        <v>3452</v>
      </c>
      <c r="E18" t="s">
        <v>3453</v>
      </c>
      <c r="F18" s="3">
        <v>11789.90580274869</v>
      </c>
    </row>
    <row r="19" spans="1:6" x14ac:dyDescent="0.3">
      <c r="A19" s="2">
        <v>44593</v>
      </c>
      <c r="B19">
        <v>2022</v>
      </c>
      <c r="C19">
        <v>2</v>
      </c>
      <c r="D19" t="s">
        <v>3454</v>
      </c>
      <c r="E19" t="s">
        <v>3453</v>
      </c>
      <c r="F19" s="3">
        <v>16576.138569175819</v>
      </c>
    </row>
    <row r="20" spans="1:6" x14ac:dyDescent="0.3">
      <c r="A20" s="2">
        <v>44593</v>
      </c>
      <c r="B20">
        <v>2022</v>
      </c>
      <c r="C20">
        <v>2</v>
      </c>
      <c r="D20" t="s">
        <v>3455</v>
      </c>
      <c r="E20" t="s">
        <v>3453</v>
      </c>
      <c r="F20" s="3">
        <v>19388.997147491918</v>
      </c>
    </row>
    <row r="21" spans="1:6" x14ac:dyDescent="0.3">
      <c r="A21" s="2">
        <v>44593</v>
      </c>
      <c r="B21">
        <v>2022</v>
      </c>
      <c r="C21">
        <v>2</v>
      </c>
      <c r="D21" t="s">
        <v>3456</v>
      </c>
      <c r="E21" t="s">
        <v>3450</v>
      </c>
      <c r="F21" s="3">
        <v>13354.266784764121</v>
      </c>
    </row>
    <row r="22" spans="1:6" x14ac:dyDescent="0.3">
      <c r="A22" s="2">
        <v>44621</v>
      </c>
      <c r="B22">
        <v>2022</v>
      </c>
      <c r="C22">
        <v>3</v>
      </c>
      <c r="D22" t="s">
        <v>3441</v>
      </c>
      <c r="E22" t="s">
        <v>3442</v>
      </c>
      <c r="F22" s="3">
        <v>244304.9034694788</v>
      </c>
    </row>
    <row r="23" spans="1:6" x14ac:dyDescent="0.3">
      <c r="A23" s="2">
        <v>44621</v>
      </c>
      <c r="B23">
        <v>2022</v>
      </c>
      <c r="C23">
        <v>3</v>
      </c>
      <c r="D23" t="s">
        <v>3443</v>
      </c>
      <c r="E23" t="s">
        <v>3444</v>
      </c>
      <c r="F23" s="3">
        <v>64059.718663182677</v>
      </c>
    </row>
    <row r="24" spans="1:6" x14ac:dyDescent="0.3">
      <c r="A24" s="2">
        <v>44621</v>
      </c>
      <c r="B24">
        <v>2022</v>
      </c>
      <c r="C24">
        <v>3</v>
      </c>
      <c r="D24" t="s">
        <v>3445</v>
      </c>
      <c r="E24" t="s">
        <v>3446</v>
      </c>
      <c r="F24" s="3">
        <v>90100.698633010092</v>
      </c>
    </row>
    <row r="25" spans="1:6" x14ac:dyDescent="0.3">
      <c r="A25" s="2">
        <v>44621</v>
      </c>
      <c r="B25">
        <v>2022</v>
      </c>
      <c r="C25">
        <v>3</v>
      </c>
      <c r="D25" t="s">
        <v>3447</v>
      </c>
      <c r="E25" t="s">
        <v>3448</v>
      </c>
      <c r="F25" s="3">
        <v>34167.530693886118</v>
      </c>
    </row>
    <row r="26" spans="1:6" x14ac:dyDescent="0.3">
      <c r="A26" s="2">
        <v>44621</v>
      </c>
      <c r="B26">
        <v>2022</v>
      </c>
      <c r="C26">
        <v>3</v>
      </c>
      <c r="D26" t="s">
        <v>3449</v>
      </c>
      <c r="E26" t="s">
        <v>3450</v>
      </c>
      <c r="F26" s="3">
        <v>86008.815795872099</v>
      </c>
    </row>
    <row r="27" spans="1:6" x14ac:dyDescent="0.3">
      <c r="A27" s="2">
        <v>44621</v>
      </c>
      <c r="B27">
        <v>2022</v>
      </c>
      <c r="C27">
        <v>3</v>
      </c>
      <c r="D27" t="s">
        <v>3451</v>
      </c>
      <c r="E27" t="s">
        <v>3444</v>
      </c>
      <c r="F27" s="3">
        <v>19805.707093337191</v>
      </c>
    </row>
    <row r="28" spans="1:6" x14ac:dyDescent="0.3">
      <c r="A28" s="2">
        <v>44621</v>
      </c>
      <c r="B28">
        <v>2022</v>
      </c>
      <c r="C28">
        <v>3</v>
      </c>
      <c r="D28" t="s">
        <v>3452</v>
      </c>
      <c r="E28" t="s">
        <v>3453</v>
      </c>
      <c r="F28" s="3">
        <v>13564.936661135711</v>
      </c>
    </row>
    <row r="29" spans="1:6" x14ac:dyDescent="0.3">
      <c r="A29" s="2">
        <v>44621</v>
      </c>
      <c r="B29">
        <v>2022</v>
      </c>
      <c r="C29">
        <v>3</v>
      </c>
      <c r="D29" t="s">
        <v>3454</v>
      </c>
      <c r="E29" t="s">
        <v>3453</v>
      </c>
      <c r="F29" s="3">
        <v>18089.569283796089</v>
      </c>
    </row>
    <row r="30" spans="1:6" x14ac:dyDescent="0.3">
      <c r="A30" s="2">
        <v>44621</v>
      </c>
      <c r="B30">
        <v>2022</v>
      </c>
      <c r="C30">
        <v>3</v>
      </c>
      <c r="D30" t="s">
        <v>3455</v>
      </c>
      <c r="E30" t="s">
        <v>3453</v>
      </c>
      <c r="F30" s="3">
        <v>22731.64650104368</v>
      </c>
    </row>
    <row r="31" spans="1:6" x14ac:dyDescent="0.3">
      <c r="A31" s="2">
        <v>44621</v>
      </c>
      <c r="B31">
        <v>2022</v>
      </c>
      <c r="C31">
        <v>3</v>
      </c>
      <c r="D31" t="s">
        <v>3456</v>
      </c>
      <c r="E31" t="s">
        <v>3450</v>
      </c>
      <c r="F31" s="3">
        <v>16110.89792100012</v>
      </c>
    </row>
    <row r="32" spans="1:6" x14ac:dyDescent="0.3">
      <c r="A32" s="2">
        <v>44652</v>
      </c>
      <c r="B32">
        <v>2022</v>
      </c>
      <c r="C32">
        <v>4</v>
      </c>
      <c r="D32" t="s">
        <v>3441</v>
      </c>
      <c r="E32" t="s">
        <v>3442</v>
      </c>
      <c r="F32" s="3">
        <v>243012.15382417789</v>
      </c>
    </row>
    <row r="33" spans="1:6" x14ac:dyDescent="0.3">
      <c r="A33" s="2">
        <v>44652</v>
      </c>
      <c r="B33">
        <v>2022</v>
      </c>
      <c r="C33">
        <v>4</v>
      </c>
      <c r="D33" t="s">
        <v>3443</v>
      </c>
      <c r="E33" t="s">
        <v>3444</v>
      </c>
      <c r="F33" s="3">
        <v>74291.212431969674</v>
      </c>
    </row>
    <row r="34" spans="1:6" x14ac:dyDescent="0.3">
      <c r="A34" s="2">
        <v>44652</v>
      </c>
      <c r="B34">
        <v>2022</v>
      </c>
      <c r="C34">
        <v>4</v>
      </c>
      <c r="D34" t="s">
        <v>3445</v>
      </c>
      <c r="E34" t="s">
        <v>3446</v>
      </c>
      <c r="F34" s="3">
        <v>95627.542647750321</v>
      </c>
    </row>
    <row r="35" spans="1:6" x14ac:dyDescent="0.3">
      <c r="A35" s="2">
        <v>44652</v>
      </c>
      <c r="B35">
        <v>2022</v>
      </c>
      <c r="C35">
        <v>4</v>
      </c>
      <c r="D35" t="s">
        <v>3447</v>
      </c>
      <c r="E35" t="s">
        <v>3448</v>
      </c>
      <c r="F35" s="3">
        <v>33870.226394952842</v>
      </c>
    </row>
    <row r="36" spans="1:6" x14ac:dyDescent="0.3">
      <c r="A36" s="2">
        <v>44652</v>
      </c>
      <c r="B36">
        <v>2022</v>
      </c>
      <c r="C36">
        <v>4</v>
      </c>
      <c r="D36" t="s">
        <v>3449</v>
      </c>
      <c r="E36" t="s">
        <v>3450</v>
      </c>
      <c r="F36" s="3">
        <v>88874.928544179027</v>
      </c>
    </row>
    <row r="37" spans="1:6" x14ac:dyDescent="0.3">
      <c r="A37" s="2">
        <v>44652</v>
      </c>
      <c r="B37">
        <v>2022</v>
      </c>
      <c r="C37">
        <v>4</v>
      </c>
      <c r="D37" t="s">
        <v>3451</v>
      </c>
      <c r="E37" t="s">
        <v>3444</v>
      </c>
      <c r="F37" s="3">
        <v>22072.888876718491</v>
      </c>
    </row>
    <row r="38" spans="1:6" x14ac:dyDescent="0.3">
      <c r="A38" s="2">
        <v>44652</v>
      </c>
      <c r="B38">
        <v>2022</v>
      </c>
      <c r="C38">
        <v>4</v>
      </c>
      <c r="D38" t="s">
        <v>3452</v>
      </c>
      <c r="E38" t="s">
        <v>3453</v>
      </c>
      <c r="F38" s="3">
        <v>14165.149546609549</v>
      </c>
    </row>
    <row r="39" spans="1:6" x14ac:dyDescent="0.3">
      <c r="A39" s="2">
        <v>44652</v>
      </c>
      <c r="B39">
        <v>2022</v>
      </c>
      <c r="C39">
        <v>4</v>
      </c>
      <c r="D39" t="s">
        <v>3454</v>
      </c>
      <c r="E39" t="s">
        <v>3453</v>
      </c>
      <c r="F39" s="3">
        <v>19140.92400640402</v>
      </c>
    </row>
    <row r="40" spans="1:6" x14ac:dyDescent="0.3">
      <c r="A40" s="2">
        <v>44652</v>
      </c>
      <c r="B40">
        <v>2022</v>
      </c>
      <c r="C40">
        <v>4</v>
      </c>
      <c r="D40" t="s">
        <v>3455</v>
      </c>
      <c r="E40" t="s">
        <v>3453</v>
      </c>
      <c r="F40" s="3">
        <v>23206.9850660704</v>
      </c>
    </row>
    <row r="41" spans="1:6" x14ac:dyDescent="0.3">
      <c r="A41" s="2">
        <v>44652</v>
      </c>
      <c r="B41">
        <v>2022</v>
      </c>
      <c r="C41">
        <v>4</v>
      </c>
      <c r="D41" t="s">
        <v>3456</v>
      </c>
      <c r="E41" t="s">
        <v>3450</v>
      </c>
      <c r="F41" s="3">
        <v>16218.34945326735</v>
      </c>
    </row>
    <row r="42" spans="1:6" x14ac:dyDescent="0.3">
      <c r="A42" s="2">
        <v>44682</v>
      </c>
      <c r="B42">
        <v>2022</v>
      </c>
      <c r="C42">
        <v>5</v>
      </c>
      <c r="D42" t="s">
        <v>3441</v>
      </c>
      <c r="E42" t="s">
        <v>3442</v>
      </c>
      <c r="F42" s="3">
        <v>274800.0539293912</v>
      </c>
    </row>
    <row r="43" spans="1:6" x14ac:dyDescent="0.3">
      <c r="A43" s="2">
        <v>44682</v>
      </c>
      <c r="B43">
        <v>2022</v>
      </c>
      <c r="C43">
        <v>5</v>
      </c>
      <c r="D43" t="s">
        <v>3443</v>
      </c>
      <c r="E43" t="s">
        <v>3444</v>
      </c>
      <c r="F43" s="3">
        <v>76330.291328130799</v>
      </c>
    </row>
    <row r="44" spans="1:6" x14ac:dyDescent="0.3">
      <c r="A44" s="2">
        <v>44682</v>
      </c>
      <c r="B44">
        <v>2022</v>
      </c>
      <c r="C44">
        <v>5</v>
      </c>
      <c r="D44" t="s">
        <v>3445</v>
      </c>
      <c r="E44" t="s">
        <v>3446</v>
      </c>
      <c r="F44" s="3">
        <v>100718.2859262024</v>
      </c>
    </row>
    <row r="45" spans="1:6" x14ac:dyDescent="0.3">
      <c r="A45" s="2">
        <v>44682</v>
      </c>
      <c r="B45">
        <v>2022</v>
      </c>
      <c r="C45">
        <v>5</v>
      </c>
      <c r="D45" t="s">
        <v>3447</v>
      </c>
      <c r="E45" t="s">
        <v>3448</v>
      </c>
      <c r="F45" s="3">
        <v>35441.082605773903</v>
      </c>
    </row>
    <row r="46" spans="1:6" x14ac:dyDescent="0.3">
      <c r="A46" s="2">
        <v>44682</v>
      </c>
      <c r="B46">
        <v>2022</v>
      </c>
      <c r="C46">
        <v>5</v>
      </c>
      <c r="D46" t="s">
        <v>3449</v>
      </c>
      <c r="E46" t="s">
        <v>3450</v>
      </c>
      <c r="F46" s="3">
        <v>99477.718129674526</v>
      </c>
    </row>
    <row r="47" spans="1:6" x14ac:dyDescent="0.3">
      <c r="A47" s="2">
        <v>44682</v>
      </c>
      <c r="B47">
        <v>2022</v>
      </c>
      <c r="C47">
        <v>5</v>
      </c>
      <c r="D47" t="s">
        <v>3451</v>
      </c>
      <c r="E47" t="s">
        <v>3444</v>
      </c>
      <c r="F47" s="3">
        <v>22791.74188372209</v>
      </c>
    </row>
    <row r="48" spans="1:6" x14ac:dyDescent="0.3">
      <c r="A48" s="2">
        <v>44682</v>
      </c>
      <c r="B48">
        <v>2022</v>
      </c>
      <c r="C48">
        <v>5</v>
      </c>
      <c r="D48" t="s">
        <v>3452</v>
      </c>
      <c r="E48" t="s">
        <v>3453</v>
      </c>
      <c r="F48" s="3">
        <v>15391.8533717305</v>
      </c>
    </row>
    <row r="49" spans="1:6" x14ac:dyDescent="0.3">
      <c r="A49" s="2">
        <v>44682</v>
      </c>
      <c r="B49">
        <v>2022</v>
      </c>
      <c r="C49">
        <v>5</v>
      </c>
      <c r="D49" t="s">
        <v>3454</v>
      </c>
      <c r="E49" t="s">
        <v>3453</v>
      </c>
      <c r="F49" s="3">
        <v>20590.746398082461</v>
      </c>
    </row>
    <row r="50" spans="1:6" x14ac:dyDescent="0.3">
      <c r="A50" s="2">
        <v>44682</v>
      </c>
      <c r="B50">
        <v>2022</v>
      </c>
      <c r="C50">
        <v>5</v>
      </c>
      <c r="D50" t="s">
        <v>3455</v>
      </c>
      <c r="E50" t="s">
        <v>3453</v>
      </c>
      <c r="F50" s="3">
        <v>24495.49129855309</v>
      </c>
    </row>
    <row r="51" spans="1:6" x14ac:dyDescent="0.3">
      <c r="A51" s="2">
        <v>44682</v>
      </c>
      <c r="B51">
        <v>2022</v>
      </c>
      <c r="C51">
        <v>5</v>
      </c>
      <c r="D51" t="s">
        <v>3456</v>
      </c>
      <c r="E51" t="s">
        <v>3450</v>
      </c>
      <c r="F51" s="3">
        <v>17347.757107001082</v>
      </c>
    </row>
    <row r="52" spans="1:6" x14ac:dyDescent="0.3">
      <c r="A52" s="2">
        <v>44713</v>
      </c>
      <c r="B52">
        <v>2022</v>
      </c>
      <c r="C52">
        <v>6</v>
      </c>
      <c r="D52" t="s">
        <v>3441</v>
      </c>
      <c r="E52" t="s">
        <v>3442</v>
      </c>
      <c r="F52" s="3">
        <v>267652.76056288579</v>
      </c>
    </row>
    <row r="53" spans="1:6" x14ac:dyDescent="0.3">
      <c r="A53" s="2">
        <v>44713</v>
      </c>
      <c r="B53">
        <v>2022</v>
      </c>
      <c r="C53">
        <v>6</v>
      </c>
      <c r="D53" t="s">
        <v>3443</v>
      </c>
      <c r="E53" t="s">
        <v>3444</v>
      </c>
      <c r="F53" s="3">
        <v>74437.36952938803</v>
      </c>
    </row>
    <row r="54" spans="1:6" x14ac:dyDescent="0.3">
      <c r="A54" s="2">
        <v>44713</v>
      </c>
      <c r="B54">
        <v>2022</v>
      </c>
      <c r="C54">
        <v>6</v>
      </c>
      <c r="D54" t="s">
        <v>3445</v>
      </c>
      <c r="E54" t="s">
        <v>3446</v>
      </c>
      <c r="F54" s="3">
        <v>103784.1186971085</v>
      </c>
    </row>
    <row r="55" spans="1:6" x14ac:dyDescent="0.3">
      <c r="A55" s="2">
        <v>44713</v>
      </c>
      <c r="B55">
        <v>2022</v>
      </c>
      <c r="C55">
        <v>6</v>
      </c>
      <c r="D55" t="s">
        <v>3447</v>
      </c>
      <c r="E55" t="s">
        <v>3448</v>
      </c>
      <c r="F55" s="3">
        <v>36244.887850110114</v>
      </c>
    </row>
    <row r="56" spans="1:6" x14ac:dyDescent="0.3">
      <c r="A56" s="2">
        <v>44713</v>
      </c>
      <c r="B56">
        <v>2022</v>
      </c>
      <c r="C56">
        <v>6</v>
      </c>
      <c r="D56" t="s">
        <v>3449</v>
      </c>
      <c r="E56" t="s">
        <v>3450</v>
      </c>
      <c r="F56" s="3">
        <v>97784.294560420138</v>
      </c>
    </row>
    <row r="57" spans="1:6" x14ac:dyDescent="0.3">
      <c r="A57" s="2">
        <v>44713</v>
      </c>
      <c r="B57">
        <v>2022</v>
      </c>
      <c r="C57">
        <v>6</v>
      </c>
      <c r="D57" t="s">
        <v>3451</v>
      </c>
      <c r="E57" t="s">
        <v>3444</v>
      </c>
      <c r="F57" s="3">
        <v>23785.417319545861</v>
      </c>
    </row>
    <row r="58" spans="1:6" x14ac:dyDescent="0.3">
      <c r="A58" s="2">
        <v>44713</v>
      </c>
      <c r="B58">
        <v>2022</v>
      </c>
      <c r="C58">
        <v>6</v>
      </c>
      <c r="D58" t="s">
        <v>3452</v>
      </c>
      <c r="E58" t="s">
        <v>3453</v>
      </c>
      <c r="F58" s="3">
        <v>15135.430568987569</v>
      </c>
    </row>
    <row r="59" spans="1:6" x14ac:dyDescent="0.3">
      <c r="A59" s="2">
        <v>44713</v>
      </c>
      <c r="B59">
        <v>2022</v>
      </c>
      <c r="C59">
        <v>6</v>
      </c>
      <c r="D59" t="s">
        <v>3454</v>
      </c>
      <c r="E59" t="s">
        <v>3453</v>
      </c>
      <c r="F59" s="3">
        <v>20550.632793136669</v>
      </c>
    </row>
    <row r="60" spans="1:6" x14ac:dyDescent="0.3">
      <c r="A60" s="2">
        <v>44713</v>
      </c>
      <c r="B60">
        <v>2022</v>
      </c>
      <c r="C60">
        <v>6</v>
      </c>
      <c r="D60" t="s">
        <v>3455</v>
      </c>
      <c r="E60" t="s">
        <v>3453</v>
      </c>
      <c r="F60" s="3">
        <v>24908.910881239459</v>
      </c>
    </row>
    <row r="61" spans="1:6" x14ac:dyDescent="0.3">
      <c r="A61" s="2">
        <v>44713</v>
      </c>
      <c r="B61">
        <v>2022</v>
      </c>
      <c r="C61">
        <v>6</v>
      </c>
      <c r="D61" t="s">
        <v>3456</v>
      </c>
      <c r="E61" t="s">
        <v>3450</v>
      </c>
      <c r="F61" s="3">
        <v>18779.610802322801</v>
      </c>
    </row>
    <row r="62" spans="1:6" x14ac:dyDescent="0.3">
      <c r="A62" s="2">
        <v>44743</v>
      </c>
      <c r="B62">
        <v>2022</v>
      </c>
      <c r="C62">
        <v>7</v>
      </c>
      <c r="D62" t="s">
        <v>3441</v>
      </c>
      <c r="E62" t="s">
        <v>3442</v>
      </c>
      <c r="F62" s="3">
        <v>278702.73659857828</v>
      </c>
    </row>
    <row r="63" spans="1:6" x14ac:dyDescent="0.3">
      <c r="A63" s="2">
        <v>44743</v>
      </c>
      <c r="B63">
        <v>2022</v>
      </c>
      <c r="C63">
        <v>7</v>
      </c>
      <c r="D63" t="s">
        <v>3443</v>
      </c>
      <c r="E63" t="s">
        <v>3444</v>
      </c>
      <c r="F63" s="3">
        <v>75889.576167927793</v>
      </c>
    </row>
    <row r="64" spans="1:6" x14ac:dyDescent="0.3">
      <c r="A64" s="2">
        <v>44743</v>
      </c>
      <c r="B64">
        <v>2022</v>
      </c>
      <c r="C64">
        <v>7</v>
      </c>
      <c r="D64" t="s">
        <v>3445</v>
      </c>
      <c r="E64" t="s">
        <v>3446</v>
      </c>
      <c r="F64" s="3">
        <v>102133.69557817309</v>
      </c>
    </row>
    <row r="65" spans="1:6" x14ac:dyDescent="0.3">
      <c r="A65" s="2">
        <v>44743</v>
      </c>
      <c r="B65">
        <v>2022</v>
      </c>
      <c r="C65">
        <v>7</v>
      </c>
      <c r="D65" t="s">
        <v>3447</v>
      </c>
      <c r="E65" t="s">
        <v>3448</v>
      </c>
      <c r="F65" s="3">
        <v>36607.755362210941</v>
      </c>
    </row>
    <row r="66" spans="1:6" x14ac:dyDescent="0.3">
      <c r="A66" s="2">
        <v>44743</v>
      </c>
      <c r="B66">
        <v>2022</v>
      </c>
      <c r="C66">
        <v>7</v>
      </c>
      <c r="D66" t="s">
        <v>3449</v>
      </c>
      <c r="E66" t="s">
        <v>3450</v>
      </c>
      <c r="F66" s="3">
        <v>95744.758015341096</v>
      </c>
    </row>
    <row r="67" spans="1:6" x14ac:dyDescent="0.3">
      <c r="A67" s="2">
        <v>44743</v>
      </c>
      <c r="B67">
        <v>2022</v>
      </c>
      <c r="C67">
        <v>7</v>
      </c>
      <c r="D67" t="s">
        <v>3451</v>
      </c>
      <c r="E67" t="s">
        <v>3444</v>
      </c>
      <c r="F67" s="3">
        <v>22386.491900840701</v>
      </c>
    </row>
    <row r="68" spans="1:6" x14ac:dyDescent="0.3">
      <c r="A68" s="2">
        <v>44743</v>
      </c>
      <c r="B68">
        <v>2022</v>
      </c>
      <c r="C68">
        <v>7</v>
      </c>
      <c r="D68" t="s">
        <v>3452</v>
      </c>
      <c r="E68" t="s">
        <v>3453</v>
      </c>
      <c r="F68" s="3">
        <v>15504.94365578557</v>
      </c>
    </row>
    <row r="69" spans="1:6" x14ac:dyDescent="0.3">
      <c r="A69" s="2">
        <v>44743</v>
      </c>
      <c r="B69">
        <v>2022</v>
      </c>
      <c r="C69">
        <v>7</v>
      </c>
      <c r="D69" t="s">
        <v>3454</v>
      </c>
      <c r="E69" t="s">
        <v>3453</v>
      </c>
      <c r="F69" s="3">
        <v>20270.884446166881</v>
      </c>
    </row>
    <row r="70" spans="1:6" x14ac:dyDescent="0.3">
      <c r="A70" s="2">
        <v>44743</v>
      </c>
      <c r="B70">
        <v>2022</v>
      </c>
      <c r="C70">
        <v>7</v>
      </c>
      <c r="D70" t="s">
        <v>3455</v>
      </c>
      <c r="E70" t="s">
        <v>3453</v>
      </c>
      <c r="F70" s="3">
        <v>25404.70800859962</v>
      </c>
    </row>
    <row r="71" spans="1:6" x14ac:dyDescent="0.3">
      <c r="A71" s="2">
        <v>44743</v>
      </c>
      <c r="B71">
        <v>2022</v>
      </c>
      <c r="C71">
        <v>7</v>
      </c>
      <c r="D71" t="s">
        <v>3456</v>
      </c>
      <c r="E71" t="s">
        <v>3450</v>
      </c>
      <c r="F71" s="3">
        <v>17333.096745793409</v>
      </c>
    </row>
    <row r="72" spans="1:6" x14ac:dyDescent="0.3">
      <c r="A72" s="2">
        <v>44774</v>
      </c>
      <c r="B72">
        <v>2022</v>
      </c>
      <c r="C72">
        <v>8</v>
      </c>
      <c r="D72" t="s">
        <v>3441</v>
      </c>
      <c r="E72" t="s">
        <v>3442</v>
      </c>
      <c r="F72" s="3">
        <v>243011.50904052111</v>
      </c>
    </row>
    <row r="73" spans="1:6" x14ac:dyDescent="0.3">
      <c r="A73" s="2">
        <v>44774</v>
      </c>
      <c r="B73">
        <v>2022</v>
      </c>
      <c r="C73">
        <v>8</v>
      </c>
      <c r="D73" t="s">
        <v>3443</v>
      </c>
      <c r="E73" t="s">
        <v>3444</v>
      </c>
      <c r="F73" s="3">
        <v>72975.452447392061</v>
      </c>
    </row>
    <row r="74" spans="1:6" x14ac:dyDescent="0.3">
      <c r="A74" s="2">
        <v>44774</v>
      </c>
      <c r="B74">
        <v>2022</v>
      </c>
      <c r="C74">
        <v>8</v>
      </c>
      <c r="D74" t="s">
        <v>3445</v>
      </c>
      <c r="E74" t="s">
        <v>3446</v>
      </c>
      <c r="F74" s="3">
        <v>98917.968888539137</v>
      </c>
    </row>
    <row r="75" spans="1:6" x14ac:dyDescent="0.3">
      <c r="A75" s="2">
        <v>44774</v>
      </c>
      <c r="B75">
        <v>2022</v>
      </c>
      <c r="C75">
        <v>8</v>
      </c>
      <c r="D75" t="s">
        <v>3447</v>
      </c>
      <c r="E75" t="s">
        <v>3448</v>
      </c>
      <c r="F75" s="3">
        <v>33664.224949034397</v>
      </c>
    </row>
    <row r="76" spans="1:6" x14ac:dyDescent="0.3">
      <c r="A76" s="2">
        <v>44774</v>
      </c>
      <c r="B76">
        <v>2022</v>
      </c>
      <c r="C76">
        <v>8</v>
      </c>
      <c r="D76" t="s">
        <v>3449</v>
      </c>
      <c r="E76" t="s">
        <v>3450</v>
      </c>
      <c r="F76" s="3">
        <v>95193.024988374644</v>
      </c>
    </row>
    <row r="77" spans="1:6" x14ac:dyDescent="0.3">
      <c r="A77" s="2">
        <v>44774</v>
      </c>
      <c r="B77">
        <v>2022</v>
      </c>
      <c r="C77">
        <v>8</v>
      </c>
      <c r="D77" t="s">
        <v>3451</v>
      </c>
      <c r="E77" t="s">
        <v>3444</v>
      </c>
      <c r="F77" s="3">
        <v>21381.146256649761</v>
      </c>
    </row>
    <row r="78" spans="1:6" x14ac:dyDescent="0.3">
      <c r="A78" s="2">
        <v>44774</v>
      </c>
      <c r="B78">
        <v>2022</v>
      </c>
      <c r="C78">
        <v>8</v>
      </c>
      <c r="D78" t="s">
        <v>3452</v>
      </c>
      <c r="E78" t="s">
        <v>3453</v>
      </c>
      <c r="F78" s="3">
        <v>14126.85408131204</v>
      </c>
    </row>
    <row r="79" spans="1:6" x14ac:dyDescent="0.3">
      <c r="A79" s="2">
        <v>44774</v>
      </c>
      <c r="B79">
        <v>2022</v>
      </c>
      <c r="C79">
        <v>8</v>
      </c>
      <c r="D79" t="s">
        <v>3454</v>
      </c>
      <c r="E79" t="s">
        <v>3453</v>
      </c>
      <c r="F79" s="3">
        <v>19313.39511377129</v>
      </c>
    </row>
    <row r="80" spans="1:6" x14ac:dyDescent="0.3">
      <c r="A80" s="2">
        <v>44774</v>
      </c>
      <c r="B80">
        <v>2022</v>
      </c>
      <c r="C80">
        <v>8</v>
      </c>
      <c r="D80" t="s">
        <v>3455</v>
      </c>
      <c r="E80" t="s">
        <v>3453</v>
      </c>
      <c r="F80" s="3">
        <v>24132.456483745871</v>
      </c>
    </row>
    <row r="81" spans="1:6" x14ac:dyDescent="0.3">
      <c r="A81" s="2">
        <v>44774</v>
      </c>
      <c r="B81">
        <v>2022</v>
      </c>
      <c r="C81">
        <v>8</v>
      </c>
      <c r="D81" t="s">
        <v>3456</v>
      </c>
      <c r="E81" t="s">
        <v>3450</v>
      </c>
      <c r="F81" s="3">
        <v>17253.516493447471</v>
      </c>
    </row>
    <row r="82" spans="1:6" x14ac:dyDescent="0.3">
      <c r="A82" s="2">
        <v>44805</v>
      </c>
      <c r="B82">
        <v>2022</v>
      </c>
      <c r="C82">
        <v>9</v>
      </c>
      <c r="D82" t="s">
        <v>3441</v>
      </c>
      <c r="E82" t="s">
        <v>3442</v>
      </c>
      <c r="F82" s="3">
        <v>265383.01373115712</v>
      </c>
    </row>
    <row r="83" spans="1:6" x14ac:dyDescent="0.3">
      <c r="A83" s="2">
        <v>44805</v>
      </c>
      <c r="B83">
        <v>2022</v>
      </c>
      <c r="C83">
        <v>9</v>
      </c>
      <c r="D83" t="s">
        <v>3443</v>
      </c>
      <c r="E83" t="s">
        <v>3444</v>
      </c>
      <c r="F83" s="3">
        <v>79966.341553294056</v>
      </c>
    </row>
    <row r="84" spans="1:6" x14ac:dyDescent="0.3">
      <c r="A84" s="2">
        <v>44805</v>
      </c>
      <c r="B84">
        <v>2022</v>
      </c>
      <c r="C84">
        <v>9</v>
      </c>
      <c r="D84" t="s">
        <v>3445</v>
      </c>
      <c r="E84" t="s">
        <v>3446</v>
      </c>
      <c r="F84" s="3">
        <v>108165.1895476522</v>
      </c>
    </row>
    <row r="85" spans="1:6" x14ac:dyDescent="0.3">
      <c r="A85" s="2">
        <v>44805</v>
      </c>
      <c r="B85">
        <v>2022</v>
      </c>
      <c r="C85">
        <v>9</v>
      </c>
      <c r="D85" t="s">
        <v>3447</v>
      </c>
      <c r="E85" t="s">
        <v>3448</v>
      </c>
      <c r="F85" s="3">
        <v>36048.174509335477</v>
      </c>
    </row>
    <row r="86" spans="1:6" x14ac:dyDescent="0.3">
      <c r="A86" s="2">
        <v>44805</v>
      </c>
      <c r="B86">
        <v>2022</v>
      </c>
      <c r="C86">
        <v>9</v>
      </c>
      <c r="D86" t="s">
        <v>3449</v>
      </c>
      <c r="E86" t="s">
        <v>3450</v>
      </c>
      <c r="F86" s="3">
        <v>101000.8338914304</v>
      </c>
    </row>
    <row r="87" spans="1:6" x14ac:dyDescent="0.3">
      <c r="A87" s="2">
        <v>44805</v>
      </c>
      <c r="B87">
        <v>2022</v>
      </c>
      <c r="C87">
        <v>9</v>
      </c>
      <c r="D87" t="s">
        <v>3451</v>
      </c>
      <c r="E87" t="s">
        <v>3444</v>
      </c>
      <c r="F87" s="3">
        <v>22583.850046643049</v>
      </c>
    </row>
    <row r="88" spans="1:6" x14ac:dyDescent="0.3">
      <c r="A88" s="2">
        <v>44805</v>
      </c>
      <c r="B88">
        <v>2022</v>
      </c>
      <c r="C88">
        <v>9</v>
      </c>
      <c r="D88" t="s">
        <v>3452</v>
      </c>
      <c r="E88" t="s">
        <v>3453</v>
      </c>
      <c r="F88" s="3">
        <v>15880.04115604757</v>
      </c>
    </row>
    <row r="89" spans="1:6" x14ac:dyDescent="0.3">
      <c r="A89" s="2">
        <v>44805</v>
      </c>
      <c r="B89">
        <v>2022</v>
      </c>
      <c r="C89">
        <v>9</v>
      </c>
      <c r="D89" t="s">
        <v>3454</v>
      </c>
      <c r="E89" t="s">
        <v>3453</v>
      </c>
      <c r="F89" s="3">
        <v>21158.983096676569</v>
      </c>
    </row>
    <row r="90" spans="1:6" x14ac:dyDescent="0.3">
      <c r="A90" s="2">
        <v>44805</v>
      </c>
      <c r="B90">
        <v>2022</v>
      </c>
      <c r="C90">
        <v>9</v>
      </c>
      <c r="D90" t="s">
        <v>3455</v>
      </c>
      <c r="E90" t="s">
        <v>3453</v>
      </c>
      <c r="F90" s="3">
        <v>26330.27250327326</v>
      </c>
    </row>
    <row r="91" spans="1:6" x14ac:dyDescent="0.3">
      <c r="A91" s="2">
        <v>44805</v>
      </c>
      <c r="B91">
        <v>2022</v>
      </c>
      <c r="C91">
        <v>9</v>
      </c>
      <c r="D91" t="s">
        <v>3456</v>
      </c>
      <c r="E91" t="s">
        <v>3450</v>
      </c>
      <c r="F91" s="3">
        <v>18034.723285240081</v>
      </c>
    </row>
    <row r="92" spans="1:6" x14ac:dyDescent="0.3">
      <c r="A92" s="2">
        <v>44835</v>
      </c>
      <c r="B92">
        <v>2022</v>
      </c>
      <c r="C92">
        <v>10</v>
      </c>
      <c r="D92" t="s">
        <v>3441</v>
      </c>
      <c r="E92" t="s">
        <v>3442</v>
      </c>
      <c r="F92" s="3">
        <v>280910.63168839639</v>
      </c>
    </row>
    <row r="93" spans="1:6" x14ac:dyDescent="0.3">
      <c r="A93" s="2">
        <v>44835</v>
      </c>
      <c r="B93">
        <v>2022</v>
      </c>
      <c r="C93">
        <v>10</v>
      </c>
      <c r="D93" t="s">
        <v>3443</v>
      </c>
      <c r="E93" t="s">
        <v>3444</v>
      </c>
      <c r="F93" s="3">
        <v>85270.293964770099</v>
      </c>
    </row>
    <row r="94" spans="1:6" x14ac:dyDescent="0.3">
      <c r="A94" s="2">
        <v>44835</v>
      </c>
      <c r="B94">
        <v>2022</v>
      </c>
      <c r="C94">
        <v>10</v>
      </c>
      <c r="D94" t="s">
        <v>3445</v>
      </c>
      <c r="E94" t="s">
        <v>3446</v>
      </c>
      <c r="F94" s="3">
        <v>113739.3986780453</v>
      </c>
    </row>
    <row r="95" spans="1:6" x14ac:dyDescent="0.3">
      <c r="A95" s="2">
        <v>44835</v>
      </c>
      <c r="B95">
        <v>2022</v>
      </c>
      <c r="C95">
        <v>10</v>
      </c>
      <c r="D95" t="s">
        <v>3447</v>
      </c>
      <c r="E95" t="s">
        <v>3448</v>
      </c>
      <c r="F95" s="3">
        <v>39452.560655055429</v>
      </c>
    </row>
    <row r="96" spans="1:6" x14ac:dyDescent="0.3">
      <c r="A96" s="2">
        <v>44835</v>
      </c>
      <c r="B96">
        <v>2022</v>
      </c>
      <c r="C96">
        <v>10</v>
      </c>
      <c r="D96" t="s">
        <v>3449</v>
      </c>
      <c r="E96" t="s">
        <v>3450</v>
      </c>
      <c r="F96" s="3">
        <v>110105.5660177691</v>
      </c>
    </row>
    <row r="97" spans="1:6" x14ac:dyDescent="0.3">
      <c r="A97" s="2">
        <v>44835</v>
      </c>
      <c r="B97">
        <v>2022</v>
      </c>
      <c r="C97">
        <v>10</v>
      </c>
      <c r="D97" t="s">
        <v>3451</v>
      </c>
      <c r="E97" t="s">
        <v>3444</v>
      </c>
      <c r="F97" s="3">
        <v>25725.874466717349</v>
      </c>
    </row>
    <row r="98" spans="1:6" x14ac:dyDescent="0.3">
      <c r="A98" s="2">
        <v>44835</v>
      </c>
      <c r="B98">
        <v>2022</v>
      </c>
      <c r="C98">
        <v>10</v>
      </c>
      <c r="D98" t="s">
        <v>3452</v>
      </c>
      <c r="E98" t="s">
        <v>3453</v>
      </c>
      <c r="F98" s="3">
        <v>16974.814226750259</v>
      </c>
    </row>
    <row r="99" spans="1:6" x14ac:dyDescent="0.3">
      <c r="A99" s="2">
        <v>44835</v>
      </c>
      <c r="B99">
        <v>2022</v>
      </c>
      <c r="C99">
        <v>10</v>
      </c>
      <c r="D99" t="s">
        <v>3454</v>
      </c>
      <c r="E99" t="s">
        <v>3453</v>
      </c>
      <c r="F99" s="3">
        <v>22497.786396398209</v>
      </c>
    </row>
    <row r="100" spans="1:6" x14ac:dyDescent="0.3">
      <c r="A100" s="2">
        <v>44835</v>
      </c>
      <c r="B100">
        <v>2022</v>
      </c>
      <c r="C100">
        <v>10</v>
      </c>
      <c r="D100" t="s">
        <v>3455</v>
      </c>
      <c r="E100" t="s">
        <v>3453</v>
      </c>
      <c r="F100" s="3">
        <v>28370.145273812901</v>
      </c>
    </row>
    <row r="101" spans="1:6" x14ac:dyDescent="0.3">
      <c r="A101" s="2">
        <v>44835</v>
      </c>
      <c r="B101">
        <v>2022</v>
      </c>
      <c r="C101">
        <v>10</v>
      </c>
      <c r="D101" t="s">
        <v>3456</v>
      </c>
      <c r="E101" t="s">
        <v>3450</v>
      </c>
      <c r="F101" s="3">
        <v>20787.74846316018</v>
      </c>
    </row>
    <row r="102" spans="1:6" x14ac:dyDescent="0.3">
      <c r="A102" s="2">
        <v>44866</v>
      </c>
      <c r="B102">
        <v>2022</v>
      </c>
      <c r="C102">
        <v>11</v>
      </c>
      <c r="D102" t="s">
        <v>3441</v>
      </c>
      <c r="E102" t="s">
        <v>3442</v>
      </c>
      <c r="F102" s="3">
        <v>354471.0258995872</v>
      </c>
    </row>
    <row r="103" spans="1:6" x14ac:dyDescent="0.3">
      <c r="A103" s="2">
        <v>44866</v>
      </c>
      <c r="B103">
        <v>2022</v>
      </c>
      <c r="C103">
        <v>11</v>
      </c>
      <c r="D103" t="s">
        <v>3443</v>
      </c>
      <c r="E103" t="s">
        <v>3444</v>
      </c>
      <c r="F103" s="3">
        <v>101653.5324709288</v>
      </c>
    </row>
    <row r="104" spans="1:6" x14ac:dyDescent="0.3">
      <c r="A104" s="2">
        <v>44866</v>
      </c>
      <c r="B104">
        <v>2022</v>
      </c>
      <c r="C104">
        <v>11</v>
      </c>
      <c r="D104" t="s">
        <v>3445</v>
      </c>
      <c r="E104" t="s">
        <v>3446</v>
      </c>
      <c r="F104" s="3">
        <v>160170.7975875804</v>
      </c>
    </row>
    <row r="105" spans="1:6" x14ac:dyDescent="0.3">
      <c r="A105" s="2">
        <v>44866</v>
      </c>
      <c r="B105">
        <v>2022</v>
      </c>
      <c r="C105">
        <v>11</v>
      </c>
      <c r="D105" t="s">
        <v>3447</v>
      </c>
      <c r="E105" t="s">
        <v>3448</v>
      </c>
      <c r="F105" s="3">
        <v>48464.250138538773</v>
      </c>
    </row>
    <row r="106" spans="1:6" x14ac:dyDescent="0.3">
      <c r="A106" s="2">
        <v>44866</v>
      </c>
      <c r="B106">
        <v>2022</v>
      </c>
      <c r="C106">
        <v>11</v>
      </c>
      <c r="D106" t="s">
        <v>3449</v>
      </c>
      <c r="E106" t="s">
        <v>3450</v>
      </c>
      <c r="F106" s="3">
        <v>147759.5779476309</v>
      </c>
    </row>
    <row r="107" spans="1:6" x14ac:dyDescent="0.3">
      <c r="A107" s="2">
        <v>44866</v>
      </c>
      <c r="B107">
        <v>2022</v>
      </c>
      <c r="C107">
        <v>11</v>
      </c>
      <c r="D107" t="s">
        <v>3451</v>
      </c>
      <c r="E107" t="s">
        <v>3444</v>
      </c>
      <c r="F107" s="3">
        <v>28542.246738827569</v>
      </c>
    </row>
    <row r="108" spans="1:6" x14ac:dyDescent="0.3">
      <c r="A108" s="2">
        <v>44866</v>
      </c>
      <c r="B108">
        <v>2022</v>
      </c>
      <c r="C108">
        <v>11</v>
      </c>
      <c r="D108" t="s">
        <v>3452</v>
      </c>
      <c r="E108" t="s">
        <v>3453</v>
      </c>
      <c r="F108" s="3">
        <v>21121.88250749321</v>
      </c>
    </row>
    <row r="109" spans="1:6" x14ac:dyDescent="0.3">
      <c r="A109" s="2">
        <v>44866</v>
      </c>
      <c r="B109">
        <v>2022</v>
      </c>
      <c r="C109">
        <v>11</v>
      </c>
      <c r="D109" t="s">
        <v>3454</v>
      </c>
      <c r="E109" t="s">
        <v>3453</v>
      </c>
      <c r="F109" s="3">
        <v>28447.235792996911</v>
      </c>
    </row>
    <row r="110" spans="1:6" x14ac:dyDescent="0.3">
      <c r="A110" s="2">
        <v>44866</v>
      </c>
      <c r="B110">
        <v>2022</v>
      </c>
      <c r="C110">
        <v>11</v>
      </c>
      <c r="D110" t="s">
        <v>3455</v>
      </c>
      <c r="E110" t="s">
        <v>3453</v>
      </c>
      <c r="F110" s="3">
        <v>33425.182401038233</v>
      </c>
    </row>
    <row r="111" spans="1:6" x14ac:dyDescent="0.3">
      <c r="A111" s="2">
        <v>44866</v>
      </c>
      <c r="B111">
        <v>2022</v>
      </c>
      <c r="C111">
        <v>11</v>
      </c>
      <c r="D111" t="s">
        <v>3456</v>
      </c>
      <c r="E111" t="s">
        <v>3450</v>
      </c>
      <c r="F111" s="3">
        <v>23444.416127436991</v>
      </c>
    </row>
    <row r="112" spans="1:6" x14ac:dyDescent="0.3">
      <c r="A112" s="2">
        <v>44896</v>
      </c>
      <c r="B112">
        <v>2022</v>
      </c>
      <c r="C112">
        <v>12</v>
      </c>
      <c r="D112" t="s">
        <v>3441</v>
      </c>
      <c r="E112" t="s">
        <v>3442</v>
      </c>
      <c r="F112" s="3">
        <v>361703.97732903343</v>
      </c>
    </row>
    <row r="113" spans="1:6" x14ac:dyDescent="0.3">
      <c r="A113" s="2">
        <v>44896</v>
      </c>
      <c r="B113">
        <v>2022</v>
      </c>
      <c r="C113">
        <v>12</v>
      </c>
      <c r="D113" t="s">
        <v>3443</v>
      </c>
      <c r="E113" t="s">
        <v>3444</v>
      </c>
      <c r="F113" s="3">
        <v>102545.0632131279</v>
      </c>
    </row>
    <row r="114" spans="1:6" x14ac:dyDescent="0.3">
      <c r="A114" s="2">
        <v>44896</v>
      </c>
      <c r="B114">
        <v>2022</v>
      </c>
      <c r="C114">
        <v>12</v>
      </c>
      <c r="D114" t="s">
        <v>3445</v>
      </c>
      <c r="E114" t="s">
        <v>3446</v>
      </c>
      <c r="F114" s="3">
        <v>165366.19932712341</v>
      </c>
    </row>
    <row r="115" spans="1:6" x14ac:dyDescent="0.3">
      <c r="A115" s="2">
        <v>44896</v>
      </c>
      <c r="B115">
        <v>2022</v>
      </c>
      <c r="C115">
        <v>12</v>
      </c>
      <c r="D115" t="s">
        <v>3447</v>
      </c>
      <c r="E115" t="s">
        <v>3448</v>
      </c>
      <c r="F115" s="3">
        <v>46402.6340971479</v>
      </c>
    </row>
    <row r="116" spans="1:6" x14ac:dyDescent="0.3">
      <c r="A116" s="2">
        <v>44896</v>
      </c>
      <c r="B116">
        <v>2022</v>
      </c>
      <c r="C116">
        <v>12</v>
      </c>
      <c r="D116" t="s">
        <v>3449</v>
      </c>
      <c r="E116" t="s">
        <v>3450</v>
      </c>
      <c r="F116" s="3">
        <v>144135.61439078811</v>
      </c>
    </row>
    <row r="117" spans="1:6" x14ac:dyDescent="0.3">
      <c r="A117" s="2">
        <v>44896</v>
      </c>
      <c r="B117">
        <v>2022</v>
      </c>
      <c r="C117">
        <v>12</v>
      </c>
      <c r="D117" t="s">
        <v>3451</v>
      </c>
      <c r="E117" t="s">
        <v>3444</v>
      </c>
      <c r="F117" s="3">
        <v>32562.736002926849</v>
      </c>
    </row>
    <row r="118" spans="1:6" x14ac:dyDescent="0.3">
      <c r="A118" s="2">
        <v>44896</v>
      </c>
      <c r="B118">
        <v>2022</v>
      </c>
      <c r="C118">
        <v>12</v>
      </c>
      <c r="D118" t="s">
        <v>3452</v>
      </c>
      <c r="E118" t="s">
        <v>3453</v>
      </c>
      <c r="F118" s="3">
        <v>20419.012147917609</v>
      </c>
    </row>
    <row r="119" spans="1:6" x14ac:dyDescent="0.3">
      <c r="A119" s="2">
        <v>44896</v>
      </c>
      <c r="B119">
        <v>2022</v>
      </c>
      <c r="C119">
        <v>12</v>
      </c>
      <c r="D119" t="s">
        <v>3454</v>
      </c>
      <c r="E119" t="s">
        <v>3453</v>
      </c>
      <c r="F119" s="3">
        <v>28738.561431586491</v>
      </c>
    </row>
    <row r="120" spans="1:6" x14ac:dyDescent="0.3">
      <c r="A120" s="2">
        <v>44896</v>
      </c>
      <c r="B120">
        <v>2022</v>
      </c>
      <c r="C120">
        <v>12</v>
      </c>
      <c r="D120" t="s">
        <v>3455</v>
      </c>
      <c r="E120" t="s">
        <v>3453</v>
      </c>
      <c r="F120" s="3">
        <v>35149.671543010278</v>
      </c>
    </row>
    <row r="121" spans="1:6" x14ac:dyDescent="0.3">
      <c r="A121" s="2">
        <v>44896</v>
      </c>
      <c r="B121">
        <v>2022</v>
      </c>
      <c r="C121">
        <v>12</v>
      </c>
      <c r="D121" t="s">
        <v>3456</v>
      </c>
      <c r="E121" t="s">
        <v>3450</v>
      </c>
      <c r="F121" s="3">
        <v>23285.003399529589</v>
      </c>
    </row>
    <row r="122" spans="1:6" x14ac:dyDescent="0.3">
      <c r="A122" s="2">
        <v>44927</v>
      </c>
      <c r="B122">
        <v>2023</v>
      </c>
      <c r="C122">
        <v>1</v>
      </c>
      <c r="D122" t="s">
        <v>3441</v>
      </c>
      <c r="E122" t="s">
        <v>3442</v>
      </c>
      <c r="F122" s="3">
        <v>272077.66193782078</v>
      </c>
    </row>
    <row r="123" spans="1:6" x14ac:dyDescent="0.3">
      <c r="A123" s="2">
        <v>44927</v>
      </c>
      <c r="B123">
        <v>2023</v>
      </c>
      <c r="C123">
        <v>1</v>
      </c>
      <c r="D123" t="s">
        <v>3443</v>
      </c>
      <c r="E123" t="s">
        <v>3444</v>
      </c>
      <c r="F123" s="3">
        <v>76295.972339846252</v>
      </c>
    </row>
    <row r="124" spans="1:6" x14ac:dyDescent="0.3">
      <c r="A124" s="2">
        <v>44927</v>
      </c>
      <c r="B124">
        <v>2023</v>
      </c>
      <c r="C124">
        <v>1</v>
      </c>
      <c r="D124" t="s">
        <v>3445</v>
      </c>
      <c r="E124" t="s">
        <v>3446</v>
      </c>
      <c r="F124" s="3">
        <v>100866.3364646304</v>
      </c>
    </row>
    <row r="125" spans="1:6" x14ac:dyDescent="0.3">
      <c r="A125" s="2">
        <v>44927</v>
      </c>
      <c r="B125">
        <v>2023</v>
      </c>
      <c r="C125">
        <v>1</v>
      </c>
      <c r="D125" t="s">
        <v>3447</v>
      </c>
      <c r="E125" t="s">
        <v>3448</v>
      </c>
      <c r="F125" s="3">
        <v>35928.518516795863</v>
      </c>
    </row>
    <row r="126" spans="1:6" x14ac:dyDescent="0.3">
      <c r="A126" s="2">
        <v>44927</v>
      </c>
      <c r="B126">
        <v>2023</v>
      </c>
      <c r="C126">
        <v>1</v>
      </c>
      <c r="D126" t="s">
        <v>3449</v>
      </c>
      <c r="E126" t="s">
        <v>3450</v>
      </c>
      <c r="F126" s="3">
        <v>98076.808872232243</v>
      </c>
    </row>
    <row r="127" spans="1:6" x14ac:dyDescent="0.3">
      <c r="A127" s="2">
        <v>44927</v>
      </c>
      <c r="B127">
        <v>2023</v>
      </c>
      <c r="C127">
        <v>1</v>
      </c>
      <c r="D127" t="s">
        <v>3451</v>
      </c>
      <c r="E127" t="s">
        <v>3444</v>
      </c>
      <c r="F127" s="3">
        <v>23362.41455486801</v>
      </c>
    </row>
    <row r="128" spans="1:6" x14ac:dyDescent="0.3">
      <c r="A128" s="2">
        <v>44927</v>
      </c>
      <c r="B128">
        <v>2023</v>
      </c>
      <c r="C128">
        <v>1</v>
      </c>
      <c r="D128" t="s">
        <v>3452</v>
      </c>
      <c r="E128" t="s">
        <v>3453</v>
      </c>
      <c r="F128" s="3">
        <v>15755.02047016653</v>
      </c>
    </row>
    <row r="129" spans="1:6" x14ac:dyDescent="0.3">
      <c r="A129" s="2">
        <v>44927</v>
      </c>
      <c r="B129">
        <v>2023</v>
      </c>
      <c r="C129">
        <v>1</v>
      </c>
      <c r="D129" t="s">
        <v>3454</v>
      </c>
      <c r="E129" t="s">
        <v>3453</v>
      </c>
      <c r="F129" s="3">
        <v>20613.8261320948</v>
      </c>
    </row>
    <row r="130" spans="1:6" x14ac:dyDescent="0.3">
      <c r="A130" s="2">
        <v>44927</v>
      </c>
      <c r="B130">
        <v>2023</v>
      </c>
      <c r="C130">
        <v>1</v>
      </c>
      <c r="D130" t="s">
        <v>3455</v>
      </c>
      <c r="E130" t="s">
        <v>3453</v>
      </c>
      <c r="F130" s="3">
        <v>24629.816043567622</v>
      </c>
    </row>
    <row r="131" spans="1:6" x14ac:dyDescent="0.3">
      <c r="A131" s="2">
        <v>44927</v>
      </c>
      <c r="B131">
        <v>2023</v>
      </c>
      <c r="C131">
        <v>1</v>
      </c>
      <c r="D131" t="s">
        <v>3456</v>
      </c>
      <c r="E131" t="s">
        <v>3450</v>
      </c>
      <c r="F131" s="3">
        <v>17643.494535084948</v>
      </c>
    </row>
    <row r="132" spans="1:6" x14ac:dyDescent="0.3">
      <c r="A132" s="2">
        <v>44958</v>
      </c>
      <c r="B132">
        <v>2023</v>
      </c>
      <c r="C132">
        <v>2</v>
      </c>
      <c r="D132" t="s">
        <v>3441</v>
      </c>
      <c r="E132" t="s">
        <v>3442</v>
      </c>
      <c r="F132" s="3">
        <v>265535.62317960378</v>
      </c>
    </row>
    <row r="133" spans="1:6" x14ac:dyDescent="0.3">
      <c r="A133" s="2">
        <v>44958</v>
      </c>
      <c r="B133">
        <v>2023</v>
      </c>
      <c r="C133">
        <v>2</v>
      </c>
      <c r="D133" t="s">
        <v>3443</v>
      </c>
      <c r="E133" t="s">
        <v>3444</v>
      </c>
      <c r="F133" s="3">
        <v>71947.804170532501</v>
      </c>
    </row>
    <row r="134" spans="1:6" x14ac:dyDescent="0.3">
      <c r="A134" s="2">
        <v>44958</v>
      </c>
      <c r="B134">
        <v>2023</v>
      </c>
      <c r="C134">
        <v>2</v>
      </c>
      <c r="D134" t="s">
        <v>3445</v>
      </c>
      <c r="E134" t="s">
        <v>3446</v>
      </c>
      <c r="F134" s="3">
        <v>99804.879281577683</v>
      </c>
    </row>
    <row r="135" spans="1:6" x14ac:dyDescent="0.3">
      <c r="A135" s="2">
        <v>44958</v>
      </c>
      <c r="B135">
        <v>2023</v>
      </c>
      <c r="C135">
        <v>2</v>
      </c>
      <c r="D135" t="s">
        <v>3447</v>
      </c>
      <c r="E135" t="s">
        <v>3448</v>
      </c>
      <c r="F135" s="3">
        <v>34128.806444571543</v>
      </c>
    </row>
    <row r="136" spans="1:6" x14ac:dyDescent="0.3">
      <c r="A136" s="2">
        <v>44958</v>
      </c>
      <c r="B136">
        <v>2023</v>
      </c>
      <c r="C136">
        <v>2</v>
      </c>
      <c r="D136" t="s">
        <v>3449</v>
      </c>
      <c r="E136" t="s">
        <v>3450</v>
      </c>
      <c r="F136" s="3">
        <v>90053.716524527117</v>
      </c>
    </row>
    <row r="137" spans="1:6" x14ac:dyDescent="0.3">
      <c r="A137" s="2">
        <v>44958</v>
      </c>
      <c r="B137">
        <v>2023</v>
      </c>
      <c r="C137">
        <v>2</v>
      </c>
      <c r="D137" t="s">
        <v>3451</v>
      </c>
      <c r="E137" t="s">
        <v>3444</v>
      </c>
      <c r="F137" s="3">
        <v>21360.102985849418</v>
      </c>
    </row>
    <row r="138" spans="1:6" x14ac:dyDescent="0.3">
      <c r="A138" s="2">
        <v>44958</v>
      </c>
      <c r="B138">
        <v>2023</v>
      </c>
      <c r="C138">
        <v>2</v>
      </c>
      <c r="D138" t="s">
        <v>3452</v>
      </c>
      <c r="E138" t="s">
        <v>3453</v>
      </c>
      <c r="F138" s="3">
        <v>14120.644547835091</v>
      </c>
    </row>
    <row r="139" spans="1:6" x14ac:dyDescent="0.3">
      <c r="A139" s="2">
        <v>44958</v>
      </c>
      <c r="B139">
        <v>2023</v>
      </c>
      <c r="C139">
        <v>2</v>
      </c>
      <c r="D139" t="s">
        <v>3454</v>
      </c>
      <c r="E139" t="s">
        <v>3453</v>
      </c>
      <c r="F139" s="3">
        <v>18026.046859138169</v>
      </c>
    </row>
    <row r="140" spans="1:6" x14ac:dyDescent="0.3">
      <c r="A140" s="2">
        <v>44958</v>
      </c>
      <c r="B140">
        <v>2023</v>
      </c>
      <c r="C140">
        <v>2</v>
      </c>
      <c r="D140" t="s">
        <v>3455</v>
      </c>
      <c r="E140" t="s">
        <v>3453</v>
      </c>
      <c r="F140" s="3">
        <v>23566.577523246218</v>
      </c>
    </row>
    <row r="141" spans="1:6" x14ac:dyDescent="0.3">
      <c r="A141" s="2">
        <v>44958</v>
      </c>
      <c r="B141">
        <v>2023</v>
      </c>
      <c r="C141">
        <v>2</v>
      </c>
      <c r="D141" t="s">
        <v>3456</v>
      </c>
      <c r="E141" t="s">
        <v>3450</v>
      </c>
      <c r="F141" s="3">
        <v>16988.23996459493</v>
      </c>
    </row>
    <row r="142" spans="1:6" x14ac:dyDescent="0.3">
      <c r="A142" s="2">
        <v>44986</v>
      </c>
      <c r="B142">
        <v>2023</v>
      </c>
      <c r="C142">
        <v>3</v>
      </c>
      <c r="D142" t="s">
        <v>3441</v>
      </c>
      <c r="E142" t="s">
        <v>3442</v>
      </c>
      <c r="F142" s="3">
        <v>287386.12039567059</v>
      </c>
    </row>
    <row r="143" spans="1:6" x14ac:dyDescent="0.3">
      <c r="A143" s="2">
        <v>44986</v>
      </c>
      <c r="B143">
        <v>2023</v>
      </c>
      <c r="C143">
        <v>3</v>
      </c>
      <c r="D143" t="s">
        <v>3443</v>
      </c>
      <c r="E143" t="s">
        <v>3444</v>
      </c>
      <c r="F143" s="3">
        <v>84218.479138522947</v>
      </c>
    </row>
    <row r="144" spans="1:6" x14ac:dyDescent="0.3">
      <c r="A144" s="2">
        <v>44986</v>
      </c>
      <c r="B144">
        <v>2023</v>
      </c>
      <c r="C144">
        <v>3</v>
      </c>
      <c r="D144" t="s">
        <v>3445</v>
      </c>
      <c r="E144" t="s">
        <v>3446</v>
      </c>
      <c r="F144" s="3">
        <v>113512.9126557812</v>
      </c>
    </row>
    <row r="145" spans="1:6" x14ac:dyDescent="0.3">
      <c r="A145" s="2">
        <v>44986</v>
      </c>
      <c r="B145">
        <v>2023</v>
      </c>
      <c r="C145">
        <v>3</v>
      </c>
      <c r="D145" t="s">
        <v>3447</v>
      </c>
      <c r="E145" t="s">
        <v>3448</v>
      </c>
      <c r="F145" s="3">
        <v>38016.624829811633</v>
      </c>
    </row>
    <row r="146" spans="1:6" x14ac:dyDescent="0.3">
      <c r="A146" s="2">
        <v>44986</v>
      </c>
      <c r="B146">
        <v>2023</v>
      </c>
      <c r="C146">
        <v>3</v>
      </c>
      <c r="D146" t="s">
        <v>3449</v>
      </c>
      <c r="E146" t="s">
        <v>3450</v>
      </c>
      <c r="F146" s="3">
        <v>104397.9758006991</v>
      </c>
    </row>
    <row r="147" spans="1:6" x14ac:dyDescent="0.3">
      <c r="A147" s="2">
        <v>44986</v>
      </c>
      <c r="B147">
        <v>2023</v>
      </c>
      <c r="C147">
        <v>3</v>
      </c>
      <c r="D147" t="s">
        <v>3451</v>
      </c>
      <c r="E147" t="s">
        <v>3444</v>
      </c>
      <c r="F147" s="3">
        <v>24371.592790812581</v>
      </c>
    </row>
    <row r="148" spans="1:6" x14ac:dyDescent="0.3">
      <c r="A148" s="2">
        <v>44986</v>
      </c>
      <c r="B148">
        <v>2023</v>
      </c>
      <c r="C148">
        <v>3</v>
      </c>
      <c r="D148" t="s">
        <v>3452</v>
      </c>
      <c r="E148" t="s">
        <v>3453</v>
      </c>
      <c r="F148" s="3">
        <v>16329.315381625511</v>
      </c>
    </row>
    <row r="149" spans="1:6" x14ac:dyDescent="0.3">
      <c r="A149" s="2">
        <v>44986</v>
      </c>
      <c r="B149">
        <v>2023</v>
      </c>
      <c r="C149">
        <v>3</v>
      </c>
      <c r="D149" t="s">
        <v>3454</v>
      </c>
      <c r="E149" t="s">
        <v>3453</v>
      </c>
      <c r="F149" s="3">
        <v>21513.76026062798</v>
      </c>
    </row>
    <row r="150" spans="1:6" x14ac:dyDescent="0.3">
      <c r="A150" s="2">
        <v>44986</v>
      </c>
      <c r="B150">
        <v>2023</v>
      </c>
      <c r="C150">
        <v>3</v>
      </c>
      <c r="D150" t="s">
        <v>3455</v>
      </c>
      <c r="E150" t="s">
        <v>3453</v>
      </c>
      <c r="F150" s="3">
        <v>27161.145166278609</v>
      </c>
    </row>
    <row r="151" spans="1:6" x14ac:dyDescent="0.3">
      <c r="A151" s="2">
        <v>44986</v>
      </c>
      <c r="B151">
        <v>2023</v>
      </c>
      <c r="C151">
        <v>3</v>
      </c>
      <c r="D151" t="s">
        <v>3456</v>
      </c>
      <c r="E151" t="s">
        <v>3450</v>
      </c>
      <c r="F151" s="3">
        <v>20140.893256542709</v>
      </c>
    </row>
    <row r="152" spans="1:6" x14ac:dyDescent="0.3">
      <c r="A152" s="2">
        <v>45017</v>
      </c>
      <c r="B152">
        <v>2023</v>
      </c>
      <c r="C152">
        <v>4</v>
      </c>
      <c r="D152" t="s">
        <v>3441</v>
      </c>
      <c r="E152" t="s">
        <v>3442</v>
      </c>
      <c r="F152" s="3">
        <v>304198.73602342448</v>
      </c>
    </row>
    <row r="153" spans="1:6" x14ac:dyDescent="0.3">
      <c r="A153" s="2">
        <v>45017</v>
      </c>
      <c r="B153">
        <v>2023</v>
      </c>
      <c r="C153">
        <v>4</v>
      </c>
      <c r="D153" t="s">
        <v>3443</v>
      </c>
      <c r="E153" t="s">
        <v>3444</v>
      </c>
      <c r="F153" s="3">
        <v>89230.92275549208</v>
      </c>
    </row>
    <row r="154" spans="1:6" x14ac:dyDescent="0.3">
      <c r="A154" s="2">
        <v>45017</v>
      </c>
      <c r="B154">
        <v>2023</v>
      </c>
      <c r="C154">
        <v>4</v>
      </c>
      <c r="D154" t="s">
        <v>3445</v>
      </c>
      <c r="E154" t="s">
        <v>3446</v>
      </c>
      <c r="F154" s="3">
        <v>117108.61231867981</v>
      </c>
    </row>
    <row r="155" spans="1:6" x14ac:dyDescent="0.3">
      <c r="A155" s="2">
        <v>45017</v>
      </c>
      <c r="B155">
        <v>2023</v>
      </c>
      <c r="C155">
        <v>4</v>
      </c>
      <c r="D155" t="s">
        <v>3447</v>
      </c>
      <c r="E155" t="s">
        <v>3448</v>
      </c>
      <c r="F155" s="3">
        <v>42733.228796636802</v>
      </c>
    </row>
    <row r="156" spans="1:6" x14ac:dyDescent="0.3">
      <c r="A156" s="2">
        <v>45017</v>
      </c>
      <c r="B156">
        <v>2023</v>
      </c>
      <c r="C156">
        <v>4</v>
      </c>
      <c r="D156" t="s">
        <v>3449</v>
      </c>
      <c r="E156" t="s">
        <v>3450</v>
      </c>
      <c r="F156" s="3">
        <v>116362.837003835</v>
      </c>
    </row>
    <row r="157" spans="1:6" x14ac:dyDescent="0.3">
      <c r="A157" s="2">
        <v>45017</v>
      </c>
      <c r="B157">
        <v>2023</v>
      </c>
      <c r="C157">
        <v>4</v>
      </c>
      <c r="D157" t="s">
        <v>3451</v>
      </c>
      <c r="E157" t="s">
        <v>3444</v>
      </c>
      <c r="F157" s="3">
        <v>27261.353802574209</v>
      </c>
    </row>
    <row r="158" spans="1:6" x14ac:dyDescent="0.3">
      <c r="A158" s="2">
        <v>45017</v>
      </c>
      <c r="B158">
        <v>2023</v>
      </c>
      <c r="C158">
        <v>4</v>
      </c>
      <c r="D158" t="s">
        <v>3452</v>
      </c>
      <c r="E158" t="s">
        <v>3453</v>
      </c>
      <c r="F158" s="3">
        <v>17926.094895369999</v>
      </c>
    </row>
    <row r="159" spans="1:6" x14ac:dyDescent="0.3">
      <c r="A159" s="2">
        <v>45017</v>
      </c>
      <c r="B159">
        <v>2023</v>
      </c>
      <c r="C159">
        <v>4</v>
      </c>
      <c r="D159" t="s">
        <v>3454</v>
      </c>
      <c r="E159" t="s">
        <v>3453</v>
      </c>
      <c r="F159" s="3">
        <v>23582.904803789341</v>
      </c>
    </row>
    <row r="160" spans="1:6" x14ac:dyDescent="0.3">
      <c r="A160" s="2">
        <v>45017</v>
      </c>
      <c r="B160">
        <v>2023</v>
      </c>
      <c r="C160">
        <v>4</v>
      </c>
      <c r="D160" t="s">
        <v>3455</v>
      </c>
      <c r="E160" t="s">
        <v>3453</v>
      </c>
      <c r="F160" s="3">
        <v>28766.429084036441</v>
      </c>
    </row>
    <row r="161" spans="1:6" x14ac:dyDescent="0.3">
      <c r="A161" s="2">
        <v>45017</v>
      </c>
      <c r="B161">
        <v>2023</v>
      </c>
      <c r="C161">
        <v>4</v>
      </c>
      <c r="D161" t="s">
        <v>3456</v>
      </c>
      <c r="E161" t="s">
        <v>3450</v>
      </c>
      <c r="F161" s="3">
        <v>21763.3775898044</v>
      </c>
    </row>
    <row r="162" spans="1:6" x14ac:dyDescent="0.3">
      <c r="A162" s="2">
        <v>45047</v>
      </c>
      <c r="B162">
        <v>2023</v>
      </c>
      <c r="C162">
        <v>5</v>
      </c>
      <c r="D162" t="s">
        <v>3441</v>
      </c>
      <c r="E162" t="s">
        <v>3442</v>
      </c>
      <c r="F162" s="3">
        <v>328680.32701735321</v>
      </c>
    </row>
    <row r="163" spans="1:6" x14ac:dyDescent="0.3">
      <c r="A163" s="2">
        <v>45047</v>
      </c>
      <c r="B163">
        <v>2023</v>
      </c>
      <c r="C163">
        <v>5</v>
      </c>
      <c r="D163" t="s">
        <v>3443</v>
      </c>
      <c r="E163" t="s">
        <v>3444</v>
      </c>
      <c r="F163" s="3">
        <v>97314.90613220651</v>
      </c>
    </row>
    <row r="164" spans="1:6" x14ac:dyDescent="0.3">
      <c r="A164" s="2">
        <v>45047</v>
      </c>
      <c r="B164">
        <v>2023</v>
      </c>
      <c r="C164">
        <v>5</v>
      </c>
      <c r="D164" t="s">
        <v>3445</v>
      </c>
      <c r="E164" t="s">
        <v>3446</v>
      </c>
      <c r="F164" s="3">
        <v>131016.542734633</v>
      </c>
    </row>
    <row r="165" spans="1:6" x14ac:dyDescent="0.3">
      <c r="A165" s="2">
        <v>45047</v>
      </c>
      <c r="B165">
        <v>2023</v>
      </c>
      <c r="C165">
        <v>5</v>
      </c>
      <c r="D165" t="s">
        <v>3447</v>
      </c>
      <c r="E165" t="s">
        <v>3448</v>
      </c>
      <c r="F165" s="3">
        <v>44052.31149492455</v>
      </c>
    </row>
    <row r="166" spans="1:6" x14ac:dyDescent="0.3">
      <c r="A166" s="2">
        <v>45047</v>
      </c>
      <c r="B166">
        <v>2023</v>
      </c>
      <c r="C166">
        <v>5</v>
      </c>
      <c r="D166" t="s">
        <v>3449</v>
      </c>
      <c r="E166" t="s">
        <v>3450</v>
      </c>
      <c r="F166" s="3">
        <v>124400.38087820599</v>
      </c>
    </row>
    <row r="167" spans="1:6" x14ac:dyDescent="0.3">
      <c r="A167" s="2">
        <v>45047</v>
      </c>
      <c r="B167">
        <v>2023</v>
      </c>
      <c r="C167">
        <v>5</v>
      </c>
      <c r="D167" t="s">
        <v>3451</v>
      </c>
      <c r="E167" t="s">
        <v>3444</v>
      </c>
      <c r="F167" s="3">
        <v>29266.67383132234</v>
      </c>
    </row>
    <row r="168" spans="1:6" x14ac:dyDescent="0.3">
      <c r="A168" s="2">
        <v>45047</v>
      </c>
      <c r="B168">
        <v>2023</v>
      </c>
      <c r="C168">
        <v>5</v>
      </c>
      <c r="D168" t="s">
        <v>3452</v>
      </c>
      <c r="E168" t="s">
        <v>3453</v>
      </c>
      <c r="F168" s="3">
        <v>19972.399174795559</v>
      </c>
    </row>
    <row r="169" spans="1:6" x14ac:dyDescent="0.3">
      <c r="A169" s="2">
        <v>45047</v>
      </c>
      <c r="B169">
        <v>2023</v>
      </c>
      <c r="C169">
        <v>5</v>
      </c>
      <c r="D169" t="s">
        <v>3454</v>
      </c>
      <c r="E169" t="s">
        <v>3453</v>
      </c>
      <c r="F169" s="3">
        <v>25227.590627323181</v>
      </c>
    </row>
    <row r="170" spans="1:6" x14ac:dyDescent="0.3">
      <c r="A170" s="2">
        <v>45047</v>
      </c>
      <c r="B170">
        <v>2023</v>
      </c>
      <c r="C170">
        <v>5</v>
      </c>
      <c r="D170" t="s">
        <v>3455</v>
      </c>
      <c r="E170" t="s">
        <v>3453</v>
      </c>
      <c r="F170" s="3">
        <v>30883.13393405926</v>
      </c>
    </row>
    <row r="171" spans="1:6" x14ac:dyDescent="0.3">
      <c r="A171" s="2">
        <v>45047</v>
      </c>
      <c r="B171">
        <v>2023</v>
      </c>
      <c r="C171">
        <v>5</v>
      </c>
      <c r="D171" t="s">
        <v>3456</v>
      </c>
      <c r="E171" t="s">
        <v>3450</v>
      </c>
      <c r="F171" s="3">
        <v>22053.959180723141</v>
      </c>
    </row>
    <row r="172" spans="1:6" x14ac:dyDescent="0.3">
      <c r="A172" s="2">
        <v>45078</v>
      </c>
      <c r="B172">
        <v>2023</v>
      </c>
      <c r="C172">
        <v>6</v>
      </c>
      <c r="D172" t="s">
        <v>3441</v>
      </c>
      <c r="E172" t="s">
        <v>3442</v>
      </c>
      <c r="F172" s="3">
        <v>330490.87414631213</v>
      </c>
    </row>
    <row r="173" spans="1:6" x14ac:dyDescent="0.3">
      <c r="A173" s="2">
        <v>45078</v>
      </c>
      <c r="B173">
        <v>2023</v>
      </c>
      <c r="C173">
        <v>6</v>
      </c>
      <c r="D173" t="s">
        <v>3443</v>
      </c>
      <c r="E173" t="s">
        <v>3444</v>
      </c>
      <c r="F173" s="3">
        <v>94072.201052570381</v>
      </c>
    </row>
    <row r="174" spans="1:6" x14ac:dyDescent="0.3">
      <c r="A174" s="2">
        <v>45078</v>
      </c>
      <c r="B174">
        <v>2023</v>
      </c>
      <c r="C174">
        <v>6</v>
      </c>
      <c r="D174" t="s">
        <v>3445</v>
      </c>
      <c r="E174" t="s">
        <v>3446</v>
      </c>
      <c r="F174" s="3">
        <v>124015.4005740601</v>
      </c>
    </row>
    <row r="175" spans="1:6" x14ac:dyDescent="0.3">
      <c r="A175" s="2">
        <v>45078</v>
      </c>
      <c r="B175">
        <v>2023</v>
      </c>
      <c r="C175">
        <v>6</v>
      </c>
      <c r="D175" t="s">
        <v>3447</v>
      </c>
      <c r="E175" t="s">
        <v>3448</v>
      </c>
      <c r="F175" s="3">
        <v>41744.247910974627</v>
      </c>
    </row>
    <row r="176" spans="1:6" x14ac:dyDescent="0.3">
      <c r="A176" s="2">
        <v>45078</v>
      </c>
      <c r="B176">
        <v>2023</v>
      </c>
      <c r="C176">
        <v>6</v>
      </c>
      <c r="D176" t="s">
        <v>3449</v>
      </c>
      <c r="E176" t="s">
        <v>3450</v>
      </c>
      <c r="F176" s="3">
        <v>120384.4703737268</v>
      </c>
    </row>
    <row r="177" spans="1:6" x14ac:dyDescent="0.3">
      <c r="A177" s="2">
        <v>45078</v>
      </c>
      <c r="B177">
        <v>2023</v>
      </c>
      <c r="C177">
        <v>6</v>
      </c>
      <c r="D177" t="s">
        <v>3451</v>
      </c>
      <c r="E177" t="s">
        <v>3444</v>
      </c>
      <c r="F177" s="3">
        <v>29570.197168189639</v>
      </c>
    </row>
    <row r="178" spans="1:6" x14ac:dyDescent="0.3">
      <c r="A178" s="2">
        <v>45078</v>
      </c>
      <c r="B178">
        <v>2023</v>
      </c>
      <c r="C178">
        <v>6</v>
      </c>
      <c r="D178" t="s">
        <v>3452</v>
      </c>
      <c r="E178" t="s">
        <v>3453</v>
      </c>
      <c r="F178" s="3">
        <v>19005.147353170101</v>
      </c>
    </row>
    <row r="179" spans="1:6" x14ac:dyDescent="0.3">
      <c r="A179" s="2">
        <v>45078</v>
      </c>
      <c r="B179">
        <v>2023</v>
      </c>
      <c r="C179">
        <v>6</v>
      </c>
      <c r="D179" t="s">
        <v>3454</v>
      </c>
      <c r="E179" t="s">
        <v>3453</v>
      </c>
      <c r="F179" s="3">
        <v>25430.928315224839</v>
      </c>
    </row>
    <row r="180" spans="1:6" x14ac:dyDescent="0.3">
      <c r="A180" s="2">
        <v>45078</v>
      </c>
      <c r="B180">
        <v>2023</v>
      </c>
      <c r="C180">
        <v>6</v>
      </c>
      <c r="D180" t="s">
        <v>3455</v>
      </c>
      <c r="E180" t="s">
        <v>3453</v>
      </c>
      <c r="F180" s="3">
        <v>31759.93944977297</v>
      </c>
    </row>
    <row r="181" spans="1:6" x14ac:dyDescent="0.3">
      <c r="A181" s="2">
        <v>45078</v>
      </c>
      <c r="B181">
        <v>2023</v>
      </c>
      <c r="C181">
        <v>6</v>
      </c>
      <c r="D181" t="s">
        <v>3456</v>
      </c>
      <c r="E181" t="s">
        <v>3450</v>
      </c>
      <c r="F181" s="3">
        <v>22135.846694784599</v>
      </c>
    </row>
    <row r="182" spans="1:6" x14ac:dyDescent="0.3">
      <c r="A182" s="2">
        <v>45108</v>
      </c>
      <c r="B182">
        <v>2023</v>
      </c>
      <c r="C182">
        <v>7</v>
      </c>
      <c r="D182" t="s">
        <v>3441</v>
      </c>
      <c r="E182" t="s">
        <v>3442</v>
      </c>
      <c r="F182" s="3">
        <v>331452.47576403822</v>
      </c>
    </row>
    <row r="183" spans="1:6" x14ac:dyDescent="0.3">
      <c r="A183" s="2">
        <v>45108</v>
      </c>
      <c r="B183">
        <v>2023</v>
      </c>
      <c r="C183">
        <v>7</v>
      </c>
      <c r="D183" t="s">
        <v>3443</v>
      </c>
      <c r="E183" t="s">
        <v>3444</v>
      </c>
      <c r="F183" s="3">
        <v>93459.925741183397</v>
      </c>
    </row>
    <row r="184" spans="1:6" x14ac:dyDescent="0.3">
      <c r="A184" s="2">
        <v>45108</v>
      </c>
      <c r="B184">
        <v>2023</v>
      </c>
      <c r="C184">
        <v>7</v>
      </c>
      <c r="D184" t="s">
        <v>3445</v>
      </c>
      <c r="E184" t="s">
        <v>3446</v>
      </c>
      <c r="F184" s="3">
        <v>122429.01126466181</v>
      </c>
    </row>
    <row r="185" spans="1:6" x14ac:dyDescent="0.3">
      <c r="A185" s="2">
        <v>45108</v>
      </c>
      <c r="B185">
        <v>2023</v>
      </c>
      <c r="C185">
        <v>7</v>
      </c>
      <c r="D185" t="s">
        <v>3447</v>
      </c>
      <c r="E185" t="s">
        <v>3448</v>
      </c>
      <c r="F185" s="3">
        <v>42328.325283010447</v>
      </c>
    </row>
    <row r="186" spans="1:6" x14ac:dyDescent="0.3">
      <c r="A186" s="2">
        <v>45108</v>
      </c>
      <c r="B186">
        <v>2023</v>
      </c>
      <c r="C186">
        <v>7</v>
      </c>
      <c r="D186" t="s">
        <v>3449</v>
      </c>
      <c r="E186" t="s">
        <v>3450</v>
      </c>
      <c r="F186" s="3">
        <v>116494.2500479603</v>
      </c>
    </row>
    <row r="187" spans="1:6" x14ac:dyDescent="0.3">
      <c r="A187" s="2">
        <v>45108</v>
      </c>
      <c r="B187">
        <v>2023</v>
      </c>
      <c r="C187">
        <v>7</v>
      </c>
      <c r="D187" t="s">
        <v>3451</v>
      </c>
      <c r="E187" t="s">
        <v>3444</v>
      </c>
      <c r="F187" s="3">
        <v>27981.587041094121</v>
      </c>
    </row>
    <row r="188" spans="1:6" x14ac:dyDescent="0.3">
      <c r="A188" s="2">
        <v>45108</v>
      </c>
      <c r="B188">
        <v>2023</v>
      </c>
      <c r="C188">
        <v>7</v>
      </c>
      <c r="D188" t="s">
        <v>3452</v>
      </c>
      <c r="E188" t="s">
        <v>3453</v>
      </c>
      <c r="F188" s="3">
        <v>18362.77574181791</v>
      </c>
    </row>
    <row r="189" spans="1:6" x14ac:dyDescent="0.3">
      <c r="A189" s="2">
        <v>45108</v>
      </c>
      <c r="B189">
        <v>2023</v>
      </c>
      <c r="C189">
        <v>7</v>
      </c>
      <c r="D189" t="s">
        <v>3454</v>
      </c>
      <c r="E189" t="s">
        <v>3453</v>
      </c>
      <c r="F189" s="3">
        <v>24872.65087576264</v>
      </c>
    </row>
    <row r="190" spans="1:6" x14ac:dyDescent="0.3">
      <c r="A190" s="2">
        <v>45108</v>
      </c>
      <c r="B190">
        <v>2023</v>
      </c>
      <c r="C190">
        <v>7</v>
      </c>
      <c r="D190" t="s">
        <v>3455</v>
      </c>
      <c r="E190" t="s">
        <v>3453</v>
      </c>
      <c r="F190" s="3">
        <v>31187.069410149641</v>
      </c>
    </row>
    <row r="191" spans="1:6" x14ac:dyDescent="0.3">
      <c r="A191" s="2">
        <v>45108</v>
      </c>
      <c r="B191">
        <v>2023</v>
      </c>
      <c r="C191">
        <v>7</v>
      </c>
      <c r="D191" t="s">
        <v>3456</v>
      </c>
      <c r="E191" t="s">
        <v>3450</v>
      </c>
      <c r="F191" s="3">
        <v>22043.664069715502</v>
      </c>
    </row>
    <row r="192" spans="1:6" x14ac:dyDescent="0.3">
      <c r="A192" s="2">
        <v>45139</v>
      </c>
      <c r="B192">
        <v>2023</v>
      </c>
      <c r="C192">
        <v>8</v>
      </c>
      <c r="D192" t="s">
        <v>3441</v>
      </c>
      <c r="E192" t="s">
        <v>3442</v>
      </c>
      <c r="F192" s="3">
        <v>330274.7214956255</v>
      </c>
    </row>
    <row r="193" spans="1:6" x14ac:dyDescent="0.3">
      <c r="A193" s="2">
        <v>45139</v>
      </c>
      <c r="B193">
        <v>2023</v>
      </c>
      <c r="C193">
        <v>8</v>
      </c>
      <c r="D193" t="s">
        <v>3443</v>
      </c>
      <c r="E193" t="s">
        <v>3444</v>
      </c>
      <c r="F193" s="3">
        <v>91610.302951553429</v>
      </c>
    </row>
    <row r="194" spans="1:6" x14ac:dyDescent="0.3">
      <c r="A194" s="2">
        <v>45139</v>
      </c>
      <c r="B194">
        <v>2023</v>
      </c>
      <c r="C194">
        <v>8</v>
      </c>
      <c r="D194" t="s">
        <v>3445</v>
      </c>
      <c r="E194" t="s">
        <v>3446</v>
      </c>
      <c r="F194" s="3">
        <v>117923.5708576902</v>
      </c>
    </row>
    <row r="195" spans="1:6" x14ac:dyDescent="0.3">
      <c r="A195" s="2">
        <v>45139</v>
      </c>
      <c r="B195">
        <v>2023</v>
      </c>
      <c r="C195">
        <v>8</v>
      </c>
      <c r="D195" t="s">
        <v>3447</v>
      </c>
      <c r="E195" t="s">
        <v>3448</v>
      </c>
      <c r="F195" s="3">
        <v>42300.138868171533</v>
      </c>
    </row>
    <row r="196" spans="1:6" x14ac:dyDescent="0.3">
      <c r="A196" s="2">
        <v>45139</v>
      </c>
      <c r="B196">
        <v>2023</v>
      </c>
      <c r="C196">
        <v>8</v>
      </c>
      <c r="D196" t="s">
        <v>3449</v>
      </c>
      <c r="E196" t="s">
        <v>3450</v>
      </c>
      <c r="F196" s="3">
        <v>115941.43496743721</v>
      </c>
    </row>
    <row r="197" spans="1:6" x14ac:dyDescent="0.3">
      <c r="A197" s="2">
        <v>45139</v>
      </c>
      <c r="B197">
        <v>2023</v>
      </c>
      <c r="C197">
        <v>8</v>
      </c>
      <c r="D197" t="s">
        <v>3451</v>
      </c>
      <c r="E197" t="s">
        <v>3444</v>
      </c>
      <c r="F197" s="3">
        <v>26170.738103220221</v>
      </c>
    </row>
    <row r="198" spans="1:6" x14ac:dyDescent="0.3">
      <c r="A198" s="2">
        <v>45139</v>
      </c>
      <c r="B198">
        <v>2023</v>
      </c>
      <c r="C198">
        <v>8</v>
      </c>
      <c r="D198" t="s">
        <v>3452</v>
      </c>
      <c r="E198" t="s">
        <v>3453</v>
      </c>
      <c r="F198" s="3">
        <v>18921.24054899289</v>
      </c>
    </row>
    <row r="199" spans="1:6" x14ac:dyDescent="0.3">
      <c r="A199" s="2">
        <v>45139</v>
      </c>
      <c r="B199">
        <v>2023</v>
      </c>
      <c r="C199">
        <v>8</v>
      </c>
      <c r="D199" t="s">
        <v>3454</v>
      </c>
      <c r="E199" t="s">
        <v>3453</v>
      </c>
      <c r="F199" s="3">
        <v>24468.650937739381</v>
      </c>
    </row>
    <row r="200" spans="1:6" x14ac:dyDescent="0.3">
      <c r="A200" s="2">
        <v>45139</v>
      </c>
      <c r="B200">
        <v>2023</v>
      </c>
      <c r="C200">
        <v>8</v>
      </c>
      <c r="D200" t="s">
        <v>3455</v>
      </c>
      <c r="E200" t="s">
        <v>3453</v>
      </c>
      <c r="F200" s="3">
        <v>30767.896618398281</v>
      </c>
    </row>
    <row r="201" spans="1:6" x14ac:dyDescent="0.3">
      <c r="A201" s="2">
        <v>45139</v>
      </c>
      <c r="B201">
        <v>2023</v>
      </c>
      <c r="C201">
        <v>8</v>
      </c>
      <c r="D201" t="s">
        <v>3456</v>
      </c>
      <c r="E201" t="s">
        <v>3450</v>
      </c>
      <c r="F201" s="3">
        <v>22062.43988121947</v>
      </c>
    </row>
    <row r="202" spans="1:6" x14ac:dyDescent="0.3">
      <c r="A202" s="2">
        <v>45170</v>
      </c>
      <c r="B202">
        <v>2023</v>
      </c>
      <c r="C202">
        <v>9</v>
      </c>
      <c r="D202" t="s">
        <v>3441</v>
      </c>
      <c r="E202" t="s">
        <v>3442</v>
      </c>
      <c r="F202" s="3">
        <v>344378.96717122849</v>
      </c>
    </row>
    <row r="203" spans="1:6" x14ac:dyDescent="0.3">
      <c r="A203" s="2">
        <v>45170</v>
      </c>
      <c r="B203">
        <v>2023</v>
      </c>
      <c r="C203">
        <v>9</v>
      </c>
      <c r="D203" t="s">
        <v>3443</v>
      </c>
      <c r="E203" t="s">
        <v>3444</v>
      </c>
      <c r="F203" s="3">
        <v>101403.51497728239</v>
      </c>
    </row>
    <row r="204" spans="1:6" x14ac:dyDescent="0.3">
      <c r="A204" s="2">
        <v>45170</v>
      </c>
      <c r="B204">
        <v>2023</v>
      </c>
      <c r="C204">
        <v>9</v>
      </c>
      <c r="D204" t="s">
        <v>3445</v>
      </c>
      <c r="E204" t="s">
        <v>3446</v>
      </c>
      <c r="F204" s="3">
        <v>132925.70975072621</v>
      </c>
    </row>
    <row r="205" spans="1:6" x14ac:dyDescent="0.3">
      <c r="A205" s="2">
        <v>45170</v>
      </c>
      <c r="B205">
        <v>2023</v>
      </c>
      <c r="C205">
        <v>9</v>
      </c>
      <c r="D205" t="s">
        <v>3447</v>
      </c>
      <c r="E205" t="s">
        <v>3448</v>
      </c>
      <c r="F205" s="3">
        <v>46437.432179169497</v>
      </c>
    </row>
    <row r="206" spans="1:6" x14ac:dyDescent="0.3">
      <c r="A206" s="2">
        <v>45170</v>
      </c>
      <c r="B206">
        <v>2023</v>
      </c>
      <c r="C206">
        <v>9</v>
      </c>
      <c r="D206" t="s">
        <v>3449</v>
      </c>
      <c r="E206" t="s">
        <v>3450</v>
      </c>
      <c r="F206" s="3">
        <v>124182.7046080358</v>
      </c>
    </row>
    <row r="207" spans="1:6" x14ac:dyDescent="0.3">
      <c r="A207" s="2">
        <v>45170</v>
      </c>
      <c r="B207">
        <v>2023</v>
      </c>
      <c r="C207">
        <v>9</v>
      </c>
      <c r="D207" t="s">
        <v>3451</v>
      </c>
      <c r="E207" t="s">
        <v>3444</v>
      </c>
      <c r="F207" s="3">
        <v>31239.47049727304</v>
      </c>
    </row>
    <row r="208" spans="1:6" x14ac:dyDescent="0.3">
      <c r="A208" s="2">
        <v>45170</v>
      </c>
      <c r="B208">
        <v>2023</v>
      </c>
      <c r="C208">
        <v>9</v>
      </c>
      <c r="D208" t="s">
        <v>3452</v>
      </c>
      <c r="E208" t="s">
        <v>3453</v>
      </c>
      <c r="F208" s="3">
        <v>19806.079867507931</v>
      </c>
    </row>
    <row r="209" spans="1:6" x14ac:dyDescent="0.3">
      <c r="A209" s="2">
        <v>45170</v>
      </c>
      <c r="B209">
        <v>2023</v>
      </c>
      <c r="C209">
        <v>9</v>
      </c>
      <c r="D209" t="s">
        <v>3454</v>
      </c>
      <c r="E209" t="s">
        <v>3453</v>
      </c>
      <c r="F209" s="3">
        <v>27124.52616450507</v>
      </c>
    </row>
    <row r="210" spans="1:6" x14ac:dyDescent="0.3">
      <c r="A210" s="2">
        <v>45170</v>
      </c>
      <c r="B210">
        <v>2023</v>
      </c>
      <c r="C210">
        <v>9</v>
      </c>
      <c r="D210" t="s">
        <v>3455</v>
      </c>
      <c r="E210" t="s">
        <v>3453</v>
      </c>
      <c r="F210" s="3">
        <v>31760.93281494965</v>
      </c>
    </row>
    <row r="211" spans="1:6" x14ac:dyDescent="0.3">
      <c r="A211" s="2">
        <v>45170</v>
      </c>
      <c r="B211">
        <v>2023</v>
      </c>
      <c r="C211">
        <v>9</v>
      </c>
      <c r="D211" t="s">
        <v>3456</v>
      </c>
      <c r="E211" t="s">
        <v>3450</v>
      </c>
      <c r="F211" s="3">
        <v>24014.178930160921</v>
      </c>
    </row>
    <row r="212" spans="1:6" x14ac:dyDescent="0.3">
      <c r="A212" s="2">
        <v>45200</v>
      </c>
      <c r="B212">
        <v>2023</v>
      </c>
      <c r="C212">
        <v>10</v>
      </c>
      <c r="D212" t="s">
        <v>3441</v>
      </c>
      <c r="E212" t="s">
        <v>3442</v>
      </c>
      <c r="F212" s="3">
        <v>380714.83723289683</v>
      </c>
    </row>
    <row r="213" spans="1:6" x14ac:dyDescent="0.3">
      <c r="A213" s="2">
        <v>45200</v>
      </c>
      <c r="B213">
        <v>2023</v>
      </c>
      <c r="C213">
        <v>10</v>
      </c>
      <c r="D213" t="s">
        <v>3443</v>
      </c>
      <c r="E213" t="s">
        <v>3444</v>
      </c>
      <c r="F213" s="3">
        <v>106245.8037905813</v>
      </c>
    </row>
    <row r="214" spans="1:6" x14ac:dyDescent="0.3">
      <c r="A214" s="2">
        <v>45200</v>
      </c>
      <c r="B214">
        <v>2023</v>
      </c>
      <c r="C214">
        <v>10</v>
      </c>
      <c r="D214" t="s">
        <v>3445</v>
      </c>
      <c r="E214" t="s">
        <v>3446</v>
      </c>
      <c r="F214" s="3">
        <v>140515.07486390561</v>
      </c>
    </row>
    <row r="215" spans="1:6" x14ac:dyDescent="0.3">
      <c r="A215" s="2">
        <v>45200</v>
      </c>
      <c r="B215">
        <v>2023</v>
      </c>
      <c r="C215">
        <v>10</v>
      </c>
      <c r="D215" t="s">
        <v>3447</v>
      </c>
      <c r="E215" t="s">
        <v>3448</v>
      </c>
      <c r="F215" s="3">
        <v>49955.504606607261</v>
      </c>
    </row>
    <row r="216" spans="1:6" x14ac:dyDescent="0.3">
      <c r="A216" s="2">
        <v>45200</v>
      </c>
      <c r="B216">
        <v>2023</v>
      </c>
      <c r="C216">
        <v>10</v>
      </c>
      <c r="D216" t="s">
        <v>3449</v>
      </c>
      <c r="E216" t="s">
        <v>3450</v>
      </c>
      <c r="F216" s="3">
        <v>141932.81347632399</v>
      </c>
    </row>
    <row r="217" spans="1:6" x14ac:dyDescent="0.3">
      <c r="A217" s="2">
        <v>45200</v>
      </c>
      <c r="B217">
        <v>2023</v>
      </c>
      <c r="C217">
        <v>10</v>
      </c>
      <c r="D217" t="s">
        <v>3451</v>
      </c>
      <c r="E217" t="s">
        <v>3444</v>
      </c>
      <c r="F217" s="3">
        <v>30394.68041845542</v>
      </c>
    </row>
    <row r="218" spans="1:6" x14ac:dyDescent="0.3">
      <c r="A218" s="2">
        <v>45200</v>
      </c>
      <c r="B218">
        <v>2023</v>
      </c>
      <c r="C218">
        <v>10</v>
      </c>
      <c r="D218" t="s">
        <v>3452</v>
      </c>
      <c r="E218" t="s">
        <v>3453</v>
      </c>
      <c r="F218" s="3">
        <v>21611.952865031781</v>
      </c>
    </row>
    <row r="219" spans="1:6" x14ac:dyDescent="0.3">
      <c r="A219" s="2">
        <v>45200</v>
      </c>
      <c r="B219">
        <v>2023</v>
      </c>
      <c r="C219">
        <v>10</v>
      </c>
      <c r="D219" t="s">
        <v>3454</v>
      </c>
      <c r="E219" t="s">
        <v>3453</v>
      </c>
      <c r="F219" s="3">
        <v>27619.234535442061</v>
      </c>
    </row>
    <row r="220" spans="1:6" x14ac:dyDescent="0.3">
      <c r="A220" s="2">
        <v>45200</v>
      </c>
      <c r="B220">
        <v>2023</v>
      </c>
      <c r="C220">
        <v>10</v>
      </c>
      <c r="D220" t="s">
        <v>3455</v>
      </c>
      <c r="E220" t="s">
        <v>3453</v>
      </c>
      <c r="F220" s="3">
        <v>35311.618643010421</v>
      </c>
    </row>
    <row r="221" spans="1:6" x14ac:dyDescent="0.3">
      <c r="A221" s="2">
        <v>45200</v>
      </c>
      <c r="B221">
        <v>2023</v>
      </c>
      <c r="C221">
        <v>10</v>
      </c>
      <c r="D221" t="s">
        <v>3456</v>
      </c>
      <c r="E221" t="s">
        <v>3450</v>
      </c>
      <c r="F221" s="3">
        <v>24577.193162844542</v>
      </c>
    </row>
    <row r="222" spans="1:6" x14ac:dyDescent="0.3">
      <c r="A222" s="2">
        <v>45231</v>
      </c>
      <c r="B222">
        <v>2023</v>
      </c>
      <c r="C222">
        <v>11</v>
      </c>
      <c r="D222" t="s">
        <v>3441</v>
      </c>
      <c r="E222" t="s">
        <v>3442</v>
      </c>
      <c r="F222" s="3">
        <v>442368.74854231533</v>
      </c>
    </row>
    <row r="223" spans="1:6" x14ac:dyDescent="0.3">
      <c r="A223" s="2">
        <v>45231</v>
      </c>
      <c r="B223">
        <v>2023</v>
      </c>
      <c r="C223">
        <v>11</v>
      </c>
      <c r="D223" t="s">
        <v>3443</v>
      </c>
      <c r="E223" t="s">
        <v>3444</v>
      </c>
      <c r="F223" s="3">
        <v>127725.6846080423</v>
      </c>
    </row>
    <row r="224" spans="1:6" x14ac:dyDescent="0.3">
      <c r="A224" s="2">
        <v>45231</v>
      </c>
      <c r="B224">
        <v>2023</v>
      </c>
      <c r="C224">
        <v>11</v>
      </c>
      <c r="D224" t="s">
        <v>3445</v>
      </c>
      <c r="E224" t="s">
        <v>3446</v>
      </c>
      <c r="F224" s="3">
        <v>195308.2390157427</v>
      </c>
    </row>
    <row r="225" spans="1:6" x14ac:dyDescent="0.3">
      <c r="A225" s="2">
        <v>45231</v>
      </c>
      <c r="B225">
        <v>2023</v>
      </c>
      <c r="C225">
        <v>11</v>
      </c>
      <c r="D225" t="s">
        <v>3447</v>
      </c>
      <c r="E225" t="s">
        <v>3448</v>
      </c>
      <c r="F225" s="3">
        <v>61154.935058488933</v>
      </c>
    </row>
    <row r="226" spans="1:6" x14ac:dyDescent="0.3">
      <c r="A226" s="2">
        <v>45231</v>
      </c>
      <c r="B226">
        <v>2023</v>
      </c>
      <c r="C226">
        <v>11</v>
      </c>
      <c r="D226" t="s">
        <v>3449</v>
      </c>
      <c r="E226" t="s">
        <v>3450</v>
      </c>
      <c r="F226" s="3">
        <v>173117.9859961925</v>
      </c>
    </row>
    <row r="227" spans="1:6" x14ac:dyDescent="0.3">
      <c r="A227" s="2">
        <v>45231</v>
      </c>
      <c r="B227">
        <v>2023</v>
      </c>
      <c r="C227">
        <v>11</v>
      </c>
      <c r="D227" t="s">
        <v>3451</v>
      </c>
      <c r="E227" t="s">
        <v>3444</v>
      </c>
      <c r="F227" s="3">
        <v>38844.931752469471</v>
      </c>
    </row>
    <row r="228" spans="1:6" x14ac:dyDescent="0.3">
      <c r="A228" s="2">
        <v>45231</v>
      </c>
      <c r="B228">
        <v>2023</v>
      </c>
      <c r="C228">
        <v>11</v>
      </c>
      <c r="D228" t="s">
        <v>3452</v>
      </c>
      <c r="E228" t="s">
        <v>3453</v>
      </c>
      <c r="F228" s="3">
        <v>25343.2323499671</v>
      </c>
    </row>
    <row r="229" spans="1:6" x14ac:dyDescent="0.3">
      <c r="A229" s="2">
        <v>45231</v>
      </c>
      <c r="B229">
        <v>2023</v>
      </c>
      <c r="C229">
        <v>11</v>
      </c>
      <c r="D229" t="s">
        <v>3454</v>
      </c>
      <c r="E229" t="s">
        <v>3453</v>
      </c>
      <c r="F229" s="3">
        <v>33071.78718392567</v>
      </c>
    </row>
    <row r="230" spans="1:6" x14ac:dyDescent="0.3">
      <c r="A230" s="2">
        <v>45231</v>
      </c>
      <c r="B230">
        <v>2023</v>
      </c>
      <c r="C230">
        <v>11</v>
      </c>
      <c r="D230" t="s">
        <v>3455</v>
      </c>
      <c r="E230" t="s">
        <v>3453</v>
      </c>
      <c r="F230" s="3">
        <v>42801.839326678637</v>
      </c>
    </row>
    <row r="231" spans="1:6" x14ac:dyDescent="0.3">
      <c r="A231" s="2">
        <v>45231</v>
      </c>
      <c r="B231">
        <v>2023</v>
      </c>
      <c r="C231">
        <v>11</v>
      </c>
      <c r="D231" t="s">
        <v>3456</v>
      </c>
      <c r="E231" t="s">
        <v>3450</v>
      </c>
      <c r="F231" s="3">
        <v>28650.123336032291</v>
      </c>
    </row>
    <row r="232" spans="1:6" x14ac:dyDescent="0.3">
      <c r="A232" s="2">
        <v>45261</v>
      </c>
      <c r="B232">
        <v>2023</v>
      </c>
      <c r="C232">
        <v>12</v>
      </c>
      <c r="D232" t="s">
        <v>3441</v>
      </c>
      <c r="E232" t="s">
        <v>3442</v>
      </c>
      <c r="F232" s="3">
        <v>489965.8816185458</v>
      </c>
    </row>
    <row r="233" spans="1:6" x14ac:dyDescent="0.3">
      <c r="A233" s="2">
        <v>45261</v>
      </c>
      <c r="B233">
        <v>2023</v>
      </c>
      <c r="C233">
        <v>12</v>
      </c>
      <c r="D233" t="s">
        <v>3443</v>
      </c>
      <c r="E233" t="s">
        <v>3444</v>
      </c>
      <c r="F233" s="3">
        <v>134876.61782379189</v>
      </c>
    </row>
    <row r="234" spans="1:6" x14ac:dyDescent="0.3">
      <c r="A234" s="2">
        <v>45261</v>
      </c>
      <c r="B234">
        <v>2023</v>
      </c>
      <c r="C234">
        <v>12</v>
      </c>
      <c r="D234" t="s">
        <v>3445</v>
      </c>
      <c r="E234" t="s">
        <v>3446</v>
      </c>
      <c r="F234" s="3">
        <v>222570.24651205059</v>
      </c>
    </row>
    <row r="235" spans="1:6" x14ac:dyDescent="0.3">
      <c r="A235" s="2">
        <v>45261</v>
      </c>
      <c r="B235">
        <v>2023</v>
      </c>
      <c r="C235">
        <v>12</v>
      </c>
      <c r="D235" t="s">
        <v>3447</v>
      </c>
      <c r="E235" t="s">
        <v>3448</v>
      </c>
      <c r="F235" s="3">
        <v>63755.806028275227</v>
      </c>
    </row>
    <row r="236" spans="1:6" x14ac:dyDescent="0.3">
      <c r="A236" s="2">
        <v>45261</v>
      </c>
      <c r="B236">
        <v>2023</v>
      </c>
      <c r="C236">
        <v>12</v>
      </c>
      <c r="D236" t="s">
        <v>3449</v>
      </c>
      <c r="E236" t="s">
        <v>3450</v>
      </c>
      <c r="F236" s="3">
        <v>196165.56220951691</v>
      </c>
    </row>
    <row r="237" spans="1:6" x14ac:dyDescent="0.3">
      <c r="A237" s="2">
        <v>45261</v>
      </c>
      <c r="B237">
        <v>2023</v>
      </c>
      <c r="C237">
        <v>12</v>
      </c>
      <c r="D237" t="s">
        <v>3451</v>
      </c>
      <c r="E237" t="s">
        <v>3444</v>
      </c>
      <c r="F237" s="3">
        <v>42263.739568303703</v>
      </c>
    </row>
    <row r="238" spans="1:6" x14ac:dyDescent="0.3">
      <c r="A238" s="2">
        <v>45261</v>
      </c>
      <c r="B238">
        <v>2023</v>
      </c>
      <c r="C238">
        <v>12</v>
      </c>
      <c r="D238" t="s">
        <v>3452</v>
      </c>
      <c r="E238" t="s">
        <v>3453</v>
      </c>
      <c r="F238" s="3">
        <v>27430.07472660036</v>
      </c>
    </row>
    <row r="239" spans="1:6" x14ac:dyDescent="0.3">
      <c r="A239" s="2">
        <v>45261</v>
      </c>
      <c r="B239">
        <v>2023</v>
      </c>
      <c r="C239">
        <v>12</v>
      </c>
      <c r="D239" t="s">
        <v>3454</v>
      </c>
      <c r="E239" t="s">
        <v>3453</v>
      </c>
      <c r="F239" s="3">
        <v>37239.664636452209</v>
      </c>
    </row>
    <row r="240" spans="1:6" x14ac:dyDescent="0.3">
      <c r="A240" s="2">
        <v>45261</v>
      </c>
      <c r="B240">
        <v>2023</v>
      </c>
      <c r="C240">
        <v>12</v>
      </c>
      <c r="D240" t="s">
        <v>3455</v>
      </c>
      <c r="E240" t="s">
        <v>3453</v>
      </c>
      <c r="F240" s="3">
        <v>44852.872712328543</v>
      </c>
    </row>
    <row r="241" spans="1:6" x14ac:dyDescent="0.3">
      <c r="A241" s="2">
        <v>45261</v>
      </c>
      <c r="B241">
        <v>2023</v>
      </c>
      <c r="C241">
        <v>12</v>
      </c>
      <c r="D241" t="s">
        <v>3456</v>
      </c>
      <c r="E241" t="s">
        <v>3450</v>
      </c>
      <c r="F241" s="3">
        <v>33146.661794654581</v>
      </c>
    </row>
    <row r="242" spans="1:6" x14ac:dyDescent="0.3">
      <c r="A242" s="2">
        <v>45292</v>
      </c>
      <c r="B242">
        <v>2024</v>
      </c>
      <c r="C242">
        <v>1</v>
      </c>
      <c r="D242" t="s">
        <v>3441</v>
      </c>
      <c r="E242" t="s">
        <v>3442</v>
      </c>
      <c r="F242" s="3">
        <v>343771.25358606421</v>
      </c>
    </row>
    <row r="243" spans="1:6" x14ac:dyDescent="0.3">
      <c r="A243" s="2">
        <v>45292</v>
      </c>
      <c r="B243">
        <v>2024</v>
      </c>
      <c r="C243">
        <v>1</v>
      </c>
      <c r="D243" t="s">
        <v>3443</v>
      </c>
      <c r="E243" t="s">
        <v>3444</v>
      </c>
      <c r="F243" s="3">
        <v>100636.29249544159</v>
      </c>
    </row>
    <row r="244" spans="1:6" x14ac:dyDescent="0.3">
      <c r="A244" s="2">
        <v>45292</v>
      </c>
      <c r="B244">
        <v>2024</v>
      </c>
      <c r="C244">
        <v>1</v>
      </c>
      <c r="D244" t="s">
        <v>3445</v>
      </c>
      <c r="E244" t="s">
        <v>3446</v>
      </c>
      <c r="F244" s="3">
        <v>125712.1839334773</v>
      </c>
    </row>
    <row r="245" spans="1:6" x14ac:dyDescent="0.3">
      <c r="A245" s="2">
        <v>45292</v>
      </c>
      <c r="B245">
        <v>2024</v>
      </c>
      <c r="C245">
        <v>1</v>
      </c>
      <c r="D245" t="s">
        <v>3447</v>
      </c>
      <c r="E245" t="s">
        <v>3448</v>
      </c>
      <c r="F245" s="3">
        <v>44764.247598798487</v>
      </c>
    </row>
    <row r="246" spans="1:6" x14ac:dyDescent="0.3">
      <c r="A246" s="2">
        <v>45292</v>
      </c>
      <c r="B246">
        <v>2024</v>
      </c>
      <c r="C246">
        <v>1</v>
      </c>
      <c r="D246" t="s">
        <v>3449</v>
      </c>
      <c r="E246" t="s">
        <v>3450</v>
      </c>
      <c r="F246" s="3">
        <v>113850.73509882019</v>
      </c>
    </row>
    <row r="247" spans="1:6" x14ac:dyDescent="0.3">
      <c r="A247" s="2">
        <v>45292</v>
      </c>
      <c r="B247">
        <v>2024</v>
      </c>
      <c r="C247">
        <v>1</v>
      </c>
      <c r="D247" t="s">
        <v>3451</v>
      </c>
      <c r="E247" t="s">
        <v>3444</v>
      </c>
      <c r="F247" s="3">
        <v>29281.13379644771</v>
      </c>
    </row>
    <row r="248" spans="1:6" x14ac:dyDescent="0.3">
      <c r="A248" s="2">
        <v>45292</v>
      </c>
      <c r="B248">
        <v>2024</v>
      </c>
      <c r="C248">
        <v>1</v>
      </c>
      <c r="D248" t="s">
        <v>3452</v>
      </c>
      <c r="E248" t="s">
        <v>3453</v>
      </c>
      <c r="F248" s="3">
        <v>19179.04481785075</v>
      </c>
    </row>
    <row r="249" spans="1:6" x14ac:dyDescent="0.3">
      <c r="A249" s="2">
        <v>45292</v>
      </c>
      <c r="B249">
        <v>2024</v>
      </c>
      <c r="C249">
        <v>1</v>
      </c>
      <c r="D249" t="s">
        <v>3454</v>
      </c>
      <c r="E249" t="s">
        <v>3453</v>
      </c>
      <c r="F249" s="3">
        <v>24781.7724288928</v>
      </c>
    </row>
    <row r="250" spans="1:6" x14ac:dyDescent="0.3">
      <c r="A250" s="2">
        <v>45292</v>
      </c>
      <c r="B250">
        <v>2024</v>
      </c>
      <c r="C250">
        <v>1</v>
      </c>
      <c r="D250" t="s">
        <v>3455</v>
      </c>
      <c r="E250" t="s">
        <v>3453</v>
      </c>
      <c r="F250" s="3">
        <v>32326.421861163941</v>
      </c>
    </row>
    <row r="251" spans="1:6" x14ac:dyDescent="0.3">
      <c r="A251" s="2">
        <v>45292</v>
      </c>
      <c r="B251">
        <v>2024</v>
      </c>
      <c r="C251">
        <v>1</v>
      </c>
      <c r="D251" t="s">
        <v>3456</v>
      </c>
      <c r="E251" t="s">
        <v>3450</v>
      </c>
      <c r="F251" s="3">
        <v>21809.963337775971</v>
      </c>
    </row>
    <row r="252" spans="1:6" x14ac:dyDescent="0.3">
      <c r="A252" s="2">
        <v>45323</v>
      </c>
      <c r="B252">
        <v>2024</v>
      </c>
      <c r="C252">
        <v>2</v>
      </c>
      <c r="D252" t="s">
        <v>3441</v>
      </c>
      <c r="E252" t="s">
        <v>3442</v>
      </c>
      <c r="F252" s="3">
        <v>311665.01214411011</v>
      </c>
    </row>
    <row r="253" spans="1:6" x14ac:dyDescent="0.3">
      <c r="A253" s="2">
        <v>45323</v>
      </c>
      <c r="B253">
        <v>2024</v>
      </c>
      <c r="C253">
        <v>2</v>
      </c>
      <c r="D253" t="s">
        <v>3443</v>
      </c>
      <c r="E253" t="s">
        <v>3444</v>
      </c>
      <c r="F253" s="3">
        <v>91149.040694501658</v>
      </c>
    </row>
    <row r="254" spans="1:6" x14ac:dyDescent="0.3">
      <c r="A254" s="2">
        <v>45323</v>
      </c>
      <c r="B254">
        <v>2024</v>
      </c>
      <c r="C254">
        <v>2</v>
      </c>
      <c r="D254" t="s">
        <v>3445</v>
      </c>
      <c r="E254" t="s">
        <v>3446</v>
      </c>
      <c r="F254" s="3">
        <v>116911.9544611936</v>
      </c>
    </row>
    <row r="255" spans="1:6" x14ac:dyDescent="0.3">
      <c r="A255" s="2">
        <v>45323</v>
      </c>
      <c r="B255">
        <v>2024</v>
      </c>
      <c r="C255">
        <v>2</v>
      </c>
      <c r="D255" t="s">
        <v>3447</v>
      </c>
      <c r="E255" t="s">
        <v>3448</v>
      </c>
      <c r="F255" s="3">
        <v>43110.324288865057</v>
      </c>
    </row>
    <row r="256" spans="1:6" x14ac:dyDescent="0.3">
      <c r="A256" s="2">
        <v>45323</v>
      </c>
      <c r="B256">
        <v>2024</v>
      </c>
      <c r="C256">
        <v>2</v>
      </c>
      <c r="D256" t="s">
        <v>3449</v>
      </c>
      <c r="E256" t="s">
        <v>3450</v>
      </c>
      <c r="F256" s="3">
        <v>111087.3644300766</v>
      </c>
    </row>
    <row r="257" spans="1:6" x14ac:dyDescent="0.3">
      <c r="A257" s="2">
        <v>45323</v>
      </c>
      <c r="B257">
        <v>2024</v>
      </c>
      <c r="C257">
        <v>2</v>
      </c>
      <c r="D257" t="s">
        <v>3451</v>
      </c>
      <c r="E257" t="s">
        <v>3444</v>
      </c>
      <c r="F257" s="3">
        <v>26314.174898505938</v>
      </c>
    </row>
    <row r="258" spans="1:6" x14ac:dyDescent="0.3">
      <c r="A258" s="2">
        <v>45323</v>
      </c>
      <c r="B258">
        <v>2024</v>
      </c>
      <c r="C258">
        <v>2</v>
      </c>
      <c r="D258" t="s">
        <v>3452</v>
      </c>
      <c r="E258" t="s">
        <v>3453</v>
      </c>
      <c r="F258" s="3">
        <v>17606.00268188852</v>
      </c>
    </row>
    <row r="259" spans="1:6" x14ac:dyDescent="0.3">
      <c r="A259" s="2">
        <v>45323</v>
      </c>
      <c r="B259">
        <v>2024</v>
      </c>
      <c r="C259">
        <v>2</v>
      </c>
      <c r="D259" t="s">
        <v>3454</v>
      </c>
      <c r="E259" t="s">
        <v>3453</v>
      </c>
      <c r="F259" s="3">
        <v>24477.058827403791</v>
      </c>
    </row>
    <row r="260" spans="1:6" x14ac:dyDescent="0.3">
      <c r="A260" s="2">
        <v>45323</v>
      </c>
      <c r="B260">
        <v>2024</v>
      </c>
      <c r="C260">
        <v>2</v>
      </c>
      <c r="D260" t="s">
        <v>3455</v>
      </c>
      <c r="E260" t="s">
        <v>3453</v>
      </c>
      <c r="F260" s="3">
        <v>29563.21548969144</v>
      </c>
    </row>
    <row r="261" spans="1:6" x14ac:dyDescent="0.3">
      <c r="A261" s="2">
        <v>45323</v>
      </c>
      <c r="B261">
        <v>2024</v>
      </c>
      <c r="C261">
        <v>2</v>
      </c>
      <c r="D261" t="s">
        <v>3456</v>
      </c>
      <c r="E261" t="s">
        <v>3450</v>
      </c>
      <c r="F261" s="3">
        <v>20310.024843245439</v>
      </c>
    </row>
    <row r="262" spans="1:6" x14ac:dyDescent="0.3">
      <c r="A262" s="2">
        <v>45352</v>
      </c>
      <c r="B262">
        <v>2024</v>
      </c>
      <c r="C262">
        <v>3</v>
      </c>
      <c r="D262" t="s">
        <v>3441</v>
      </c>
      <c r="E262" t="s">
        <v>3442</v>
      </c>
      <c r="F262" s="3">
        <v>375760.62734394969</v>
      </c>
    </row>
    <row r="263" spans="1:6" x14ac:dyDescent="0.3">
      <c r="A263" s="2">
        <v>45352</v>
      </c>
      <c r="B263">
        <v>2024</v>
      </c>
      <c r="C263">
        <v>3</v>
      </c>
      <c r="D263" t="s">
        <v>3443</v>
      </c>
      <c r="E263" t="s">
        <v>3444</v>
      </c>
      <c r="F263" s="3">
        <v>108923.4969655163</v>
      </c>
    </row>
    <row r="264" spans="1:6" x14ac:dyDescent="0.3">
      <c r="A264" s="2">
        <v>45352</v>
      </c>
      <c r="B264">
        <v>2024</v>
      </c>
      <c r="C264">
        <v>3</v>
      </c>
      <c r="D264" t="s">
        <v>3445</v>
      </c>
      <c r="E264" t="s">
        <v>3446</v>
      </c>
      <c r="F264" s="3">
        <v>141056.4687874901</v>
      </c>
    </row>
    <row r="265" spans="1:6" x14ac:dyDescent="0.3">
      <c r="A265" s="2">
        <v>45352</v>
      </c>
      <c r="B265">
        <v>2024</v>
      </c>
      <c r="C265">
        <v>3</v>
      </c>
      <c r="D265" t="s">
        <v>3447</v>
      </c>
      <c r="E265" t="s">
        <v>3448</v>
      </c>
      <c r="F265" s="3">
        <v>49407.016638281108</v>
      </c>
    </row>
    <row r="266" spans="1:6" x14ac:dyDescent="0.3">
      <c r="A266" s="2">
        <v>45352</v>
      </c>
      <c r="B266">
        <v>2024</v>
      </c>
      <c r="C266">
        <v>3</v>
      </c>
      <c r="D266" t="s">
        <v>3449</v>
      </c>
      <c r="E266" t="s">
        <v>3450</v>
      </c>
      <c r="F266" s="3">
        <v>145368.58803918771</v>
      </c>
    </row>
    <row r="267" spans="1:6" x14ac:dyDescent="0.3">
      <c r="A267" s="2">
        <v>45352</v>
      </c>
      <c r="B267">
        <v>2024</v>
      </c>
      <c r="C267">
        <v>3</v>
      </c>
      <c r="D267" t="s">
        <v>3451</v>
      </c>
      <c r="E267" t="s">
        <v>3444</v>
      </c>
      <c r="F267" s="3">
        <v>31999.664268626431</v>
      </c>
    </row>
    <row r="268" spans="1:6" x14ac:dyDescent="0.3">
      <c r="A268" s="2">
        <v>45352</v>
      </c>
      <c r="B268">
        <v>2024</v>
      </c>
      <c r="C268">
        <v>3</v>
      </c>
      <c r="D268" t="s">
        <v>3452</v>
      </c>
      <c r="E268" t="s">
        <v>3453</v>
      </c>
      <c r="F268" s="3">
        <v>21626.088649451231</v>
      </c>
    </row>
    <row r="269" spans="1:6" x14ac:dyDescent="0.3">
      <c r="A269" s="2">
        <v>45352</v>
      </c>
      <c r="B269">
        <v>2024</v>
      </c>
      <c r="C269">
        <v>3</v>
      </c>
      <c r="D269" t="s">
        <v>3454</v>
      </c>
      <c r="E269" t="s">
        <v>3453</v>
      </c>
      <c r="F269" s="3">
        <v>28802.66691176745</v>
      </c>
    </row>
    <row r="270" spans="1:6" x14ac:dyDescent="0.3">
      <c r="A270" s="2">
        <v>45352</v>
      </c>
      <c r="B270">
        <v>2024</v>
      </c>
      <c r="C270">
        <v>3</v>
      </c>
      <c r="D270" t="s">
        <v>3455</v>
      </c>
      <c r="E270" t="s">
        <v>3453</v>
      </c>
      <c r="F270" s="3">
        <v>35954.169934747879</v>
      </c>
    </row>
    <row r="271" spans="1:6" x14ac:dyDescent="0.3">
      <c r="A271" s="2">
        <v>45352</v>
      </c>
      <c r="B271">
        <v>2024</v>
      </c>
      <c r="C271">
        <v>3</v>
      </c>
      <c r="D271" t="s">
        <v>3456</v>
      </c>
      <c r="E271" t="s">
        <v>3450</v>
      </c>
      <c r="F271" s="3">
        <v>25830.970445387418</v>
      </c>
    </row>
    <row r="272" spans="1:6" x14ac:dyDescent="0.3">
      <c r="A272" s="2">
        <v>45383</v>
      </c>
      <c r="B272">
        <v>2024</v>
      </c>
      <c r="C272">
        <v>4</v>
      </c>
      <c r="D272" t="s">
        <v>3441</v>
      </c>
      <c r="E272" t="s">
        <v>3442</v>
      </c>
      <c r="F272" s="3">
        <v>394251.22135192802</v>
      </c>
    </row>
    <row r="273" spans="1:6" x14ac:dyDescent="0.3">
      <c r="A273" s="2">
        <v>45383</v>
      </c>
      <c r="B273">
        <v>2024</v>
      </c>
      <c r="C273">
        <v>4</v>
      </c>
      <c r="D273" t="s">
        <v>3443</v>
      </c>
      <c r="E273" t="s">
        <v>3444</v>
      </c>
      <c r="F273" s="3">
        <v>109193.341474405</v>
      </c>
    </row>
    <row r="274" spans="1:6" x14ac:dyDescent="0.3">
      <c r="A274" s="2">
        <v>45383</v>
      </c>
      <c r="B274">
        <v>2024</v>
      </c>
      <c r="C274">
        <v>4</v>
      </c>
      <c r="D274" t="s">
        <v>3445</v>
      </c>
      <c r="E274" t="s">
        <v>3446</v>
      </c>
      <c r="F274" s="3">
        <v>142178.11605694881</v>
      </c>
    </row>
    <row r="275" spans="1:6" x14ac:dyDescent="0.3">
      <c r="A275" s="2">
        <v>45383</v>
      </c>
      <c r="B275">
        <v>2024</v>
      </c>
      <c r="C275">
        <v>4</v>
      </c>
      <c r="D275" t="s">
        <v>3447</v>
      </c>
      <c r="E275" t="s">
        <v>3448</v>
      </c>
      <c r="F275" s="3">
        <v>52985.710862406733</v>
      </c>
    </row>
    <row r="276" spans="1:6" x14ac:dyDescent="0.3">
      <c r="A276" s="2">
        <v>45383</v>
      </c>
      <c r="B276">
        <v>2024</v>
      </c>
      <c r="C276">
        <v>4</v>
      </c>
      <c r="D276" t="s">
        <v>3449</v>
      </c>
      <c r="E276" t="s">
        <v>3450</v>
      </c>
      <c r="F276" s="3">
        <v>139045.43565779991</v>
      </c>
    </row>
    <row r="277" spans="1:6" x14ac:dyDescent="0.3">
      <c r="A277" s="2">
        <v>45383</v>
      </c>
      <c r="B277">
        <v>2024</v>
      </c>
      <c r="C277">
        <v>4</v>
      </c>
      <c r="D277" t="s">
        <v>3451</v>
      </c>
      <c r="E277" t="s">
        <v>3444</v>
      </c>
      <c r="F277" s="3">
        <v>34438.4646198888</v>
      </c>
    </row>
    <row r="278" spans="1:6" x14ac:dyDescent="0.3">
      <c r="A278" s="2">
        <v>45383</v>
      </c>
      <c r="B278">
        <v>2024</v>
      </c>
      <c r="C278">
        <v>4</v>
      </c>
      <c r="D278" t="s">
        <v>3452</v>
      </c>
      <c r="E278" t="s">
        <v>3453</v>
      </c>
      <c r="F278" s="3">
        <v>20771.53171068084</v>
      </c>
    </row>
    <row r="279" spans="1:6" x14ac:dyDescent="0.3">
      <c r="A279" s="2">
        <v>45383</v>
      </c>
      <c r="B279">
        <v>2024</v>
      </c>
      <c r="C279">
        <v>4</v>
      </c>
      <c r="D279" t="s">
        <v>3454</v>
      </c>
      <c r="E279" t="s">
        <v>3453</v>
      </c>
      <c r="F279" s="3">
        <v>29486.00360103391</v>
      </c>
    </row>
    <row r="280" spans="1:6" x14ac:dyDescent="0.3">
      <c r="A280" s="2">
        <v>45383</v>
      </c>
      <c r="B280">
        <v>2024</v>
      </c>
      <c r="C280">
        <v>4</v>
      </c>
      <c r="D280" t="s">
        <v>3455</v>
      </c>
      <c r="E280" t="s">
        <v>3453</v>
      </c>
      <c r="F280" s="3">
        <v>38437.609722015834</v>
      </c>
    </row>
    <row r="281" spans="1:6" x14ac:dyDescent="0.3">
      <c r="A281" s="2">
        <v>45383</v>
      </c>
      <c r="B281">
        <v>2024</v>
      </c>
      <c r="C281">
        <v>4</v>
      </c>
      <c r="D281" t="s">
        <v>3456</v>
      </c>
      <c r="E281" t="s">
        <v>3450</v>
      </c>
      <c r="F281" s="3">
        <v>25448.079629441989</v>
      </c>
    </row>
    <row r="282" spans="1:6" x14ac:dyDescent="0.3">
      <c r="A282" s="2">
        <v>45413</v>
      </c>
      <c r="B282">
        <v>2024</v>
      </c>
      <c r="C282">
        <v>5</v>
      </c>
      <c r="D282" t="s">
        <v>3441</v>
      </c>
      <c r="E282" t="s">
        <v>3442</v>
      </c>
      <c r="F282" s="3">
        <v>381298.16659873212</v>
      </c>
    </row>
    <row r="283" spans="1:6" x14ac:dyDescent="0.3">
      <c r="A283" s="2">
        <v>45413</v>
      </c>
      <c r="B283">
        <v>2024</v>
      </c>
      <c r="C283">
        <v>5</v>
      </c>
      <c r="D283" t="s">
        <v>3443</v>
      </c>
      <c r="E283" t="s">
        <v>3444</v>
      </c>
      <c r="F283" s="3">
        <v>110369.36579713</v>
      </c>
    </row>
    <row r="284" spans="1:6" x14ac:dyDescent="0.3">
      <c r="A284" s="2">
        <v>45413</v>
      </c>
      <c r="B284">
        <v>2024</v>
      </c>
      <c r="C284">
        <v>5</v>
      </c>
      <c r="D284" t="s">
        <v>3445</v>
      </c>
      <c r="E284" t="s">
        <v>3446</v>
      </c>
      <c r="F284" s="3">
        <v>144039.22451916721</v>
      </c>
    </row>
    <row r="285" spans="1:6" x14ac:dyDescent="0.3">
      <c r="A285" s="2">
        <v>45413</v>
      </c>
      <c r="B285">
        <v>2024</v>
      </c>
      <c r="C285">
        <v>5</v>
      </c>
      <c r="D285" t="s">
        <v>3447</v>
      </c>
      <c r="E285" t="s">
        <v>3448</v>
      </c>
      <c r="F285" s="3">
        <v>50729.090937489222</v>
      </c>
    </row>
    <row r="286" spans="1:6" x14ac:dyDescent="0.3">
      <c r="A286" s="2">
        <v>45413</v>
      </c>
      <c r="B286">
        <v>2024</v>
      </c>
      <c r="C286">
        <v>5</v>
      </c>
      <c r="D286" t="s">
        <v>3449</v>
      </c>
      <c r="E286" t="s">
        <v>3450</v>
      </c>
      <c r="F286" s="3">
        <v>137603.93353656039</v>
      </c>
    </row>
    <row r="287" spans="1:6" x14ac:dyDescent="0.3">
      <c r="A287" s="2">
        <v>45413</v>
      </c>
      <c r="B287">
        <v>2024</v>
      </c>
      <c r="C287">
        <v>5</v>
      </c>
      <c r="D287" t="s">
        <v>3451</v>
      </c>
      <c r="E287" t="s">
        <v>3444</v>
      </c>
      <c r="F287" s="3">
        <v>32352.436444519721</v>
      </c>
    </row>
    <row r="288" spans="1:6" x14ac:dyDescent="0.3">
      <c r="A288" s="2">
        <v>45413</v>
      </c>
      <c r="B288">
        <v>2024</v>
      </c>
      <c r="C288">
        <v>5</v>
      </c>
      <c r="D288" t="s">
        <v>3452</v>
      </c>
      <c r="E288" t="s">
        <v>3453</v>
      </c>
      <c r="F288" s="3">
        <v>22585.159284308851</v>
      </c>
    </row>
    <row r="289" spans="1:6" x14ac:dyDescent="0.3">
      <c r="A289" s="2">
        <v>45413</v>
      </c>
      <c r="B289">
        <v>2024</v>
      </c>
      <c r="C289">
        <v>5</v>
      </c>
      <c r="D289" t="s">
        <v>3454</v>
      </c>
      <c r="E289" t="s">
        <v>3453</v>
      </c>
      <c r="F289" s="3">
        <v>29552.760489863562</v>
      </c>
    </row>
    <row r="290" spans="1:6" x14ac:dyDescent="0.3">
      <c r="A290" s="2">
        <v>45413</v>
      </c>
      <c r="B290">
        <v>2024</v>
      </c>
      <c r="C290">
        <v>5</v>
      </c>
      <c r="D290" t="s">
        <v>3455</v>
      </c>
      <c r="E290" t="s">
        <v>3453</v>
      </c>
      <c r="F290" s="3">
        <v>36748.810015652722</v>
      </c>
    </row>
    <row r="291" spans="1:6" x14ac:dyDescent="0.3">
      <c r="A291" s="2">
        <v>45413</v>
      </c>
      <c r="B291">
        <v>2024</v>
      </c>
      <c r="C291">
        <v>5</v>
      </c>
      <c r="D291" t="s">
        <v>3456</v>
      </c>
      <c r="E291" t="s">
        <v>3450</v>
      </c>
      <c r="F291" s="3">
        <v>26080.74810674525</v>
      </c>
    </row>
    <row r="292" spans="1:6" x14ac:dyDescent="0.3">
      <c r="A292" s="2">
        <v>45444</v>
      </c>
      <c r="B292">
        <v>2024</v>
      </c>
      <c r="C292">
        <v>6</v>
      </c>
      <c r="D292" t="s">
        <v>3441</v>
      </c>
      <c r="E292" t="s">
        <v>3442</v>
      </c>
      <c r="F292" s="3">
        <v>433285.02715861698</v>
      </c>
    </row>
    <row r="293" spans="1:6" x14ac:dyDescent="0.3">
      <c r="A293" s="2">
        <v>45444</v>
      </c>
      <c r="B293">
        <v>2024</v>
      </c>
      <c r="C293">
        <v>6</v>
      </c>
      <c r="D293" t="s">
        <v>3443</v>
      </c>
      <c r="E293" t="s">
        <v>3444</v>
      </c>
      <c r="F293" s="3">
        <v>122207.29933874409</v>
      </c>
    </row>
    <row r="294" spans="1:6" x14ac:dyDescent="0.3">
      <c r="A294" s="2">
        <v>45444</v>
      </c>
      <c r="B294">
        <v>2024</v>
      </c>
      <c r="C294">
        <v>6</v>
      </c>
      <c r="D294" t="s">
        <v>3445</v>
      </c>
      <c r="E294" t="s">
        <v>3446</v>
      </c>
      <c r="F294" s="3">
        <v>163655.80318527229</v>
      </c>
    </row>
    <row r="295" spans="1:6" x14ac:dyDescent="0.3">
      <c r="A295" s="2">
        <v>45444</v>
      </c>
      <c r="B295">
        <v>2024</v>
      </c>
      <c r="C295">
        <v>6</v>
      </c>
      <c r="D295" t="s">
        <v>3447</v>
      </c>
      <c r="E295" t="s">
        <v>3448</v>
      </c>
      <c r="F295" s="3">
        <v>58158.274146686817</v>
      </c>
    </row>
    <row r="296" spans="1:6" x14ac:dyDescent="0.3">
      <c r="A296" s="2">
        <v>45444</v>
      </c>
      <c r="B296">
        <v>2024</v>
      </c>
      <c r="C296">
        <v>6</v>
      </c>
      <c r="D296" t="s">
        <v>3449</v>
      </c>
      <c r="E296" t="s">
        <v>3450</v>
      </c>
      <c r="F296" s="3">
        <v>153671.19201333789</v>
      </c>
    </row>
    <row r="297" spans="1:6" x14ac:dyDescent="0.3">
      <c r="A297" s="2">
        <v>45444</v>
      </c>
      <c r="B297">
        <v>2024</v>
      </c>
      <c r="C297">
        <v>6</v>
      </c>
      <c r="D297" t="s">
        <v>3451</v>
      </c>
      <c r="E297" t="s">
        <v>3444</v>
      </c>
      <c r="F297" s="3">
        <v>36918.22904035871</v>
      </c>
    </row>
    <row r="298" spans="1:6" x14ac:dyDescent="0.3">
      <c r="A298" s="2">
        <v>45444</v>
      </c>
      <c r="B298">
        <v>2024</v>
      </c>
      <c r="C298">
        <v>6</v>
      </c>
      <c r="D298" t="s">
        <v>3452</v>
      </c>
      <c r="E298" t="s">
        <v>3453</v>
      </c>
      <c r="F298" s="3">
        <v>24602.273107514338</v>
      </c>
    </row>
    <row r="299" spans="1:6" x14ac:dyDescent="0.3">
      <c r="A299" s="2">
        <v>45444</v>
      </c>
      <c r="B299">
        <v>2024</v>
      </c>
      <c r="C299">
        <v>6</v>
      </c>
      <c r="D299" t="s">
        <v>3454</v>
      </c>
      <c r="E299" t="s">
        <v>3453</v>
      </c>
      <c r="F299" s="3">
        <v>34996.889827985717</v>
      </c>
    </row>
    <row r="300" spans="1:6" x14ac:dyDescent="0.3">
      <c r="A300" s="2">
        <v>45444</v>
      </c>
      <c r="B300">
        <v>2024</v>
      </c>
      <c r="C300">
        <v>6</v>
      </c>
      <c r="D300" t="s">
        <v>3455</v>
      </c>
      <c r="E300" t="s">
        <v>3453</v>
      </c>
      <c r="F300" s="3">
        <v>38659.181658654743</v>
      </c>
    </row>
    <row r="301" spans="1:6" x14ac:dyDescent="0.3">
      <c r="A301" s="2">
        <v>45444</v>
      </c>
      <c r="B301">
        <v>2024</v>
      </c>
      <c r="C301">
        <v>6</v>
      </c>
      <c r="D301" t="s">
        <v>3456</v>
      </c>
      <c r="E301" t="s">
        <v>3450</v>
      </c>
      <c r="F301" s="3">
        <v>28947.26705667195</v>
      </c>
    </row>
    <row r="302" spans="1:6" x14ac:dyDescent="0.3">
      <c r="A302" s="2">
        <v>45474</v>
      </c>
      <c r="B302">
        <v>2024</v>
      </c>
      <c r="C302">
        <v>7</v>
      </c>
      <c r="D302" t="s">
        <v>3441</v>
      </c>
      <c r="E302" t="s">
        <v>3442</v>
      </c>
      <c r="F302" s="3">
        <v>408500.64538319828</v>
      </c>
    </row>
    <row r="303" spans="1:6" x14ac:dyDescent="0.3">
      <c r="A303" s="2">
        <v>45474</v>
      </c>
      <c r="B303">
        <v>2024</v>
      </c>
      <c r="C303">
        <v>7</v>
      </c>
      <c r="D303" t="s">
        <v>3443</v>
      </c>
      <c r="E303" t="s">
        <v>3444</v>
      </c>
      <c r="F303" s="3">
        <v>112228.2073893949</v>
      </c>
    </row>
    <row r="304" spans="1:6" x14ac:dyDescent="0.3">
      <c r="A304" s="2">
        <v>45474</v>
      </c>
      <c r="B304">
        <v>2024</v>
      </c>
      <c r="C304">
        <v>7</v>
      </c>
      <c r="D304" t="s">
        <v>3445</v>
      </c>
      <c r="E304" t="s">
        <v>3446</v>
      </c>
      <c r="F304" s="3">
        <v>151993.11162019341</v>
      </c>
    </row>
    <row r="305" spans="1:6" x14ac:dyDescent="0.3">
      <c r="A305" s="2">
        <v>45474</v>
      </c>
      <c r="B305">
        <v>2024</v>
      </c>
      <c r="C305">
        <v>7</v>
      </c>
      <c r="D305" t="s">
        <v>3447</v>
      </c>
      <c r="E305" t="s">
        <v>3448</v>
      </c>
      <c r="F305" s="3">
        <v>52344.421995105607</v>
      </c>
    </row>
    <row r="306" spans="1:6" x14ac:dyDescent="0.3">
      <c r="A306" s="2">
        <v>45474</v>
      </c>
      <c r="B306">
        <v>2024</v>
      </c>
      <c r="C306">
        <v>7</v>
      </c>
      <c r="D306" t="s">
        <v>3449</v>
      </c>
      <c r="E306" t="s">
        <v>3450</v>
      </c>
      <c r="F306" s="3">
        <v>139359.5928986131</v>
      </c>
    </row>
    <row r="307" spans="1:6" x14ac:dyDescent="0.3">
      <c r="A307" s="2">
        <v>45474</v>
      </c>
      <c r="B307">
        <v>2024</v>
      </c>
      <c r="C307">
        <v>7</v>
      </c>
      <c r="D307" t="s">
        <v>3451</v>
      </c>
      <c r="E307" t="s">
        <v>3444</v>
      </c>
      <c r="F307" s="3">
        <v>31684.899927143211</v>
      </c>
    </row>
    <row r="308" spans="1:6" x14ac:dyDescent="0.3">
      <c r="A308" s="2">
        <v>45474</v>
      </c>
      <c r="B308">
        <v>2024</v>
      </c>
      <c r="C308">
        <v>7</v>
      </c>
      <c r="D308" t="s">
        <v>3452</v>
      </c>
      <c r="E308" t="s">
        <v>3453</v>
      </c>
      <c r="F308" s="3">
        <v>22492.416683702439</v>
      </c>
    </row>
    <row r="309" spans="1:6" x14ac:dyDescent="0.3">
      <c r="A309" s="2">
        <v>45474</v>
      </c>
      <c r="B309">
        <v>2024</v>
      </c>
      <c r="C309">
        <v>7</v>
      </c>
      <c r="D309" t="s">
        <v>3454</v>
      </c>
      <c r="E309" t="s">
        <v>3453</v>
      </c>
      <c r="F309" s="3">
        <v>29258.098943330519</v>
      </c>
    </row>
    <row r="310" spans="1:6" x14ac:dyDescent="0.3">
      <c r="A310" s="2">
        <v>45474</v>
      </c>
      <c r="B310">
        <v>2024</v>
      </c>
      <c r="C310">
        <v>7</v>
      </c>
      <c r="D310" t="s">
        <v>3455</v>
      </c>
      <c r="E310" t="s">
        <v>3453</v>
      </c>
      <c r="F310" s="3">
        <v>36549.566671130407</v>
      </c>
    </row>
    <row r="311" spans="1:6" x14ac:dyDescent="0.3">
      <c r="A311" s="2">
        <v>45474</v>
      </c>
      <c r="B311">
        <v>2024</v>
      </c>
      <c r="C311">
        <v>7</v>
      </c>
      <c r="D311" t="s">
        <v>3456</v>
      </c>
      <c r="E311" t="s">
        <v>3450</v>
      </c>
      <c r="F311" s="3">
        <v>25781.37950099411</v>
      </c>
    </row>
    <row r="312" spans="1:6" x14ac:dyDescent="0.3">
      <c r="A312" s="2">
        <v>45505</v>
      </c>
      <c r="B312">
        <v>2024</v>
      </c>
      <c r="C312">
        <v>8</v>
      </c>
      <c r="D312" t="s">
        <v>3441</v>
      </c>
      <c r="E312" t="s">
        <v>3442</v>
      </c>
      <c r="F312" s="3">
        <v>423247.17190582567</v>
      </c>
    </row>
    <row r="313" spans="1:6" x14ac:dyDescent="0.3">
      <c r="A313" s="2">
        <v>45505</v>
      </c>
      <c r="B313">
        <v>2024</v>
      </c>
      <c r="C313">
        <v>8</v>
      </c>
      <c r="D313" t="s">
        <v>3443</v>
      </c>
      <c r="E313" t="s">
        <v>3444</v>
      </c>
      <c r="F313" s="3">
        <v>122839.60201583229</v>
      </c>
    </row>
    <row r="314" spans="1:6" x14ac:dyDescent="0.3">
      <c r="A314" s="2">
        <v>45505</v>
      </c>
      <c r="B314">
        <v>2024</v>
      </c>
      <c r="C314">
        <v>8</v>
      </c>
      <c r="D314" t="s">
        <v>3445</v>
      </c>
      <c r="E314" t="s">
        <v>3446</v>
      </c>
      <c r="F314" s="3">
        <v>155336.54817287531</v>
      </c>
    </row>
    <row r="315" spans="1:6" x14ac:dyDescent="0.3">
      <c r="A315" s="2">
        <v>45505</v>
      </c>
      <c r="B315">
        <v>2024</v>
      </c>
      <c r="C315">
        <v>8</v>
      </c>
      <c r="D315" t="s">
        <v>3447</v>
      </c>
      <c r="E315" t="s">
        <v>3448</v>
      </c>
      <c r="F315" s="3">
        <v>53445.861037043738</v>
      </c>
    </row>
    <row r="316" spans="1:6" x14ac:dyDescent="0.3">
      <c r="A316" s="2">
        <v>45505</v>
      </c>
      <c r="B316">
        <v>2024</v>
      </c>
      <c r="C316">
        <v>8</v>
      </c>
      <c r="D316" t="s">
        <v>3449</v>
      </c>
      <c r="E316" t="s">
        <v>3450</v>
      </c>
      <c r="F316" s="3">
        <v>142453.09783237521</v>
      </c>
    </row>
    <row r="317" spans="1:6" x14ac:dyDescent="0.3">
      <c r="A317" s="2">
        <v>45505</v>
      </c>
      <c r="B317">
        <v>2024</v>
      </c>
      <c r="C317">
        <v>8</v>
      </c>
      <c r="D317" t="s">
        <v>3451</v>
      </c>
      <c r="E317" t="s">
        <v>3444</v>
      </c>
      <c r="F317" s="3">
        <v>35169.143350585357</v>
      </c>
    </row>
    <row r="318" spans="1:6" x14ac:dyDescent="0.3">
      <c r="A318" s="2">
        <v>45505</v>
      </c>
      <c r="B318">
        <v>2024</v>
      </c>
      <c r="C318">
        <v>8</v>
      </c>
      <c r="D318" t="s">
        <v>3452</v>
      </c>
      <c r="E318" t="s">
        <v>3453</v>
      </c>
      <c r="F318" s="3">
        <v>24207.59419187851</v>
      </c>
    </row>
    <row r="319" spans="1:6" x14ac:dyDescent="0.3">
      <c r="A319" s="2">
        <v>45505</v>
      </c>
      <c r="B319">
        <v>2024</v>
      </c>
      <c r="C319">
        <v>8</v>
      </c>
      <c r="D319" t="s">
        <v>3454</v>
      </c>
      <c r="E319" t="s">
        <v>3453</v>
      </c>
      <c r="F319" s="3">
        <v>30708.451638725441</v>
      </c>
    </row>
    <row r="320" spans="1:6" x14ac:dyDescent="0.3">
      <c r="A320" s="2">
        <v>45505</v>
      </c>
      <c r="B320">
        <v>2024</v>
      </c>
      <c r="C320">
        <v>8</v>
      </c>
      <c r="D320" t="s">
        <v>3455</v>
      </c>
      <c r="E320" t="s">
        <v>3453</v>
      </c>
      <c r="F320" s="3">
        <v>36327.216591621327</v>
      </c>
    </row>
    <row r="321" spans="1:6" x14ac:dyDescent="0.3">
      <c r="A321" s="2">
        <v>45505</v>
      </c>
      <c r="B321">
        <v>2024</v>
      </c>
      <c r="C321">
        <v>8</v>
      </c>
      <c r="D321" t="s">
        <v>3456</v>
      </c>
      <c r="E321" t="s">
        <v>3450</v>
      </c>
      <c r="F321" s="3">
        <v>27489.983876409409</v>
      </c>
    </row>
    <row r="322" spans="1:6" x14ac:dyDescent="0.3">
      <c r="A322" s="2">
        <v>45536</v>
      </c>
      <c r="B322">
        <v>2024</v>
      </c>
      <c r="C322">
        <v>9</v>
      </c>
      <c r="D322" t="s">
        <v>3441</v>
      </c>
      <c r="E322" t="s">
        <v>3442</v>
      </c>
      <c r="F322" s="3">
        <v>432915.40766697522</v>
      </c>
    </row>
    <row r="323" spans="1:6" x14ac:dyDescent="0.3">
      <c r="A323" s="2">
        <v>45536</v>
      </c>
      <c r="B323">
        <v>2024</v>
      </c>
      <c r="C323">
        <v>9</v>
      </c>
      <c r="D323" t="s">
        <v>3443</v>
      </c>
      <c r="E323" t="s">
        <v>3444</v>
      </c>
      <c r="F323" s="3">
        <v>115930.3376453594</v>
      </c>
    </row>
    <row r="324" spans="1:6" x14ac:dyDescent="0.3">
      <c r="A324" s="2">
        <v>45536</v>
      </c>
      <c r="B324">
        <v>2024</v>
      </c>
      <c r="C324">
        <v>9</v>
      </c>
      <c r="D324" t="s">
        <v>3445</v>
      </c>
      <c r="E324" t="s">
        <v>3446</v>
      </c>
      <c r="F324" s="3">
        <v>161665.17973948439</v>
      </c>
    </row>
    <row r="325" spans="1:6" x14ac:dyDescent="0.3">
      <c r="A325" s="2">
        <v>45536</v>
      </c>
      <c r="B325">
        <v>2024</v>
      </c>
      <c r="C325">
        <v>9</v>
      </c>
      <c r="D325" t="s">
        <v>3447</v>
      </c>
      <c r="E325" t="s">
        <v>3448</v>
      </c>
      <c r="F325" s="3">
        <v>56969.747356193977</v>
      </c>
    </row>
    <row r="326" spans="1:6" x14ac:dyDescent="0.3">
      <c r="A326" s="2">
        <v>45536</v>
      </c>
      <c r="B326">
        <v>2024</v>
      </c>
      <c r="C326">
        <v>9</v>
      </c>
      <c r="D326" t="s">
        <v>3449</v>
      </c>
      <c r="E326" t="s">
        <v>3450</v>
      </c>
      <c r="F326" s="3">
        <v>152627.81188629559</v>
      </c>
    </row>
    <row r="327" spans="1:6" x14ac:dyDescent="0.3">
      <c r="A327" s="2">
        <v>45536</v>
      </c>
      <c r="B327">
        <v>2024</v>
      </c>
      <c r="C327">
        <v>9</v>
      </c>
      <c r="D327" t="s">
        <v>3451</v>
      </c>
      <c r="E327" t="s">
        <v>3444</v>
      </c>
      <c r="F327" s="3">
        <v>35498.939715904788</v>
      </c>
    </row>
    <row r="328" spans="1:6" x14ac:dyDescent="0.3">
      <c r="A328" s="2">
        <v>45536</v>
      </c>
      <c r="B328">
        <v>2024</v>
      </c>
      <c r="C328">
        <v>9</v>
      </c>
      <c r="D328" t="s">
        <v>3452</v>
      </c>
      <c r="E328" t="s">
        <v>3453</v>
      </c>
      <c r="F328" s="3">
        <v>24756.45516834618</v>
      </c>
    </row>
    <row r="329" spans="1:6" x14ac:dyDescent="0.3">
      <c r="A329" s="2">
        <v>45536</v>
      </c>
      <c r="B329">
        <v>2024</v>
      </c>
      <c r="C329">
        <v>9</v>
      </c>
      <c r="D329" t="s">
        <v>3454</v>
      </c>
      <c r="E329" t="s">
        <v>3453</v>
      </c>
      <c r="F329" s="3">
        <v>31866.37586893226</v>
      </c>
    </row>
    <row r="330" spans="1:6" x14ac:dyDescent="0.3">
      <c r="A330" s="2">
        <v>45536</v>
      </c>
      <c r="B330">
        <v>2024</v>
      </c>
      <c r="C330">
        <v>9</v>
      </c>
      <c r="D330" t="s">
        <v>3455</v>
      </c>
      <c r="E330" t="s">
        <v>3453</v>
      </c>
      <c r="F330" s="3">
        <v>38744.70618917291</v>
      </c>
    </row>
    <row r="331" spans="1:6" x14ac:dyDescent="0.3">
      <c r="A331" s="2">
        <v>45536</v>
      </c>
      <c r="B331">
        <v>2024</v>
      </c>
      <c r="C331">
        <v>9</v>
      </c>
      <c r="D331" t="s">
        <v>3456</v>
      </c>
      <c r="E331" t="s">
        <v>3450</v>
      </c>
      <c r="F331" s="3">
        <v>26723.93476681957</v>
      </c>
    </row>
    <row r="332" spans="1:6" x14ac:dyDescent="0.3">
      <c r="A332" s="2">
        <v>45566</v>
      </c>
      <c r="B332">
        <v>2024</v>
      </c>
      <c r="C332">
        <v>10</v>
      </c>
      <c r="D332" t="s">
        <v>3441</v>
      </c>
      <c r="E332" t="s">
        <v>3442</v>
      </c>
      <c r="F332" s="3">
        <v>466971.10970480042</v>
      </c>
    </row>
    <row r="333" spans="1:6" x14ac:dyDescent="0.3">
      <c r="A333" s="2">
        <v>45566</v>
      </c>
      <c r="B333">
        <v>2024</v>
      </c>
      <c r="C333">
        <v>10</v>
      </c>
      <c r="D333" t="s">
        <v>3443</v>
      </c>
      <c r="E333" t="s">
        <v>3444</v>
      </c>
      <c r="F333" s="3">
        <v>131337.29064335581</v>
      </c>
    </row>
    <row r="334" spans="1:6" x14ac:dyDescent="0.3">
      <c r="A334" s="2">
        <v>45566</v>
      </c>
      <c r="B334">
        <v>2024</v>
      </c>
      <c r="C334">
        <v>10</v>
      </c>
      <c r="D334" t="s">
        <v>3445</v>
      </c>
      <c r="E334" t="s">
        <v>3446</v>
      </c>
      <c r="F334" s="3">
        <v>172836.96944723511</v>
      </c>
    </row>
    <row r="335" spans="1:6" x14ac:dyDescent="0.3">
      <c r="A335" s="2">
        <v>45566</v>
      </c>
      <c r="B335">
        <v>2024</v>
      </c>
      <c r="C335">
        <v>10</v>
      </c>
      <c r="D335" t="s">
        <v>3447</v>
      </c>
      <c r="E335" t="s">
        <v>3448</v>
      </c>
      <c r="F335" s="3">
        <v>59695.810329815133</v>
      </c>
    </row>
    <row r="336" spans="1:6" x14ac:dyDescent="0.3">
      <c r="A336" s="2">
        <v>45566</v>
      </c>
      <c r="B336">
        <v>2024</v>
      </c>
      <c r="C336">
        <v>10</v>
      </c>
      <c r="D336" t="s">
        <v>3449</v>
      </c>
      <c r="E336" t="s">
        <v>3450</v>
      </c>
      <c r="F336" s="3">
        <v>161668.08413900121</v>
      </c>
    </row>
    <row r="337" spans="1:6" x14ac:dyDescent="0.3">
      <c r="A337" s="2">
        <v>45566</v>
      </c>
      <c r="B337">
        <v>2024</v>
      </c>
      <c r="C337">
        <v>10</v>
      </c>
      <c r="D337" t="s">
        <v>3451</v>
      </c>
      <c r="E337" t="s">
        <v>3444</v>
      </c>
      <c r="F337" s="3">
        <v>37759.432619899089</v>
      </c>
    </row>
    <row r="338" spans="1:6" x14ac:dyDescent="0.3">
      <c r="A338" s="2">
        <v>45566</v>
      </c>
      <c r="B338">
        <v>2024</v>
      </c>
      <c r="C338">
        <v>10</v>
      </c>
      <c r="D338" t="s">
        <v>3452</v>
      </c>
      <c r="E338" t="s">
        <v>3453</v>
      </c>
      <c r="F338" s="3">
        <v>25589.622098729869</v>
      </c>
    </row>
    <row r="339" spans="1:6" x14ac:dyDescent="0.3">
      <c r="A339" s="2">
        <v>45566</v>
      </c>
      <c r="B339">
        <v>2024</v>
      </c>
      <c r="C339">
        <v>10</v>
      </c>
      <c r="D339" t="s">
        <v>3454</v>
      </c>
      <c r="E339" t="s">
        <v>3453</v>
      </c>
      <c r="F339" s="3">
        <v>32663.408745105091</v>
      </c>
    </row>
    <row r="340" spans="1:6" x14ac:dyDescent="0.3">
      <c r="A340" s="2">
        <v>45566</v>
      </c>
      <c r="B340">
        <v>2024</v>
      </c>
      <c r="C340">
        <v>10</v>
      </c>
      <c r="D340" t="s">
        <v>3455</v>
      </c>
      <c r="E340" t="s">
        <v>3453</v>
      </c>
      <c r="F340" s="3">
        <v>42321.045230219861</v>
      </c>
    </row>
    <row r="341" spans="1:6" x14ac:dyDescent="0.3">
      <c r="A341" s="2">
        <v>45566</v>
      </c>
      <c r="B341">
        <v>2024</v>
      </c>
      <c r="C341">
        <v>10</v>
      </c>
      <c r="D341" t="s">
        <v>3456</v>
      </c>
      <c r="E341" t="s">
        <v>3450</v>
      </c>
      <c r="F341" s="3">
        <v>29945.490324347869</v>
      </c>
    </row>
    <row r="342" spans="1:6" x14ac:dyDescent="0.3">
      <c r="A342" s="2">
        <v>45597</v>
      </c>
      <c r="B342">
        <v>2024</v>
      </c>
      <c r="C342">
        <v>11</v>
      </c>
      <c r="D342" t="s">
        <v>3441</v>
      </c>
      <c r="E342" t="s">
        <v>3442</v>
      </c>
      <c r="F342" s="3">
        <v>526365.63410390471</v>
      </c>
    </row>
    <row r="343" spans="1:6" x14ac:dyDescent="0.3">
      <c r="A343" s="2">
        <v>45597</v>
      </c>
      <c r="B343">
        <v>2024</v>
      </c>
      <c r="C343">
        <v>11</v>
      </c>
      <c r="D343" t="s">
        <v>3443</v>
      </c>
      <c r="E343" t="s">
        <v>3444</v>
      </c>
      <c r="F343" s="3">
        <v>147983.75892413509</v>
      </c>
    </row>
    <row r="344" spans="1:6" x14ac:dyDescent="0.3">
      <c r="A344" s="2">
        <v>45597</v>
      </c>
      <c r="B344">
        <v>2024</v>
      </c>
      <c r="C344">
        <v>11</v>
      </c>
      <c r="D344" t="s">
        <v>3445</v>
      </c>
      <c r="E344" t="s">
        <v>3446</v>
      </c>
      <c r="F344" s="3">
        <v>237692.04038183161</v>
      </c>
    </row>
    <row r="345" spans="1:6" x14ac:dyDescent="0.3">
      <c r="A345" s="2">
        <v>45597</v>
      </c>
      <c r="B345">
        <v>2024</v>
      </c>
      <c r="C345">
        <v>11</v>
      </c>
      <c r="D345" t="s">
        <v>3447</v>
      </c>
      <c r="E345" t="s">
        <v>3448</v>
      </c>
      <c r="F345" s="3">
        <v>71459.666773896621</v>
      </c>
    </row>
    <row r="346" spans="1:6" x14ac:dyDescent="0.3">
      <c r="A346" s="2">
        <v>45597</v>
      </c>
      <c r="B346">
        <v>2024</v>
      </c>
      <c r="C346">
        <v>11</v>
      </c>
      <c r="D346" t="s">
        <v>3449</v>
      </c>
      <c r="E346" t="s">
        <v>3450</v>
      </c>
      <c r="F346" s="3">
        <v>215708.73400877809</v>
      </c>
    </row>
    <row r="347" spans="1:6" x14ac:dyDescent="0.3">
      <c r="A347" s="2">
        <v>45597</v>
      </c>
      <c r="B347">
        <v>2024</v>
      </c>
      <c r="C347">
        <v>11</v>
      </c>
      <c r="D347" t="s">
        <v>3451</v>
      </c>
      <c r="E347" t="s">
        <v>3444</v>
      </c>
      <c r="F347" s="3">
        <v>44962.215852545312</v>
      </c>
    </row>
    <row r="348" spans="1:6" x14ac:dyDescent="0.3">
      <c r="A348" s="2">
        <v>45597</v>
      </c>
      <c r="B348">
        <v>2024</v>
      </c>
      <c r="C348">
        <v>11</v>
      </c>
      <c r="D348" t="s">
        <v>3452</v>
      </c>
      <c r="E348" t="s">
        <v>3453</v>
      </c>
      <c r="F348" s="3">
        <v>29635.109832289549</v>
      </c>
    </row>
    <row r="349" spans="1:6" x14ac:dyDescent="0.3">
      <c r="A349" s="2">
        <v>45597</v>
      </c>
      <c r="B349">
        <v>2024</v>
      </c>
      <c r="C349">
        <v>11</v>
      </c>
      <c r="D349" t="s">
        <v>3454</v>
      </c>
      <c r="E349" t="s">
        <v>3453</v>
      </c>
      <c r="F349" s="3">
        <v>38533.193425216406</v>
      </c>
    </row>
    <row r="350" spans="1:6" x14ac:dyDescent="0.3">
      <c r="A350" s="2">
        <v>45597</v>
      </c>
      <c r="B350">
        <v>2024</v>
      </c>
      <c r="C350">
        <v>11</v>
      </c>
      <c r="D350" t="s">
        <v>3455</v>
      </c>
      <c r="E350" t="s">
        <v>3453</v>
      </c>
      <c r="F350" s="3">
        <v>50290.61531928146</v>
      </c>
    </row>
    <row r="351" spans="1:6" x14ac:dyDescent="0.3">
      <c r="A351" s="2">
        <v>45597</v>
      </c>
      <c r="B351">
        <v>2024</v>
      </c>
      <c r="C351">
        <v>11</v>
      </c>
      <c r="D351" t="s">
        <v>3456</v>
      </c>
      <c r="E351" t="s">
        <v>3450</v>
      </c>
      <c r="F351" s="3">
        <v>36015.515821338369</v>
      </c>
    </row>
    <row r="352" spans="1:6" x14ac:dyDescent="0.3">
      <c r="A352" s="2">
        <v>45627</v>
      </c>
      <c r="B352">
        <v>2024</v>
      </c>
      <c r="C352">
        <v>12</v>
      </c>
      <c r="D352" t="s">
        <v>3441</v>
      </c>
      <c r="E352" t="s">
        <v>3442</v>
      </c>
      <c r="F352" s="3">
        <v>606027.43318707636</v>
      </c>
    </row>
    <row r="353" spans="1:6" x14ac:dyDescent="0.3">
      <c r="A353" s="2">
        <v>45627</v>
      </c>
      <c r="B353">
        <v>2024</v>
      </c>
      <c r="C353">
        <v>12</v>
      </c>
      <c r="D353" t="s">
        <v>3443</v>
      </c>
      <c r="E353" t="s">
        <v>3444</v>
      </c>
      <c r="F353" s="3">
        <v>179911.34511272679</v>
      </c>
    </row>
    <row r="354" spans="1:6" x14ac:dyDescent="0.3">
      <c r="A354" s="2">
        <v>45627</v>
      </c>
      <c r="B354">
        <v>2024</v>
      </c>
      <c r="C354">
        <v>12</v>
      </c>
      <c r="D354" t="s">
        <v>3445</v>
      </c>
      <c r="E354" t="s">
        <v>3446</v>
      </c>
      <c r="F354" s="3">
        <v>259811.63268600221</v>
      </c>
    </row>
    <row r="355" spans="1:6" x14ac:dyDescent="0.3">
      <c r="A355" s="2">
        <v>45627</v>
      </c>
      <c r="B355">
        <v>2024</v>
      </c>
      <c r="C355">
        <v>12</v>
      </c>
      <c r="D355" t="s">
        <v>3447</v>
      </c>
      <c r="E355" t="s">
        <v>3448</v>
      </c>
      <c r="F355" s="3">
        <v>77806.688726293723</v>
      </c>
    </row>
    <row r="356" spans="1:6" x14ac:dyDescent="0.3">
      <c r="A356" s="2">
        <v>45627</v>
      </c>
      <c r="B356">
        <v>2024</v>
      </c>
      <c r="C356">
        <v>12</v>
      </c>
      <c r="D356" t="s">
        <v>3449</v>
      </c>
      <c r="E356" t="s">
        <v>3450</v>
      </c>
      <c r="F356" s="3">
        <v>248767.35834713129</v>
      </c>
    </row>
    <row r="357" spans="1:6" x14ac:dyDescent="0.3">
      <c r="A357" s="2">
        <v>45627</v>
      </c>
      <c r="B357">
        <v>2024</v>
      </c>
      <c r="C357">
        <v>12</v>
      </c>
      <c r="D357" t="s">
        <v>3451</v>
      </c>
      <c r="E357" t="s">
        <v>3444</v>
      </c>
      <c r="F357" s="3">
        <v>51845.011521869943</v>
      </c>
    </row>
    <row r="358" spans="1:6" x14ac:dyDescent="0.3">
      <c r="A358" s="2">
        <v>45627</v>
      </c>
      <c r="B358">
        <v>2024</v>
      </c>
      <c r="C358">
        <v>12</v>
      </c>
      <c r="D358" t="s">
        <v>3452</v>
      </c>
      <c r="E358" t="s">
        <v>3453</v>
      </c>
      <c r="F358" s="3">
        <v>35464.237281174013</v>
      </c>
    </row>
    <row r="359" spans="1:6" x14ac:dyDescent="0.3">
      <c r="A359" s="2">
        <v>45627</v>
      </c>
      <c r="B359">
        <v>2024</v>
      </c>
      <c r="C359">
        <v>12</v>
      </c>
      <c r="D359" t="s">
        <v>3454</v>
      </c>
      <c r="E359" t="s">
        <v>3453</v>
      </c>
      <c r="F359" s="3">
        <v>45764.253528393703</v>
      </c>
    </row>
    <row r="360" spans="1:6" x14ac:dyDescent="0.3">
      <c r="A360" s="2">
        <v>45627</v>
      </c>
      <c r="B360">
        <v>2024</v>
      </c>
      <c r="C360">
        <v>12</v>
      </c>
      <c r="D360" t="s">
        <v>3455</v>
      </c>
      <c r="E360" t="s">
        <v>3453</v>
      </c>
      <c r="F360" s="3">
        <v>55985.651429705147</v>
      </c>
    </row>
    <row r="361" spans="1:6" x14ac:dyDescent="0.3">
      <c r="A361" s="2">
        <v>45627</v>
      </c>
      <c r="B361">
        <v>2024</v>
      </c>
      <c r="C361">
        <v>12</v>
      </c>
      <c r="D361" t="s">
        <v>3456</v>
      </c>
      <c r="E361" t="s">
        <v>3450</v>
      </c>
      <c r="F361" s="3">
        <v>39845.306934753127</v>
      </c>
    </row>
    <row r="362" spans="1:6" x14ac:dyDescent="0.3">
      <c r="A362" s="2">
        <v>45658</v>
      </c>
      <c r="B362">
        <v>2025</v>
      </c>
      <c r="C362">
        <v>1</v>
      </c>
      <c r="D362" t="s">
        <v>3441</v>
      </c>
      <c r="E362" t="s">
        <v>3442</v>
      </c>
      <c r="F362" s="3">
        <v>428160.70454750158</v>
      </c>
    </row>
    <row r="363" spans="1:6" x14ac:dyDescent="0.3">
      <c r="A363" s="2">
        <v>45658</v>
      </c>
      <c r="B363">
        <v>2025</v>
      </c>
      <c r="C363">
        <v>1</v>
      </c>
      <c r="D363" t="s">
        <v>3443</v>
      </c>
      <c r="E363" t="s">
        <v>3444</v>
      </c>
      <c r="F363" s="3">
        <v>123616.70501621249</v>
      </c>
    </row>
    <row r="364" spans="1:6" x14ac:dyDescent="0.3">
      <c r="A364" s="2">
        <v>45658</v>
      </c>
      <c r="B364">
        <v>2025</v>
      </c>
      <c r="C364">
        <v>1</v>
      </c>
      <c r="D364" t="s">
        <v>3445</v>
      </c>
      <c r="E364" t="s">
        <v>3446</v>
      </c>
      <c r="F364" s="3">
        <v>173731.06562337431</v>
      </c>
    </row>
    <row r="365" spans="1:6" x14ac:dyDescent="0.3">
      <c r="A365" s="2">
        <v>45658</v>
      </c>
      <c r="B365">
        <v>2025</v>
      </c>
      <c r="C365">
        <v>1</v>
      </c>
      <c r="D365" t="s">
        <v>3447</v>
      </c>
      <c r="E365" t="s">
        <v>3448</v>
      </c>
      <c r="F365" s="3">
        <v>60657.975870465409</v>
      </c>
    </row>
    <row r="366" spans="1:6" x14ac:dyDescent="0.3">
      <c r="A366" s="2">
        <v>45658</v>
      </c>
      <c r="B366">
        <v>2025</v>
      </c>
      <c r="C366">
        <v>1</v>
      </c>
      <c r="D366" t="s">
        <v>3449</v>
      </c>
      <c r="E366" t="s">
        <v>3450</v>
      </c>
      <c r="F366" s="3">
        <v>162589.5775021544</v>
      </c>
    </row>
    <row r="367" spans="1:6" x14ac:dyDescent="0.3">
      <c r="A367" s="2">
        <v>45658</v>
      </c>
      <c r="B367">
        <v>2025</v>
      </c>
      <c r="C367">
        <v>1</v>
      </c>
      <c r="D367" t="s">
        <v>3451</v>
      </c>
      <c r="E367" t="s">
        <v>3444</v>
      </c>
      <c r="F367" s="3">
        <v>36519.753338258277</v>
      </c>
    </row>
    <row r="368" spans="1:6" x14ac:dyDescent="0.3">
      <c r="A368" s="2">
        <v>45658</v>
      </c>
      <c r="B368">
        <v>2025</v>
      </c>
      <c r="C368">
        <v>1</v>
      </c>
      <c r="D368" t="s">
        <v>3452</v>
      </c>
      <c r="E368" t="s">
        <v>3453</v>
      </c>
      <c r="F368" s="3">
        <v>25213.202281225331</v>
      </c>
    </row>
    <row r="369" spans="1:6" x14ac:dyDescent="0.3">
      <c r="A369" s="2">
        <v>45658</v>
      </c>
      <c r="B369">
        <v>2025</v>
      </c>
      <c r="C369">
        <v>1</v>
      </c>
      <c r="D369" t="s">
        <v>3454</v>
      </c>
      <c r="E369" t="s">
        <v>3453</v>
      </c>
      <c r="F369" s="3">
        <v>32882.695936966084</v>
      </c>
    </row>
    <row r="370" spans="1:6" x14ac:dyDescent="0.3">
      <c r="A370" s="2">
        <v>45658</v>
      </c>
      <c r="B370">
        <v>2025</v>
      </c>
      <c r="C370">
        <v>1</v>
      </c>
      <c r="D370" t="s">
        <v>3455</v>
      </c>
      <c r="E370" t="s">
        <v>3453</v>
      </c>
      <c r="F370" s="3">
        <v>43649.110858631982</v>
      </c>
    </row>
    <row r="371" spans="1:6" x14ac:dyDescent="0.3">
      <c r="A371" s="2">
        <v>45658</v>
      </c>
      <c r="B371">
        <v>2025</v>
      </c>
      <c r="C371">
        <v>1</v>
      </c>
      <c r="D371" t="s">
        <v>3456</v>
      </c>
      <c r="E371" t="s">
        <v>3450</v>
      </c>
      <c r="F371" s="3">
        <v>29248.20868565841</v>
      </c>
    </row>
    <row r="372" spans="1:6" x14ac:dyDescent="0.3">
      <c r="A372" s="2">
        <v>45689</v>
      </c>
      <c r="B372">
        <v>2025</v>
      </c>
      <c r="C372">
        <v>2</v>
      </c>
      <c r="D372" t="s">
        <v>3441</v>
      </c>
      <c r="E372" t="s">
        <v>3442</v>
      </c>
      <c r="F372" s="3">
        <v>360996.47095176647</v>
      </c>
    </row>
    <row r="373" spans="1:6" x14ac:dyDescent="0.3">
      <c r="A373" s="2">
        <v>45689</v>
      </c>
      <c r="B373">
        <v>2025</v>
      </c>
      <c r="C373">
        <v>2</v>
      </c>
      <c r="D373" t="s">
        <v>3443</v>
      </c>
      <c r="E373" t="s">
        <v>3444</v>
      </c>
      <c r="F373" s="3">
        <v>106098.5870834128</v>
      </c>
    </row>
    <row r="374" spans="1:6" x14ac:dyDescent="0.3">
      <c r="A374" s="2">
        <v>45689</v>
      </c>
      <c r="B374">
        <v>2025</v>
      </c>
      <c r="C374">
        <v>2</v>
      </c>
      <c r="D374" t="s">
        <v>3445</v>
      </c>
      <c r="E374" t="s">
        <v>3446</v>
      </c>
      <c r="F374" s="3">
        <v>139097.185930376</v>
      </c>
    </row>
    <row r="375" spans="1:6" x14ac:dyDescent="0.3">
      <c r="A375" s="2">
        <v>45689</v>
      </c>
      <c r="B375">
        <v>2025</v>
      </c>
      <c r="C375">
        <v>2</v>
      </c>
      <c r="D375" t="s">
        <v>3447</v>
      </c>
      <c r="E375" t="s">
        <v>3448</v>
      </c>
      <c r="F375" s="3">
        <v>51311.055367408313</v>
      </c>
    </row>
    <row r="376" spans="1:6" x14ac:dyDescent="0.3">
      <c r="A376" s="2">
        <v>45689</v>
      </c>
      <c r="B376">
        <v>2025</v>
      </c>
      <c r="C376">
        <v>2</v>
      </c>
      <c r="D376" t="s">
        <v>3449</v>
      </c>
      <c r="E376" t="s">
        <v>3450</v>
      </c>
      <c r="F376" s="3">
        <v>131824.53772660141</v>
      </c>
    </row>
    <row r="377" spans="1:6" x14ac:dyDescent="0.3">
      <c r="A377" s="2">
        <v>45689</v>
      </c>
      <c r="B377">
        <v>2025</v>
      </c>
      <c r="C377">
        <v>2</v>
      </c>
      <c r="D377" t="s">
        <v>3451</v>
      </c>
      <c r="E377" t="s">
        <v>3444</v>
      </c>
      <c r="F377" s="3">
        <v>30693.291505646412</v>
      </c>
    </row>
    <row r="378" spans="1:6" x14ac:dyDescent="0.3">
      <c r="A378" s="2">
        <v>45689</v>
      </c>
      <c r="B378">
        <v>2025</v>
      </c>
      <c r="C378">
        <v>2</v>
      </c>
      <c r="D378" t="s">
        <v>3452</v>
      </c>
      <c r="E378" t="s">
        <v>3453</v>
      </c>
      <c r="F378" s="3">
        <v>20062.667242361051</v>
      </c>
    </row>
    <row r="379" spans="1:6" x14ac:dyDescent="0.3">
      <c r="A379" s="2">
        <v>45689</v>
      </c>
      <c r="B379">
        <v>2025</v>
      </c>
      <c r="C379">
        <v>2</v>
      </c>
      <c r="D379" t="s">
        <v>3454</v>
      </c>
      <c r="E379" t="s">
        <v>3453</v>
      </c>
      <c r="F379" s="3">
        <v>28250.1368826133</v>
      </c>
    </row>
    <row r="380" spans="1:6" x14ac:dyDescent="0.3">
      <c r="A380" s="2">
        <v>45689</v>
      </c>
      <c r="B380">
        <v>2025</v>
      </c>
      <c r="C380">
        <v>2</v>
      </c>
      <c r="D380" t="s">
        <v>3455</v>
      </c>
      <c r="E380" t="s">
        <v>3453</v>
      </c>
      <c r="F380" s="3">
        <v>34843.40743710332</v>
      </c>
    </row>
    <row r="381" spans="1:6" x14ac:dyDescent="0.3">
      <c r="A381" s="2">
        <v>45689</v>
      </c>
      <c r="B381">
        <v>2025</v>
      </c>
      <c r="C381">
        <v>2</v>
      </c>
      <c r="D381" t="s">
        <v>3456</v>
      </c>
      <c r="E381" t="s">
        <v>3450</v>
      </c>
      <c r="F381" s="3">
        <v>23854.206790024829</v>
      </c>
    </row>
    <row r="382" spans="1:6" x14ac:dyDescent="0.3">
      <c r="A382" s="2">
        <v>45717</v>
      </c>
      <c r="B382">
        <v>2025</v>
      </c>
      <c r="C382">
        <v>3</v>
      </c>
      <c r="D382" t="s">
        <v>3441</v>
      </c>
      <c r="E382" t="s">
        <v>3442</v>
      </c>
      <c r="F382" s="3">
        <v>453593.30219592078</v>
      </c>
    </row>
    <row r="383" spans="1:6" x14ac:dyDescent="0.3">
      <c r="A383" s="2">
        <v>45717</v>
      </c>
      <c r="B383">
        <v>2025</v>
      </c>
      <c r="C383">
        <v>3</v>
      </c>
      <c r="D383" t="s">
        <v>3443</v>
      </c>
      <c r="E383" t="s">
        <v>3444</v>
      </c>
      <c r="F383" s="3">
        <v>127955.7204807626</v>
      </c>
    </row>
    <row r="384" spans="1:6" x14ac:dyDescent="0.3">
      <c r="A384" s="2">
        <v>45717</v>
      </c>
      <c r="B384">
        <v>2025</v>
      </c>
      <c r="C384">
        <v>3</v>
      </c>
      <c r="D384" t="s">
        <v>3445</v>
      </c>
      <c r="E384" t="s">
        <v>3446</v>
      </c>
      <c r="F384" s="3">
        <v>167690.01397099291</v>
      </c>
    </row>
    <row r="385" spans="1:6" x14ac:dyDescent="0.3">
      <c r="A385" s="2">
        <v>45717</v>
      </c>
      <c r="B385">
        <v>2025</v>
      </c>
      <c r="C385">
        <v>3</v>
      </c>
      <c r="D385" t="s">
        <v>3447</v>
      </c>
      <c r="E385" t="s">
        <v>3448</v>
      </c>
      <c r="F385" s="3">
        <v>60736.21007620098</v>
      </c>
    </row>
    <row r="386" spans="1:6" x14ac:dyDescent="0.3">
      <c r="A386" s="2">
        <v>45717</v>
      </c>
      <c r="B386">
        <v>2025</v>
      </c>
      <c r="C386">
        <v>3</v>
      </c>
      <c r="D386" t="s">
        <v>3449</v>
      </c>
      <c r="E386" t="s">
        <v>3450</v>
      </c>
      <c r="F386" s="3">
        <v>162058.47800682331</v>
      </c>
    </row>
    <row r="387" spans="1:6" x14ac:dyDescent="0.3">
      <c r="A387" s="2">
        <v>45717</v>
      </c>
      <c r="B387">
        <v>2025</v>
      </c>
      <c r="C387">
        <v>3</v>
      </c>
      <c r="D387" t="s">
        <v>3451</v>
      </c>
      <c r="E387" t="s">
        <v>3444</v>
      </c>
      <c r="F387" s="3">
        <v>36980.176660553239</v>
      </c>
    </row>
    <row r="388" spans="1:6" x14ac:dyDescent="0.3">
      <c r="A388" s="2">
        <v>45717</v>
      </c>
      <c r="B388">
        <v>2025</v>
      </c>
      <c r="C388">
        <v>3</v>
      </c>
      <c r="D388" t="s">
        <v>3452</v>
      </c>
      <c r="E388" t="s">
        <v>3453</v>
      </c>
      <c r="F388" s="3">
        <v>24517.297084354239</v>
      </c>
    </row>
    <row r="389" spans="1:6" x14ac:dyDescent="0.3">
      <c r="A389" s="2">
        <v>45717</v>
      </c>
      <c r="B389">
        <v>2025</v>
      </c>
      <c r="C389">
        <v>3</v>
      </c>
      <c r="D389" t="s">
        <v>3454</v>
      </c>
      <c r="E389" t="s">
        <v>3453</v>
      </c>
      <c r="F389" s="3">
        <v>34247.999624967488</v>
      </c>
    </row>
    <row r="390" spans="1:6" x14ac:dyDescent="0.3">
      <c r="A390" s="2">
        <v>45717</v>
      </c>
      <c r="B390">
        <v>2025</v>
      </c>
      <c r="C390">
        <v>3</v>
      </c>
      <c r="D390" t="s">
        <v>3455</v>
      </c>
      <c r="E390" t="s">
        <v>3453</v>
      </c>
      <c r="F390" s="3">
        <v>42367.809113380958</v>
      </c>
    </row>
    <row r="391" spans="1:6" x14ac:dyDescent="0.3">
      <c r="A391" s="2">
        <v>45717</v>
      </c>
      <c r="B391">
        <v>2025</v>
      </c>
      <c r="C391">
        <v>3</v>
      </c>
      <c r="D391" t="s">
        <v>3456</v>
      </c>
      <c r="E391" t="s">
        <v>3450</v>
      </c>
      <c r="F391" s="3">
        <v>29491.09124540964</v>
      </c>
    </row>
    <row r="392" spans="1:6" x14ac:dyDescent="0.3">
      <c r="A392" s="2">
        <v>45748</v>
      </c>
      <c r="B392">
        <v>2025</v>
      </c>
      <c r="C392">
        <v>4</v>
      </c>
      <c r="D392" t="s">
        <v>3441</v>
      </c>
      <c r="E392" t="s">
        <v>3442</v>
      </c>
      <c r="F392" s="3">
        <v>451131.86739503348</v>
      </c>
    </row>
    <row r="393" spans="1:6" x14ac:dyDescent="0.3">
      <c r="A393" s="2">
        <v>45748</v>
      </c>
      <c r="B393">
        <v>2025</v>
      </c>
      <c r="C393">
        <v>4</v>
      </c>
      <c r="D393" t="s">
        <v>3443</v>
      </c>
      <c r="E393" t="s">
        <v>3444</v>
      </c>
      <c r="F393" s="3">
        <v>133682.90876361611</v>
      </c>
    </row>
    <row r="394" spans="1:6" x14ac:dyDescent="0.3">
      <c r="A394" s="2">
        <v>45748</v>
      </c>
      <c r="B394">
        <v>2025</v>
      </c>
      <c r="C394">
        <v>4</v>
      </c>
      <c r="D394" t="s">
        <v>3445</v>
      </c>
      <c r="E394" t="s">
        <v>3446</v>
      </c>
      <c r="F394" s="3">
        <v>172259.18821671931</v>
      </c>
    </row>
    <row r="395" spans="1:6" x14ac:dyDescent="0.3">
      <c r="A395" s="2">
        <v>45748</v>
      </c>
      <c r="B395">
        <v>2025</v>
      </c>
      <c r="C395">
        <v>4</v>
      </c>
      <c r="D395" t="s">
        <v>3447</v>
      </c>
      <c r="E395" t="s">
        <v>3448</v>
      </c>
      <c r="F395" s="3">
        <v>61294.696534823182</v>
      </c>
    </row>
    <row r="396" spans="1:6" x14ac:dyDescent="0.3">
      <c r="A396" s="2">
        <v>45748</v>
      </c>
      <c r="B396">
        <v>2025</v>
      </c>
      <c r="C396">
        <v>4</v>
      </c>
      <c r="D396" t="s">
        <v>3449</v>
      </c>
      <c r="E396" t="s">
        <v>3450</v>
      </c>
      <c r="F396" s="3">
        <v>172830.22874685869</v>
      </c>
    </row>
    <row r="397" spans="1:6" x14ac:dyDescent="0.3">
      <c r="A397" s="2">
        <v>45748</v>
      </c>
      <c r="B397">
        <v>2025</v>
      </c>
      <c r="C397">
        <v>4</v>
      </c>
      <c r="D397" t="s">
        <v>3451</v>
      </c>
      <c r="E397" t="s">
        <v>3444</v>
      </c>
      <c r="F397" s="3">
        <v>38851.809235224056</v>
      </c>
    </row>
    <row r="398" spans="1:6" x14ac:dyDescent="0.3">
      <c r="A398" s="2">
        <v>45748</v>
      </c>
      <c r="B398">
        <v>2025</v>
      </c>
      <c r="C398">
        <v>4</v>
      </c>
      <c r="D398" t="s">
        <v>3452</v>
      </c>
      <c r="E398" t="s">
        <v>3453</v>
      </c>
      <c r="F398" s="3">
        <v>25300.636348235941</v>
      </c>
    </row>
    <row r="399" spans="1:6" x14ac:dyDescent="0.3">
      <c r="A399" s="2">
        <v>45748</v>
      </c>
      <c r="B399">
        <v>2025</v>
      </c>
      <c r="C399">
        <v>4</v>
      </c>
      <c r="D399" t="s">
        <v>3454</v>
      </c>
      <c r="E399" t="s">
        <v>3453</v>
      </c>
      <c r="F399" s="3">
        <v>34191.065820195123</v>
      </c>
    </row>
    <row r="400" spans="1:6" x14ac:dyDescent="0.3">
      <c r="A400" s="2">
        <v>45748</v>
      </c>
      <c r="B400">
        <v>2025</v>
      </c>
      <c r="C400">
        <v>4</v>
      </c>
      <c r="D400" t="s">
        <v>3455</v>
      </c>
      <c r="E400" t="s">
        <v>3453</v>
      </c>
      <c r="F400" s="3">
        <v>44984.930604481218</v>
      </c>
    </row>
    <row r="401" spans="1:6" x14ac:dyDescent="0.3">
      <c r="A401" s="2">
        <v>45748</v>
      </c>
      <c r="B401">
        <v>2025</v>
      </c>
      <c r="C401">
        <v>4</v>
      </c>
      <c r="D401" t="s">
        <v>3456</v>
      </c>
      <c r="E401" t="s">
        <v>3450</v>
      </c>
      <c r="F401" s="3">
        <v>30921.358261572481</v>
      </c>
    </row>
    <row r="402" spans="1:6" x14ac:dyDescent="0.3">
      <c r="A402" s="2">
        <v>45778</v>
      </c>
      <c r="B402">
        <v>2025</v>
      </c>
      <c r="C402">
        <v>5</v>
      </c>
      <c r="D402" t="s">
        <v>3441</v>
      </c>
      <c r="E402" t="s">
        <v>3442</v>
      </c>
      <c r="F402" s="3">
        <v>458321.78101141262</v>
      </c>
    </row>
    <row r="403" spans="1:6" x14ac:dyDescent="0.3">
      <c r="A403" s="2">
        <v>45778</v>
      </c>
      <c r="B403">
        <v>2025</v>
      </c>
      <c r="C403">
        <v>5</v>
      </c>
      <c r="D403" t="s">
        <v>3443</v>
      </c>
      <c r="E403" t="s">
        <v>3444</v>
      </c>
      <c r="F403" s="3">
        <v>129700.3321197824</v>
      </c>
    </row>
    <row r="404" spans="1:6" x14ac:dyDescent="0.3">
      <c r="A404" s="2">
        <v>45778</v>
      </c>
      <c r="B404">
        <v>2025</v>
      </c>
      <c r="C404">
        <v>5</v>
      </c>
      <c r="D404" t="s">
        <v>3445</v>
      </c>
      <c r="E404" t="s">
        <v>3446</v>
      </c>
      <c r="F404" s="3">
        <v>177288.56698000451</v>
      </c>
    </row>
    <row r="405" spans="1:6" x14ac:dyDescent="0.3">
      <c r="A405" s="2">
        <v>45778</v>
      </c>
      <c r="B405">
        <v>2025</v>
      </c>
      <c r="C405">
        <v>5</v>
      </c>
      <c r="D405" t="s">
        <v>3447</v>
      </c>
      <c r="E405" t="s">
        <v>3448</v>
      </c>
      <c r="F405" s="3">
        <v>60005.694391272773</v>
      </c>
    </row>
    <row r="406" spans="1:6" x14ac:dyDescent="0.3">
      <c r="A406" s="2">
        <v>45778</v>
      </c>
      <c r="B406">
        <v>2025</v>
      </c>
      <c r="C406">
        <v>5</v>
      </c>
      <c r="D406" t="s">
        <v>3449</v>
      </c>
      <c r="E406" t="s">
        <v>3450</v>
      </c>
      <c r="F406" s="3">
        <v>167676.58780480461</v>
      </c>
    </row>
    <row r="407" spans="1:6" x14ac:dyDescent="0.3">
      <c r="A407" s="2">
        <v>45778</v>
      </c>
      <c r="B407">
        <v>2025</v>
      </c>
      <c r="C407">
        <v>5</v>
      </c>
      <c r="D407" t="s">
        <v>3451</v>
      </c>
      <c r="E407" t="s">
        <v>3444</v>
      </c>
      <c r="F407" s="3">
        <v>38691.206268423251</v>
      </c>
    </row>
    <row r="408" spans="1:6" x14ac:dyDescent="0.3">
      <c r="A408" s="2">
        <v>45778</v>
      </c>
      <c r="B408">
        <v>2025</v>
      </c>
      <c r="C408">
        <v>5</v>
      </c>
      <c r="D408" t="s">
        <v>3452</v>
      </c>
      <c r="E408" t="s">
        <v>3453</v>
      </c>
      <c r="F408" s="3">
        <v>25684.832550501538</v>
      </c>
    </row>
    <row r="409" spans="1:6" x14ac:dyDescent="0.3">
      <c r="A409" s="2">
        <v>45778</v>
      </c>
      <c r="B409">
        <v>2025</v>
      </c>
      <c r="C409">
        <v>5</v>
      </c>
      <c r="D409" t="s">
        <v>3454</v>
      </c>
      <c r="E409" t="s">
        <v>3453</v>
      </c>
      <c r="F409" s="3">
        <v>34474.306076801549</v>
      </c>
    </row>
    <row r="410" spans="1:6" x14ac:dyDescent="0.3">
      <c r="A410" s="2">
        <v>45778</v>
      </c>
      <c r="B410">
        <v>2025</v>
      </c>
      <c r="C410">
        <v>5</v>
      </c>
      <c r="D410" t="s">
        <v>3455</v>
      </c>
      <c r="E410" t="s">
        <v>3453</v>
      </c>
      <c r="F410" s="3">
        <v>43379.799803069007</v>
      </c>
    </row>
    <row r="411" spans="1:6" x14ac:dyDescent="0.3">
      <c r="A411" s="2">
        <v>45778</v>
      </c>
      <c r="B411">
        <v>2025</v>
      </c>
      <c r="C411">
        <v>5</v>
      </c>
      <c r="D411" t="s">
        <v>3456</v>
      </c>
      <c r="E411" t="s">
        <v>3450</v>
      </c>
      <c r="F411" s="3">
        <v>30616.12893286976</v>
      </c>
    </row>
    <row r="412" spans="1:6" x14ac:dyDescent="0.3">
      <c r="A412" s="2">
        <v>45809</v>
      </c>
      <c r="B412">
        <v>2025</v>
      </c>
      <c r="C412">
        <v>6</v>
      </c>
      <c r="D412" t="s">
        <v>3441</v>
      </c>
      <c r="E412" t="s">
        <v>3442</v>
      </c>
      <c r="F412" s="3">
        <v>518386.75766911329</v>
      </c>
    </row>
    <row r="413" spans="1:6" x14ac:dyDescent="0.3">
      <c r="A413" s="2">
        <v>45809</v>
      </c>
      <c r="B413">
        <v>2025</v>
      </c>
      <c r="C413">
        <v>6</v>
      </c>
      <c r="D413" t="s">
        <v>3443</v>
      </c>
      <c r="E413" t="s">
        <v>3444</v>
      </c>
      <c r="F413" s="3">
        <v>133666.54722282331</v>
      </c>
    </row>
    <row r="414" spans="1:6" x14ac:dyDescent="0.3">
      <c r="A414" s="2">
        <v>45809</v>
      </c>
      <c r="B414">
        <v>2025</v>
      </c>
      <c r="C414">
        <v>6</v>
      </c>
      <c r="D414" t="s">
        <v>3445</v>
      </c>
      <c r="E414" t="s">
        <v>3446</v>
      </c>
      <c r="F414" s="3">
        <v>192360.97262088521</v>
      </c>
    </row>
    <row r="415" spans="1:6" x14ac:dyDescent="0.3">
      <c r="A415" s="2">
        <v>45809</v>
      </c>
      <c r="B415">
        <v>2025</v>
      </c>
      <c r="C415">
        <v>6</v>
      </c>
      <c r="D415" t="s">
        <v>3447</v>
      </c>
      <c r="E415" t="s">
        <v>3448</v>
      </c>
      <c r="F415" s="3">
        <v>68041.101925488678</v>
      </c>
    </row>
    <row r="416" spans="1:6" x14ac:dyDescent="0.3">
      <c r="A416" s="2">
        <v>45809</v>
      </c>
      <c r="B416">
        <v>2025</v>
      </c>
      <c r="C416">
        <v>6</v>
      </c>
      <c r="D416" t="s">
        <v>3449</v>
      </c>
      <c r="E416" t="s">
        <v>3450</v>
      </c>
      <c r="F416" s="3">
        <v>193526.45363837041</v>
      </c>
    </row>
    <row r="417" spans="1:6" x14ac:dyDescent="0.3">
      <c r="A417" s="2">
        <v>45809</v>
      </c>
      <c r="B417">
        <v>2025</v>
      </c>
      <c r="C417">
        <v>6</v>
      </c>
      <c r="D417" t="s">
        <v>3451</v>
      </c>
      <c r="E417" t="s">
        <v>3444</v>
      </c>
      <c r="F417" s="3">
        <v>42980.452775078338</v>
      </c>
    </row>
    <row r="418" spans="1:6" x14ac:dyDescent="0.3">
      <c r="A418" s="2">
        <v>45809</v>
      </c>
      <c r="B418">
        <v>2025</v>
      </c>
      <c r="C418">
        <v>6</v>
      </c>
      <c r="D418" t="s">
        <v>3452</v>
      </c>
      <c r="E418" t="s">
        <v>3453</v>
      </c>
      <c r="F418" s="3">
        <v>29568.607383498809</v>
      </c>
    </row>
    <row r="419" spans="1:6" x14ac:dyDescent="0.3">
      <c r="A419" s="2">
        <v>45809</v>
      </c>
      <c r="B419">
        <v>2025</v>
      </c>
      <c r="C419">
        <v>6</v>
      </c>
      <c r="D419" t="s">
        <v>3454</v>
      </c>
      <c r="E419" t="s">
        <v>3453</v>
      </c>
      <c r="F419" s="3">
        <v>40732.563895281477</v>
      </c>
    </row>
    <row r="420" spans="1:6" x14ac:dyDescent="0.3">
      <c r="A420" s="2">
        <v>45809</v>
      </c>
      <c r="B420">
        <v>2025</v>
      </c>
      <c r="C420">
        <v>6</v>
      </c>
      <c r="D420" t="s">
        <v>3455</v>
      </c>
      <c r="E420" t="s">
        <v>3453</v>
      </c>
      <c r="F420" s="3">
        <v>47470.202139572793</v>
      </c>
    </row>
    <row r="421" spans="1:6" x14ac:dyDescent="0.3">
      <c r="A421" s="2">
        <v>45809</v>
      </c>
      <c r="B421">
        <v>2025</v>
      </c>
      <c r="C421">
        <v>6</v>
      </c>
      <c r="D421" t="s">
        <v>3456</v>
      </c>
      <c r="E421" t="s">
        <v>3450</v>
      </c>
      <c r="F421" s="3">
        <v>34695.273000563611</v>
      </c>
    </row>
    <row r="422" spans="1:6" x14ac:dyDescent="0.3">
      <c r="A422" s="2">
        <v>45839</v>
      </c>
      <c r="B422">
        <v>2025</v>
      </c>
      <c r="C422">
        <v>7</v>
      </c>
      <c r="D422" t="s">
        <v>3441</v>
      </c>
      <c r="E422" t="s">
        <v>3442</v>
      </c>
      <c r="F422" s="3">
        <v>529361.75922411424</v>
      </c>
    </row>
    <row r="423" spans="1:6" x14ac:dyDescent="0.3">
      <c r="A423" s="2">
        <v>45839</v>
      </c>
      <c r="B423">
        <v>2025</v>
      </c>
      <c r="C423">
        <v>7</v>
      </c>
      <c r="D423" t="s">
        <v>3443</v>
      </c>
      <c r="E423" t="s">
        <v>3444</v>
      </c>
      <c r="F423" s="3">
        <v>152394.6670349747</v>
      </c>
    </row>
    <row r="424" spans="1:6" x14ac:dyDescent="0.3">
      <c r="A424" s="2">
        <v>45839</v>
      </c>
      <c r="B424">
        <v>2025</v>
      </c>
      <c r="C424">
        <v>7</v>
      </c>
      <c r="D424" t="s">
        <v>3445</v>
      </c>
      <c r="E424" t="s">
        <v>3446</v>
      </c>
      <c r="F424" s="3">
        <v>201657.30613525811</v>
      </c>
    </row>
    <row r="425" spans="1:6" x14ac:dyDescent="0.3">
      <c r="A425" s="2">
        <v>45839</v>
      </c>
      <c r="B425">
        <v>2025</v>
      </c>
      <c r="C425">
        <v>7</v>
      </c>
      <c r="D425" t="s">
        <v>3447</v>
      </c>
      <c r="E425" t="s">
        <v>3448</v>
      </c>
      <c r="F425" s="3">
        <v>70708.360132893009</v>
      </c>
    </row>
    <row r="426" spans="1:6" x14ac:dyDescent="0.3">
      <c r="A426" s="2">
        <v>45839</v>
      </c>
      <c r="B426">
        <v>2025</v>
      </c>
      <c r="C426">
        <v>7</v>
      </c>
      <c r="D426" t="s">
        <v>3449</v>
      </c>
      <c r="E426" t="s">
        <v>3450</v>
      </c>
      <c r="F426" s="3">
        <v>208802.9587294095</v>
      </c>
    </row>
    <row r="427" spans="1:6" x14ac:dyDescent="0.3">
      <c r="A427" s="2">
        <v>45839</v>
      </c>
      <c r="B427">
        <v>2025</v>
      </c>
      <c r="C427">
        <v>7</v>
      </c>
      <c r="D427" t="s">
        <v>3451</v>
      </c>
      <c r="E427" t="s">
        <v>3444</v>
      </c>
      <c r="F427" s="3">
        <v>47280.057201397853</v>
      </c>
    </row>
    <row r="428" spans="1:6" x14ac:dyDescent="0.3">
      <c r="A428" s="2">
        <v>45839</v>
      </c>
      <c r="B428">
        <v>2025</v>
      </c>
      <c r="C428">
        <v>7</v>
      </c>
      <c r="D428" t="s">
        <v>3452</v>
      </c>
      <c r="E428" t="s">
        <v>3453</v>
      </c>
      <c r="F428" s="3">
        <v>31718.5849860696</v>
      </c>
    </row>
    <row r="429" spans="1:6" x14ac:dyDescent="0.3">
      <c r="A429" s="2">
        <v>45839</v>
      </c>
      <c r="B429">
        <v>2025</v>
      </c>
      <c r="C429">
        <v>7</v>
      </c>
      <c r="D429" t="s">
        <v>3454</v>
      </c>
      <c r="E429" t="s">
        <v>3453</v>
      </c>
      <c r="F429" s="3">
        <v>41664.052940584013</v>
      </c>
    </row>
    <row r="430" spans="1:6" x14ac:dyDescent="0.3">
      <c r="A430" s="2">
        <v>45839</v>
      </c>
      <c r="B430">
        <v>2025</v>
      </c>
      <c r="C430">
        <v>7</v>
      </c>
      <c r="D430" t="s">
        <v>3455</v>
      </c>
      <c r="E430" t="s">
        <v>3453</v>
      </c>
      <c r="F430" s="3">
        <v>49381.334802497251</v>
      </c>
    </row>
    <row r="431" spans="1:6" x14ac:dyDescent="0.3">
      <c r="A431" s="2">
        <v>45839</v>
      </c>
      <c r="B431">
        <v>2025</v>
      </c>
      <c r="C431">
        <v>7</v>
      </c>
      <c r="D431" t="s">
        <v>3456</v>
      </c>
      <c r="E431" t="s">
        <v>3450</v>
      </c>
      <c r="F431" s="3">
        <v>36368.682600448607</v>
      </c>
    </row>
    <row r="432" spans="1:6" x14ac:dyDescent="0.3">
      <c r="A432" s="2">
        <v>45870</v>
      </c>
      <c r="B432">
        <v>2025</v>
      </c>
      <c r="C432">
        <v>8</v>
      </c>
      <c r="D432" t="s">
        <v>3441</v>
      </c>
      <c r="E432" t="s">
        <v>3442</v>
      </c>
      <c r="F432" s="3">
        <v>497781.7742656378</v>
      </c>
    </row>
    <row r="433" spans="1:6" x14ac:dyDescent="0.3">
      <c r="A433" s="2">
        <v>45870</v>
      </c>
      <c r="B433">
        <v>2025</v>
      </c>
      <c r="C433">
        <v>8</v>
      </c>
      <c r="D433" t="s">
        <v>3443</v>
      </c>
      <c r="E433" t="s">
        <v>3444</v>
      </c>
      <c r="F433" s="3">
        <v>135553.05821114109</v>
      </c>
    </row>
    <row r="434" spans="1:6" x14ac:dyDescent="0.3">
      <c r="A434" s="2">
        <v>45870</v>
      </c>
      <c r="B434">
        <v>2025</v>
      </c>
      <c r="C434">
        <v>8</v>
      </c>
      <c r="D434" t="s">
        <v>3445</v>
      </c>
      <c r="E434" t="s">
        <v>3446</v>
      </c>
      <c r="F434" s="3">
        <v>189134.35601028439</v>
      </c>
    </row>
    <row r="435" spans="1:6" x14ac:dyDescent="0.3">
      <c r="A435" s="2">
        <v>45870</v>
      </c>
      <c r="B435">
        <v>2025</v>
      </c>
      <c r="C435">
        <v>8</v>
      </c>
      <c r="D435" t="s">
        <v>3447</v>
      </c>
      <c r="E435" t="s">
        <v>3448</v>
      </c>
      <c r="F435" s="3">
        <v>65775.282776321284</v>
      </c>
    </row>
    <row r="436" spans="1:6" x14ac:dyDescent="0.3">
      <c r="A436" s="2">
        <v>45870</v>
      </c>
      <c r="B436">
        <v>2025</v>
      </c>
      <c r="C436">
        <v>8</v>
      </c>
      <c r="D436" t="s">
        <v>3449</v>
      </c>
      <c r="E436" t="s">
        <v>3450</v>
      </c>
      <c r="F436" s="3">
        <v>183566.8435067301</v>
      </c>
    </row>
    <row r="437" spans="1:6" x14ac:dyDescent="0.3">
      <c r="A437" s="2">
        <v>45870</v>
      </c>
      <c r="B437">
        <v>2025</v>
      </c>
      <c r="C437">
        <v>8</v>
      </c>
      <c r="D437" t="s">
        <v>3451</v>
      </c>
      <c r="E437" t="s">
        <v>3444</v>
      </c>
      <c r="F437" s="3">
        <v>41118.440615597203</v>
      </c>
    </row>
    <row r="438" spans="1:6" x14ac:dyDescent="0.3">
      <c r="A438" s="2">
        <v>45870</v>
      </c>
      <c r="B438">
        <v>2025</v>
      </c>
      <c r="C438">
        <v>8</v>
      </c>
      <c r="D438" t="s">
        <v>3452</v>
      </c>
      <c r="E438" t="s">
        <v>3453</v>
      </c>
      <c r="F438" s="3">
        <v>26941.485248891091</v>
      </c>
    </row>
    <row r="439" spans="1:6" x14ac:dyDescent="0.3">
      <c r="A439" s="2">
        <v>45870</v>
      </c>
      <c r="B439">
        <v>2025</v>
      </c>
      <c r="C439">
        <v>8</v>
      </c>
      <c r="D439" t="s">
        <v>3454</v>
      </c>
      <c r="E439" t="s">
        <v>3453</v>
      </c>
      <c r="F439" s="3">
        <v>36601.577728121752</v>
      </c>
    </row>
    <row r="440" spans="1:6" x14ac:dyDescent="0.3">
      <c r="A440" s="2">
        <v>45870</v>
      </c>
      <c r="B440">
        <v>2025</v>
      </c>
      <c r="C440">
        <v>8</v>
      </c>
      <c r="D440" t="s">
        <v>3455</v>
      </c>
      <c r="E440" t="s">
        <v>3453</v>
      </c>
      <c r="F440" s="3">
        <v>47826.361177248233</v>
      </c>
    </row>
    <row r="441" spans="1:6" x14ac:dyDescent="0.3">
      <c r="A441" s="2">
        <v>45870</v>
      </c>
      <c r="B441">
        <v>2025</v>
      </c>
      <c r="C441">
        <v>8</v>
      </c>
      <c r="D441" t="s">
        <v>3456</v>
      </c>
      <c r="E441" t="s">
        <v>3450</v>
      </c>
      <c r="F441" s="3">
        <v>30841.276765529929</v>
      </c>
    </row>
    <row r="442" spans="1:6" x14ac:dyDescent="0.3">
      <c r="A442" s="2">
        <v>45901</v>
      </c>
      <c r="B442">
        <v>2025</v>
      </c>
      <c r="C442">
        <v>9</v>
      </c>
      <c r="D442" t="s">
        <v>3441</v>
      </c>
      <c r="E442" t="s">
        <v>3442</v>
      </c>
      <c r="F442" s="3">
        <v>511147.60287865083</v>
      </c>
    </row>
    <row r="443" spans="1:6" x14ac:dyDescent="0.3">
      <c r="A443" s="2">
        <v>45901</v>
      </c>
      <c r="B443">
        <v>2025</v>
      </c>
      <c r="C443">
        <v>9</v>
      </c>
      <c r="D443" t="s">
        <v>3443</v>
      </c>
      <c r="E443" t="s">
        <v>3444</v>
      </c>
      <c r="F443" s="3">
        <v>154349.898829607</v>
      </c>
    </row>
    <row r="444" spans="1:6" x14ac:dyDescent="0.3">
      <c r="A444" s="2">
        <v>45901</v>
      </c>
      <c r="B444">
        <v>2025</v>
      </c>
      <c r="C444">
        <v>9</v>
      </c>
      <c r="D444" t="s">
        <v>3445</v>
      </c>
      <c r="E444" t="s">
        <v>3446</v>
      </c>
      <c r="F444" s="3">
        <v>203068.90964188971</v>
      </c>
    </row>
    <row r="445" spans="1:6" x14ac:dyDescent="0.3">
      <c r="A445" s="2">
        <v>45901</v>
      </c>
      <c r="B445">
        <v>2025</v>
      </c>
      <c r="C445">
        <v>9</v>
      </c>
      <c r="D445" t="s">
        <v>3447</v>
      </c>
      <c r="E445" t="s">
        <v>3448</v>
      </c>
      <c r="F445" s="3">
        <v>71883.21827296431</v>
      </c>
    </row>
    <row r="446" spans="1:6" x14ac:dyDescent="0.3">
      <c r="A446" s="2">
        <v>45901</v>
      </c>
      <c r="B446">
        <v>2025</v>
      </c>
      <c r="C446">
        <v>9</v>
      </c>
      <c r="D446" t="s">
        <v>3449</v>
      </c>
      <c r="E446" t="s">
        <v>3450</v>
      </c>
      <c r="F446" s="3">
        <v>199684.04615706069</v>
      </c>
    </row>
    <row r="447" spans="1:6" x14ac:dyDescent="0.3">
      <c r="A447" s="2">
        <v>45901</v>
      </c>
      <c r="B447">
        <v>2025</v>
      </c>
      <c r="C447">
        <v>9</v>
      </c>
      <c r="D447" t="s">
        <v>3451</v>
      </c>
      <c r="E447" t="s">
        <v>3444</v>
      </c>
      <c r="F447" s="3">
        <v>45563.472994422962</v>
      </c>
    </row>
    <row r="448" spans="1:6" x14ac:dyDescent="0.3">
      <c r="A448" s="2">
        <v>45901</v>
      </c>
      <c r="B448">
        <v>2025</v>
      </c>
      <c r="C448">
        <v>9</v>
      </c>
      <c r="D448" t="s">
        <v>3452</v>
      </c>
      <c r="E448" t="s">
        <v>3453</v>
      </c>
      <c r="F448" s="3">
        <v>29358.874843221169</v>
      </c>
    </row>
    <row r="449" spans="1:6" x14ac:dyDescent="0.3">
      <c r="A449" s="2">
        <v>45901</v>
      </c>
      <c r="B449">
        <v>2025</v>
      </c>
      <c r="C449">
        <v>9</v>
      </c>
      <c r="D449" t="s">
        <v>3454</v>
      </c>
      <c r="E449" t="s">
        <v>3453</v>
      </c>
      <c r="F449" s="3">
        <v>43167.269412401307</v>
      </c>
    </row>
    <row r="450" spans="1:6" x14ac:dyDescent="0.3">
      <c r="A450" s="2">
        <v>45901</v>
      </c>
      <c r="B450">
        <v>2025</v>
      </c>
      <c r="C450">
        <v>9</v>
      </c>
      <c r="D450" t="s">
        <v>3455</v>
      </c>
      <c r="E450" t="s">
        <v>3453</v>
      </c>
      <c r="F450" s="3">
        <v>50055.41428950616</v>
      </c>
    </row>
    <row r="451" spans="1:6" x14ac:dyDescent="0.3">
      <c r="A451" s="2">
        <v>45901</v>
      </c>
      <c r="B451">
        <v>2025</v>
      </c>
      <c r="C451">
        <v>9</v>
      </c>
      <c r="D451" t="s">
        <v>3456</v>
      </c>
      <c r="E451" t="s">
        <v>3450</v>
      </c>
      <c r="F451" s="3">
        <v>34983.26300598638</v>
      </c>
    </row>
    <row r="452" spans="1:6" x14ac:dyDescent="0.3">
      <c r="A452" s="2">
        <v>45931</v>
      </c>
      <c r="B452">
        <v>2025</v>
      </c>
      <c r="C452">
        <v>10</v>
      </c>
      <c r="D452" t="s">
        <v>3441</v>
      </c>
      <c r="E452" t="s">
        <v>3442</v>
      </c>
      <c r="F452" s="3">
        <v>529751.57959481538</v>
      </c>
    </row>
    <row r="453" spans="1:6" x14ac:dyDescent="0.3">
      <c r="A453" s="2">
        <v>45931</v>
      </c>
      <c r="B453">
        <v>2025</v>
      </c>
      <c r="C453">
        <v>10</v>
      </c>
      <c r="D453" t="s">
        <v>3443</v>
      </c>
      <c r="E453" t="s">
        <v>3444</v>
      </c>
      <c r="F453" s="3">
        <v>145877.51221667309</v>
      </c>
    </row>
    <row r="454" spans="1:6" x14ac:dyDescent="0.3">
      <c r="A454" s="2">
        <v>45931</v>
      </c>
      <c r="B454">
        <v>2025</v>
      </c>
      <c r="C454">
        <v>10</v>
      </c>
      <c r="D454" t="s">
        <v>3445</v>
      </c>
      <c r="E454" t="s">
        <v>3446</v>
      </c>
      <c r="F454" s="3">
        <v>196079.87563432439</v>
      </c>
    </row>
    <row r="455" spans="1:6" x14ac:dyDescent="0.3">
      <c r="A455" s="2">
        <v>45931</v>
      </c>
      <c r="B455">
        <v>2025</v>
      </c>
      <c r="C455">
        <v>10</v>
      </c>
      <c r="D455" t="s">
        <v>3447</v>
      </c>
      <c r="E455" t="s">
        <v>3448</v>
      </c>
      <c r="F455" s="3">
        <v>69566.524254468444</v>
      </c>
    </row>
    <row r="456" spans="1:6" x14ac:dyDescent="0.3">
      <c r="A456" s="2">
        <v>45931</v>
      </c>
      <c r="B456">
        <v>2025</v>
      </c>
      <c r="C456">
        <v>10</v>
      </c>
      <c r="D456" t="s">
        <v>3449</v>
      </c>
      <c r="E456" t="s">
        <v>3450</v>
      </c>
      <c r="F456" s="3">
        <v>191625.69491608819</v>
      </c>
    </row>
    <row r="457" spans="1:6" x14ac:dyDescent="0.3">
      <c r="A457" s="2">
        <v>45931</v>
      </c>
      <c r="B457">
        <v>2025</v>
      </c>
      <c r="C457">
        <v>10</v>
      </c>
      <c r="D457" t="s">
        <v>3451</v>
      </c>
      <c r="E457" t="s">
        <v>3444</v>
      </c>
      <c r="F457" s="3">
        <v>43819.624767709043</v>
      </c>
    </row>
    <row r="458" spans="1:6" x14ac:dyDescent="0.3">
      <c r="A458" s="2">
        <v>45931</v>
      </c>
      <c r="B458">
        <v>2025</v>
      </c>
      <c r="C458">
        <v>10</v>
      </c>
      <c r="D458" t="s">
        <v>3452</v>
      </c>
      <c r="E458" t="s">
        <v>3453</v>
      </c>
      <c r="F458" s="3">
        <v>30578.059813412568</v>
      </c>
    </row>
    <row r="459" spans="1:6" x14ac:dyDescent="0.3">
      <c r="A459" s="2">
        <v>45931</v>
      </c>
      <c r="B459">
        <v>2025</v>
      </c>
      <c r="C459">
        <v>10</v>
      </c>
      <c r="D459" t="s">
        <v>3454</v>
      </c>
      <c r="E459" t="s">
        <v>3453</v>
      </c>
      <c r="F459" s="3">
        <v>37180.960673155823</v>
      </c>
    </row>
    <row r="460" spans="1:6" x14ac:dyDescent="0.3">
      <c r="A460" s="2">
        <v>45931</v>
      </c>
      <c r="B460">
        <v>2025</v>
      </c>
      <c r="C460">
        <v>10</v>
      </c>
      <c r="D460" t="s">
        <v>3455</v>
      </c>
      <c r="E460" t="s">
        <v>3453</v>
      </c>
      <c r="F460" s="3">
        <v>50030.373025478802</v>
      </c>
    </row>
    <row r="461" spans="1:6" x14ac:dyDescent="0.3">
      <c r="A461" s="2">
        <v>45931</v>
      </c>
      <c r="B461">
        <v>2025</v>
      </c>
      <c r="C461">
        <v>10</v>
      </c>
      <c r="D461" t="s">
        <v>3456</v>
      </c>
      <c r="E461" t="s">
        <v>3450</v>
      </c>
      <c r="F461" s="3">
        <v>33647.11211360513</v>
      </c>
    </row>
    <row r="462" spans="1:6" x14ac:dyDescent="0.3">
      <c r="A462" s="2">
        <v>45962</v>
      </c>
      <c r="B462">
        <v>2025</v>
      </c>
      <c r="C462">
        <v>11</v>
      </c>
      <c r="D462" t="s">
        <v>3441</v>
      </c>
      <c r="E462" t="s">
        <v>3442</v>
      </c>
      <c r="F462" s="3">
        <v>707442.05220497039</v>
      </c>
    </row>
    <row r="463" spans="1:6" x14ac:dyDescent="0.3">
      <c r="A463" s="2">
        <v>45962</v>
      </c>
      <c r="B463">
        <v>2025</v>
      </c>
      <c r="C463">
        <v>11</v>
      </c>
      <c r="D463" t="s">
        <v>3443</v>
      </c>
      <c r="E463" t="s">
        <v>3444</v>
      </c>
      <c r="F463" s="3">
        <v>196115.96588784581</v>
      </c>
    </row>
    <row r="464" spans="1:6" x14ac:dyDescent="0.3">
      <c r="A464" s="2">
        <v>45962</v>
      </c>
      <c r="B464">
        <v>2025</v>
      </c>
      <c r="C464">
        <v>11</v>
      </c>
      <c r="D464" t="s">
        <v>3445</v>
      </c>
      <c r="E464" t="s">
        <v>3446</v>
      </c>
      <c r="F464" s="3">
        <v>302291.59418533911</v>
      </c>
    </row>
    <row r="465" spans="1:6" x14ac:dyDescent="0.3">
      <c r="A465" s="2">
        <v>45962</v>
      </c>
      <c r="B465">
        <v>2025</v>
      </c>
      <c r="C465">
        <v>11</v>
      </c>
      <c r="D465" t="s">
        <v>3447</v>
      </c>
      <c r="E465" t="s">
        <v>3448</v>
      </c>
      <c r="F465" s="3">
        <v>92708.160436542123</v>
      </c>
    </row>
    <row r="466" spans="1:6" x14ac:dyDescent="0.3">
      <c r="A466" s="2">
        <v>45962</v>
      </c>
      <c r="B466">
        <v>2025</v>
      </c>
      <c r="C466">
        <v>11</v>
      </c>
      <c r="D466" t="s">
        <v>3449</v>
      </c>
      <c r="E466" t="s">
        <v>3450</v>
      </c>
      <c r="F466" s="3">
        <v>283429.33693297527</v>
      </c>
    </row>
    <row r="467" spans="1:6" x14ac:dyDescent="0.3">
      <c r="A467" s="2">
        <v>45962</v>
      </c>
      <c r="B467">
        <v>2025</v>
      </c>
      <c r="C467">
        <v>11</v>
      </c>
      <c r="D467" t="s">
        <v>3451</v>
      </c>
      <c r="E467" t="s">
        <v>3444</v>
      </c>
      <c r="F467" s="3">
        <v>59567.401896677307</v>
      </c>
    </row>
    <row r="468" spans="1:6" x14ac:dyDescent="0.3">
      <c r="A468" s="2">
        <v>45962</v>
      </c>
      <c r="B468">
        <v>2025</v>
      </c>
      <c r="C468">
        <v>11</v>
      </c>
      <c r="D468" t="s">
        <v>3452</v>
      </c>
      <c r="E468" t="s">
        <v>3453</v>
      </c>
      <c r="F468" s="3">
        <v>38078.27360132389</v>
      </c>
    </row>
    <row r="469" spans="1:6" x14ac:dyDescent="0.3">
      <c r="A469" s="2">
        <v>45962</v>
      </c>
      <c r="B469">
        <v>2025</v>
      </c>
      <c r="C469">
        <v>11</v>
      </c>
      <c r="D469" t="s">
        <v>3454</v>
      </c>
      <c r="E469" t="s">
        <v>3453</v>
      </c>
      <c r="F469" s="3">
        <v>51481.949498248061</v>
      </c>
    </row>
    <row r="470" spans="1:6" x14ac:dyDescent="0.3">
      <c r="A470" s="2">
        <v>45962</v>
      </c>
      <c r="B470">
        <v>2025</v>
      </c>
      <c r="C470">
        <v>11</v>
      </c>
      <c r="D470" t="s">
        <v>3455</v>
      </c>
      <c r="E470" t="s">
        <v>3453</v>
      </c>
      <c r="F470" s="3">
        <v>65134.034144377933</v>
      </c>
    </row>
    <row r="471" spans="1:6" x14ac:dyDescent="0.3">
      <c r="A471" s="2">
        <v>45962</v>
      </c>
      <c r="B471">
        <v>2025</v>
      </c>
      <c r="C471">
        <v>11</v>
      </c>
      <c r="D471" t="s">
        <v>3456</v>
      </c>
      <c r="E471" t="s">
        <v>3450</v>
      </c>
      <c r="F471" s="3">
        <v>45551.432356751837</v>
      </c>
    </row>
    <row r="472" spans="1:6" x14ac:dyDescent="0.3">
      <c r="A472" s="2">
        <v>45992</v>
      </c>
      <c r="B472">
        <v>2025</v>
      </c>
      <c r="C472">
        <v>12</v>
      </c>
      <c r="D472" t="s">
        <v>3441</v>
      </c>
      <c r="E472" t="s">
        <v>3442</v>
      </c>
      <c r="F472" s="3">
        <v>757051.76779472025</v>
      </c>
    </row>
    <row r="473" spans="1:6" x14ac:dyDescent="0.3">
      <c r="A473" s="2">
        <v>45992</v>
      </c>
      <c r="B473">
        <v>2025</v>
      </c>
      <c r="C473">
        <v>12</v>
      </c>
      <c r="D473" t="s">
        <v>3443</v>
      </c>
      <c r="E473" t="s">
        <v>3444</v>
      </c>
      <c r="F473" s="3">
        <v>201625.70227670571</v>
      </c>
    </row>
    <row r="474" spans="1:6" x14ac:dyDescent="0.3">
      <c r="A474" s="2">
        <v>45992</v>
      </c>
      <c r="B474">
        <v>2025</v>
      </c>
      <c r="C474">
        <v>12</v>
      </c>
      <c r="D474" t="s">
        <v>3445</v>
      </c>
      <c r="E474" t="s">
        <v>3446</v>
      </c>
      <c r="F474" s="3">
        <v>336843.51646254119</v>
      </c>
    </row>
    <row r="475" spans="1:6" x14ac:dyDescent="0.3">
      <c r="A475" s="2">
        <v>45992</v>
      </c>
      <c r="B475">
        <v>2025</v>
      </c>
      <c r="C475">
        <v>12</v>
      </c>
      <c r="D475" t="s">
        <v>3447</v>
      </c>
      <c r="E475" t="s">
        <v>3448</v>
      </c>
      <c r="F475" s="3">
        <v>98364.752839679495</v>
      </c>
    </row>
    <row r="476" spans="1:6" x14ac:dyDescent="0.3">
      <c r="A476" s="2">
        <v>45992</v>
      </c>
      <c r="B476">
        <v>2025</v>
      </c>
      <c r="C476">
        <v>12</v>
      </c>
      <c r="D476" t="s">
        <v>3449</v>
      </c>
      <c r="E476" t="s">
        <v>3450</v>
      </c>
      <c r="F476" s="3">
        <v>294898.32719376829</v>
      </c>
    </row>
    <row r="477" spans="1:6" x14ac:dyDescent="0.3">
      <c r="A477" s="2">
        <v>45992</v>
      </c>
      <c r="B477">
        <v>2025</v>
      </c>
      <c r="C477">
        <v>12</v>
      </c>
      <c r="D477" t="s">
        <v>3451</v>
      </c>
      <c r="E477" t="s">
        <v>3444</v>
      </c>
      <c r="F477" s="3">
        <v>62513.91148028009</v>
      </c>
    </row>
    <row r="478" spans="1:6" x14ac:dyDescent="0.3">
      <c r="A478" s="2">
        <v>45992</v>
      </c>
      <c r="B478">
        <v>2025</v>
      </c>
      <c r="C478">
        <v>12</v>
      </c>
      <c r="D478" t="s">
        <v>3452</v>
      </c>
      <c r="E478" t="s">
        <v>3453</v>
      </c>
      <c r="F478" s="3">
        <v>42236.413983789877</v>
      </c>
    </row>
    <row r="479" spans="1:6" x14ac:dyDescent="0.3">
      <c r="A479" s="2">
        <v>45992</v>
      </c>
      <c r="B479">
        <v>2025</v>
      </c>
      <c r="C479">
        <v>12</v>
      </c>
      <c r="D479" t="s">
        <v>3454</v>
      </c>
      <c r="E479" t="s">
        <v>3453</v>
      </c>
      <c r="F479" s="3">
        <v>51521.654656177059</v>
      </c>
    </row>
    <row r="480" spans="1:6" x14ac:dyDescent="0.3">
      <c r="A480" s="2">
        <v>45992</v>
      </c>
      <c r="B480">
        <v>2025</v>
      </c>
      <c r="C480">
        <v>12</v>
      </c>
      <c r="D480" t="s">
        <v>3455</v>
      </c>
      <c r="E480" t="s">
        <v>3453</v>
      </c>
      <c r="F480" s="3">
        <v>69532.793524802561</v>
      </c>
    </row>
    <row r="481" spans="1:6" x14ac:dyDescent="0.3">
      <c r="A481" s="2">
        <v>45992</v>
      </c>
      <c r="B481">
        <v>2025</v>
      </c>
      <c r="C481">
        <v>12</v>
      </c>
      <c r="D481" t="s">
        <v>3456</v>
      </c>
      <c r="E481" t="s">
        <v>3450</v>
      </c>
      <c r="F481" s="3">
        <v>48456.799267424802</v>
      </c>
    </row>
    <row r="482" spans="1:6" x14ac:dyDescent="0.3">
      <c r="A482" s="2">
        <v>46023</v>
      </c>
      <c r="B482">
        <v>2026</v>
      </c>
      <c r="C482">
        <v>1</v>
      </c>
      <c r="D482" t="s">
        <v>3441</v>
      </c>
      <c r="E482" t="s">
        <v>3442</v>
      </c>
      <c r="F482" s="3">
        <v>518824.39269763499</v>
      </c>
    </row>
    <row r="483" spans="1:6" x14ac:dyDescent="0.3">
      <c r="A483" s="2">
        <v>46023</v>
      </c>
      <c r="B483">
        <v>2026</v>
      </c>
      <c r="C483">
        <v>1</v>
      </c>
      <c r="D483" t="s">
        <v>3443</v>
      </c>
      <c r="E483" t="s">
        <v>3444</v>
      </c>
      <c r="F483" s="3">
        <v>143341.1053328946</v>
      </c>
    </row>
    <row r="484" spans="1:6" x14ac:dyDescent="0.3">
      <c r="A484" s="2">
        <v>46023</v>
      </c>
      <c r="B484">
        <v>2026</v>
      </c>
      <c r="C484">
        <v>1</v>
      </c>
      <c r="D484" t="s">
        <v>3445</v>
      </c>
      <c r="E484" t="s">
        <v>3446</v>
      </c>
      <c r="F484" s="3">
        <v>194000.46590692029</v>
      </c>
    </row>
    <row r="485" spans="1:6" x14ac:dyDescent="0.3">
      <c r="A485" s="2">
        <v>46023</v>
      </c>
      <c r="B485">
        <v>2026</v>
      </c>
      <c r="C485">
        <v>1</v>
      </c>
      <c r="D485" t="s">
        <v>3447</v>
      </c>
      <c r="E485" t="s">
        <v>3448</v>
      </c>
      <c r="F485" s="3">
        <v>70899.470292370679</v>
      </c>
    </row>
    <row r="486" spans="1:6" x14ac:dyDescent="0.3">
      <c r="A486" s="2">
        <v>46023</v>
      </c>
      <c r="B486">
        <v>2026</v>
      </c>
      <c r="C486">
        <v>1</v>
      </c>
      <c r="D486" t="s">
        <v>3449</v>
      </c>
      <c r="E486" t="s">
        <v>3450</v>
      </c>
      <c r="F486" s="3">
        <v>189903.19820768581</v>
      </c>
    </row>
    <row r="487" spans="1:6" x14ac:dyDescent="0.3">
      <c r="A487" s="2">
        <v>46023</v>
      </c>
      <c r="B487">
        <v>2026</v>
      </c>
      <c r="C487">
        <v>1</v>
      </c>
      <c r="D487" t="s">
        <v>3451</v>
      </c>
      <c r="E487" t="s">
        <v>3444</v>
      </c>
      <c r="F487" s="3">
        <v>44876.047285557543</v>
      </c>
    </row>
    <row r="488" spans="1:6" x14ac:dyDescent="0.3">
      <c r="A488" s="2">
        <v>46023</v>
      </c>
      <c r="B488">
        <v>2026</v>
      </c>
      <c r="C488">
        <v>1</v>
      </c>
      <c r="D488" t="s">
        <v>3452</v>
      </c>
      <c r="E488" t="s">
        <v>3453</v>
      </c>
      <c r="F488" s="3">
        <v>28891.78737395479</v>
      </c>
    </row>
    <row r="489" spans="1:6" x14ac:dyDescent="0.3">
      <c r="A489" s="2">
        <v>46023</v>
      </c>
      <c r="B489">
        <v>2026</v>
      </c>
      <c r="C489">
        <v>1</v>
      </c>
      <c r="D489" t="s">
        <v>3454</v>
      </c>
      <c r="E489" t="s">
        <v>3453</v>
      </c>
      <c r="F489" s="3">
        <v>39539.472914190257</v>
      </c>
    </row>
    <row r="490" spans="1:6" x14ac:dyDescent="0.3">
      <c r="A490" s="2">
        <v>46023</v>
      </c>
      <c r="B490">
        <v>2026</v>
      </c>
      <c r="C490">
        <v>1</v>
      </c>
      <c r="D490" t="s">
        <v>3455</v>
      </c>
      <c r="E490" t="s">
        <v>3453</v>
      </c>
      <c r="F490" s="3">
        <v>48477.217675485474</v>
      </c>
    </row>
    <row r="491" spans="1:6" x14ac:dyDescent="0.3">
      <c r="A491" s="2">
        <v>46023</v>
      </c>
      <c r="B491">
        <v>2026</v>
      </c>
      <c r="C491">
        <v>1</v>
      </c>
      <c r="D491" t="s">
        <v>3456</v>
      </c>
      <c r="E491" t="s">
        <v>3450</v>
      </c>
      <c r="F491" s="3">
        <v>33966.312585897103</v>
      </c>
    </row>
    <row r="492" spans="1:6" x14ac:dyDescent="0.3">
      <c r="A492" s="2">
        <v>46054</v>
      </c>
      <c r="B492">
        <v>2026</v>
      </c>
      <c r="C492">
        <v>2</v>
      </c>
      <c r="D492" t="s">
        <v>3441</v>
      </c>
      <c r="E492" t="s">
        <v>3442</v>
      </c>
      <c r="F492" s="3">
        <v>491780.68745767721</v>
      </c>
    </row>
    <row r="493" spans="1:6" x14ac:dyDescent="0.3">
      <c r="A493" s="2">
        <v>46054</v>
      </c>
      <c r="B493">
        <v>2026</v>
      </c>
      <c r="C493">
        <v>2</v>
      </c>
      <c r="D493" t="s">
        <v>3443</v>
      </c>
      <c r="E493" t="s">
        <v>3444</v>
      </c>
      <c r="F493" s="3">
        <v>137008.43827873009</v>
      </c>
    </row>
    <row r="494" spans="1:6" x14ac:dyDescent="0.3">
      <c r="A494" s="2">
        <v>46054</v>
      </c>
      <c r="B494">
        <v>2026</v>
      </c>
      <c r="C494">
        <v>2</v>
      </c>
      <c r="D494" t="s">
        <v>3445</v>
      </c>
      <c r="E494" t="s">
        <v>3446</v>
      </c>
      <c r="F494" s="3">
        <v>192367.43834394959</v>
      </c>
    </row>
    <row r="495" spans="1:6" x14ac:dyDescent="0.3">
      <c r="A495" s="2">
        <v>46054</v>
      </c>
      <c r="B495">
        <v>2026</v>
      </c>
      <c r="C495">
        <v>2</v>
      </c>
      <c r="D495" t="s">
        <v>3447</v>
      </c>
      <c r="E495" t="s">
        <v>3448</v>
      </c>
      <c r="F495" s="3">
        <v>64646.14748175261</v>
      </c>
    </row>
    <row r="496" spans="1:6" x14ac:dyDescent="0.3">
      <c r="A496" s="2">
        <v>46054</v>
      </c>
      <c r="B496">
        <v>2026</v>
      </c>
      <c r="C496">
        <v>2</v>
      </c>
      <c r="D496" t="s">
        <v>3449</v>
      </c>
      <c r="E496" t="s">
        <v>3450</v>
      </c>
      <c r="F496" s="3">
        <v>178896.84809230591</v>
      </c>
    </row>
    <row r="497" spans="1:6" x14ac:dyDescent="0.3">
      <c r="A497" s="2">
        <v>46054</v>
      </c>
      <c r="B497">
        <v>2026</v>
      </c>
      <c r="C497">
        <v>2</v>
      </c>
      <c r="D497" t="s">
        <v>3451</v>
      </c>
      <c r="E497" t="s">
        <v>3444</v>
      </c>
      <c r="F497" s="3">
        <v>43243.657757299552</v>
      </c>
    </row>
    <row r="498" spans="1:6" x14ac:dyDescent="0.3">
      <c r="A498" s="2">
        <v>46054</v>
      </c>
      <c r="B498">
        <v>2026</v>
      </c>
      <c r="C498">
        <v>2</v>
      </c>
      <c r="D498" t="s">
        <v>3452</v>
      </c>
      <c r="E498" t="s">
        <v>3453</v>
      </c>
      <c r="F498" s="3">
        <v>28534.28362763764</v>
      </c>
    </row>
    <row r="499" spans="1:6" x14ac:dyDescent="0.3">
      <c r="A499" s="2">
        <v>46054</v>
      </c>
      <c r="B499">
        <v>2026</v>
      </c>
      <c r="C499">
        <v>2</v>
      </c>
      <c r="D499" t="s">
        <v>3454</v>
      </c>
      <c r="E499" t="s">
        <v>3453</v>
      </c>
      <c r="F499" s="3">
        <v>35782.743208310218</v>
      </c>
    </row>
    <row r="500" spans="1:6" x14ac:dyDescent="0.3">
      <c r="A500" s="2">
        <v>46054</v>
      </c>
      <c r="B500">
        <v>2026</v>
      </c>
      <c r="C500">
        <v>2</v>
      </c>
      <c r="D500" t="s">
        <v>3455</v>
      </c>
      <c r="E500" t="s">
        <v>3453</v>
      </c>
      <c r="F500" s="3">
        <v>46877.066223833019</v>
      </c>
    </row>
    <row r="501" spans="1:6" x14ac:dyDescent="0.3">
      <c r="A501" s="2">
        <v>46054</v>
      </c>
      <c r="B501">
        <v>2026</v>
      </c>
      <c r="C501">
        <v>2</v>
      </c>
      <c r="D501" t="s">
        <v>3456</v>
      </c>
      <c r="E501" t="s">
        <v>3450</v>
      </c>
      <c r="F501" s="3">
        <v>33143.201019022403</v>
      </c>
    </row>
    <row r="502" spans="1:6" x14ac:dyDescent="0.3">
      <c r="A502" s="2">
        <v>46082</v>
      </c>
      <c r="B502">
        <v>2026</v>
      </c>
      <c r="C502">
        <v>3</v>
      </c>
      <c r="D502" t="s">
        <v>3441</v>
      </c>
      <c r="E502" t="s">
        <v>3442</v>
      </c>
      <c r="F502" s="3">
        <v>568988.98469937558</v>
      </c>
    </row>
    <row r="503" spans="1:6" x14ac:dyDescent="0.3">
      <c r="A503" s="2">
        <v>46082</v>
      </c>
      <c r="B503">
        <v>2026</v>
      </c>
      <c r="C503">
        <v>3</v>
      </c>
      <c r="D503" t="s">
        <v>3443</v>
      </c>
      <c r="E503" t="s">
        <v>3444</v>
      </c>
      <c r="F503" s="3">
        <v>154596.64487459211</v>
      </c>
    </row>
    <row r="504" spans="1:6" x14ac:dyDescent="0.3">
      <c r="A504" s="2">
        <v>46082</v>
      </c>
      <c r="B504">
        <v>2026</v>
      </c>
      <c r="C504">
        <v>3</v>
      </c>
      <c r="D504" t="s">
        <v>3445</v>
      </c>
      <c r="E504" t="s">
        <v>3446</v>
      </c>
      <c r="F504" s="3">
        <v>208547.379739175</v>
      </c>
    </row>
    <row r="505" spans="1:6" x14ac:dyDescent="0.3">
      <c r="A505" s="2">
        <v>46082</v>
      </c>
      <c r="B505">
        <v>2026</v>
      </c>
      <c r="C505">
        <v>3</v>
      </c>
      <c r="D505" t="s">
        <v>3447</v>
      </c>
      <c r="E505" t="s">
        <v>3448</v>
      </c>
      <c r="F505" s="3">
        <v>76055.72468411189</v>
      </c>
    </row>
    <row r="506" spans="1:6" x14ac:dyDescent="0.3">
      <c r="A506" s="2">
        <v>46082</v>
      </c>
      <c r="B506">
        <v>2026</v>
      </c>
      <c r="C506">
        <v>3</v>
      </c>
      <c r="D506" t="s">
        <v>3449</v>
      </c>
      <c r="E506" t="s">
        <v>3450</v>
      </c>
      <c r="F506" s="3">
        <v>197592.6446847936</v>
      </c>
    </row>
    <row r="507" spans="1:6" x14ac:dyDescent="0.3">
      <c r="A507" s="2">
        <v>46082</v>
      </c>
      <c r="B507">
        <v>2026</v>
      </c>
      <c r="C507">
        <v>3</v>
      </c>
      <c r="D507" t="s">
        <v>3451</v>
      </c>
      <c r="E507" t="s">
        <v>3444</v>
      </c>
      <c r="F507" s="3">
        <v>47349.348040359982</v>
      </c>
    </row>
    <row r="508" spans="1:6" x14ac:dyDescent="0.3">
      <c r="A508" s="2">
        <v>46082</v>
      </c>
      <c r="B508">
        <v>2026</v>
      </c>
      <c r="C508">
        <v>3</v>
      </c>
      <c r="D508" t="s">
        <v>3452</v>
      </c>
      <c r="E508" t="s">
        <v>3453</v>
      </c>
      <c r="F508" s="3">
        <v>33057.523801273077</v>
      </c>
    </row>
    <row r="509" spans="1:6" x14ac:dyDescent="0.3">
      <c r="A509" s="2">
        <v>46082</v>
      </c>
      <c r="B509">
        <v>2026</v>
      </c>
      <c r="C509">
        <v>3</v>
      </c>
      <c r="D509" t="s">
        <v>3454</v>
      </c>
      <c r="E509" t="s">
        <v>3453</v>
      </c>
      <c r="F509" s="3">
        <v>42355.357972336467</v>
      </c>
    </row>
    <row r="510" spans="1:6" x14ac:dyDescent="0.3">
      <c r="A510" s="2">
        <v>46082</v>
      </c>
      <c r="B510">
        <v>2026</v>
      </c>
      <c r="C510">
        <v>3</v>
      </c>
      <c r="D510" t="s">
        <v>3455</v>
      </c>
      <c r="E510" t="s">
        <v>3453</v>
      </c>
      <c r="F510" s="3">
        <v>52044.427744587098</v>
      </c>
    </row>
    <row r="511" spans="1:6" x14ac:dyDescent="0.3">
      <c r="A511" s="2">
        <v>46082</v>
      </c>
      <c r="B511">
        <v>2026</v>
      </c>
      <c r="C511">
        <v>3</v>
      </c>
      <c r="D511" t="s">
        <v>3456</v>
      </c>
      <c r="E511" t="s">
        <v>3450</v>
      </c>
      <c r="F511" s="3">
        <v>36291.172430523977</v>
      </c>
    </row>
    <row r="512" spans="1:6" x14ac:dyDescent="0.3">
      <c r="A512" s="2">
        <v>46113</v>
      </c>
      <c r="B512">
        <v>2026</v>
      </c>
      <c r="C512">
        <v>4</v>
      </c>
      <c r="D512" t="s">
        <v>3441</v>
      </c>
      <c r="E512" t="s">
        <v>3442</v>
      </c>
      <c r="F512" s="3">
        <v>599523.14568919037</v>
      </c>
    </row>
    <row r="513" spans="1:6" x14ac:dyDescent="0.3">
      <c r="A513" s="2">
        <v>46113</v>
      </c>
      <c r="B513">
        <v>2026</v>
      </c>
      <c r="C513">
        <v>4</v>
      </c>
      <c r="D513" t="s">
        <v>3443</v>
      </c>
      <c r="E513" t="s">
        <v>3444</v>
      </c>
      <c r="F513" s="3">
        <v>164217.41897457201</v>
      </c>
    </row>
    <row r="514" spans="1:6" x14ac:dyDescent="0.3">
      <c r="A514" s="2">
        <v>46113</v>
      </c>
      <c r="B514">
        <v>2026</v>
      </c>
      <c r="C514">
        <v>4</v>
      </c>
      <c r="D514" t="s">
        <v>3445</v>
      </c>
      <c r="E514" t="s">
        <v>3446</v>
      </c>
      <c r="F514" s="3">
        <v>225105.12404107509</v>
      </c>
    </row>
    <row r="515" spans="1:6" x14ac:dyDescent="0.3">
      <c r="A515" s="2">
        <v>46113</v>
      </c>
      <c r="B515">
        <v>2026</v>
      </c>
      <c r="C515">
        <v>4</v>
      </c>
      <c r="D515" t="s">
        <v>3447</v>
      </c>
      <c r="E515" t="s">
        <v>3448</v>
      </c>
      <c r="F515" s="3">
        <v>79937.432595929771</v>
      </c>
    </row>
    <row r="516" spans="1:6" x14ac:dyDescent="0.3">
      <c r="A516" s="2">
        <v>46113</v>
      </c>
      <c r="B516">
        <v>2026</v>
      </c>
      <c r="C516">
        <v>4</v>
      </c>
      <c r="D516" t="s">
        <v>3449</v>
      </c>
      <c r="E516" t="s">
        <v>3450</v>
      </c>
      <c r="F516" s="3">
        <v>222169.2041309975</v>
      </c>
    </row>
    <row r="517" spans="1:6" x14ac:dyDescent="0.3">
      <c r="A517" s="2">
        <v>46113</v>
      </c>
      <c r="B517">
        <v>2026</v>
      </c>
      <c r="C517">
        <v>4</v>
      </c>
      <c r="D517" t="s">
        <v>3451</v>
      </c>
      <c r="E517" t="s">
        <v>3444</v>
      </c>
      <c r="F517" s="3">
        <v>51814.301691123997</v>
      </c>
    </row>
    <row r="518" spans="1:6" x14ac:dyDescent="0.3">
      <c r="A518" s="2">
        <v>46113</v>
      </c>
      <c r="B518">
        <v>2026</v>
      </c>
      <c r="C518">
        <v>4</v>
      </c>
      <c r="D518" t="s">
        <v>3452</v>
      </c>
      <c r="E518" t="s">
        <v>3453</v>
      </c>
      <c r="F518" s="3">
        <v>33369.330556014582</v>
      </c>
    </row>
    <row r="519" spans="1:6" x14ac:dyDescent="0.3">
      <c r="A519" s="2">
        <v>46113</v>
      </c>
      <c r="B519">
        <v>2026</v>
      </c>
      <c r="C519">
        <v>4</v>
      </c>
      <c r="D519" t="s">
        <v>3454</v>
      </c>
      <c r="E519" t="s">
        <v>3453</v>
      </c>
      <c r="F519" s="3">
        <v>46635.733292626617</v>
      </c>
    </row>
    <row r="520" spans="1:6" x14ac:dyDescent="0.3">
      <c r="A520" s="2">
        <v>46113</v>
      </c>
      <c r="B520">
        <v>2026</v>
      </c>
      <c r="C520">
        <v>4</v>
      </c>
      <c r="D520" t="s">
        <v>3455</v>
      </c>
      <c r="E520" t="s">
        <v>3453</v>
      </c>
      <c r="F520" s="3">
        <v>56202.413150520413</v>
      </c>
    </row>
    <row r="521" spans="1:6" x14ac:dyDescent="0.3">
      <c r="A521" s="2">
        <v>46113</v>
      </c>
      <c r="B521">
        <v>2026</v>
      </c>
      <c r="C521">
        <v>4</v>
      </c>
      <c r="D521" t="s">
        <v>3456</v>
      </c>
      <c r="E521" t="s">
        <v>3450</v>
      </c>
      <c r="F521" s="3">
        <v>38413.962081655212</v>
      </c>
    </row>
    <row r="522" spans="1:6" x14ac:dyDescent="0.3">
      <c r="A522" s="2">
        <v>46143</v>
      </c>
      <c r="B522">
        <v>2026</v>
      </c>
      <c r="C522">
        <v>5</v>
      </c>
      <c r="D522" t="s">
        <v>3441</v>
      </c>
      <c r="E522" t="s">
        <v>3442</v>
      </c>
      <c r="F522" s="3">
        <v>580832.21898120083</v>
      </c>
    </row>
    <row r="523" spans="1:6" x14ac:dyDescent="0.3">
      <c r="A523" s="2">
        <v>46143</v>
      </c>
      <c r="B523">
        <v>2026</v>
      </c>
      <c r="C523">
        <v>5</v>
      </c>
      <c r="D523" t="s">
        <v>3443</v>
      </c>
      <c r="E523" t="s">
        <v>3444</v>
      </c>
      <c r="F523" s="3">
        <v>172661.36358939891</v>
      </c>
    </row>
    <row r="524" spans="1:6" x14ac:dyDescent="0.3">
      <c r="A524" s="2">
        <v>46143</v>
      </c>
      <c r="B524">
        <v>2026</v>
      </c>
      <c r="C524">
        <v>5</v>
      </c>
      <c r="D524" t="s">
        <v>3445</v>
      </c>
      <c r="E524" t="s">
        <v>3446</v>
      </c>
      <c r="F524" s="3">
        <v>223143.22759696969</v>
      </c>
    </row>
    <row r="525" spans="1:6" x14ac:dyDescent="0.3">
      <c r="A525" s="2">
        <v>46143</v>
      </c>
      <c r="B525">
        <v>2026</v>
      </c>
      <c r="C525">
        <v>5</v>
      </c>
      <c r="D525" t="s">
        <v>3447</v>
      </c>
      <c r="E525" t="s">
        <v>3448</v>
      </c>
      <c r="F525" s="3">
        <v>77803.173631978629</v>
      </c>
    </row>
    <row r="526" spans="1:6" x14ac:dyDescent="0.3">
      <c r="A526" s="2">
        <v>46143</v>
      </c>
      <c r="B526">
        <v>2026</v>
      </c>
      <c r="C526">
        <v>5</v>
      </c>
      <c r="D526" t="s">
        <v>3449</v>
      </c>
      <c r="E526" t="s">
        <v>3450</v>
      </c>
      <c r="F526" s="3">
        <v>219754.90981276991</v>
      </c>
    </row>
    <row r="527" spans="1:6" x14ac:dyDescent="0.3">
      <c r="A527" s="2">
        <v>46143</v>
      </c>
      <c r="B527">
        <v>2026</v>
      </c>
      <c r="C527">
        <v>5</v>
      </c>
      <c r="D527" t="s">
        <v>3451</v>
      </c>
      <c r="E527" t="s">
        <v>3444</v>
      </c>
      <c r="F527" s="3">
        <v>48211.455710638307</v>
      </c>
    </row>
    <row r="528" spans="1:6" x14ac:dyDescent="0.3">
      <c r="A528" s="2">
        <v>46143</v>
      </c>
      <c r="B528">
        <v>2026</v>
      </c>
      <c r="C528">
        <v>5</v>
      </c>
      <c r="D528" t="s">
        <v>3452</v>
      </c>
      <c r="E528" t="s">
        <v>3453</v>
      </c>
      <c r="F528" s="3">
        <v>32262.4352203739</v>
      </c>
    </row>
    <row r="529" spans="1:6" x14ac:dyDescent="0.3">
      <c r="A529" s="2">
        <v>46143</v>
      </c>
      <c r="B529">
        <v>2026</v>
      </c>
      <c r="C529">
        <v>5</v>
      </c>
      <c r="D529" t="s">
        <v>3454</v>
      </c>
      <c r="E529" t="s">
        <v>3453</v>
      </c>
      <c r="F529" s="3">
        <v>42649.633844437732</v>
      </c>
    </row>
    <row r="530" spans="1:6" x14ac:dyDescent="0.3">
      <c r="A530" s="2">
        <v>46143</v>
      </c>
      <c r="B530">
        <v>2026</v>
      </c>
      <c r="C530">
        <v>5</v>
      </c>
      <c r="D530" t="s">
        <v>3455</v>
      </c>
      <c r="E530" t="s">
        <v>3453</v>
      </c>
      <c r="F530" s="3">
        <v>56073.877634857701</v>
      </c>
    </row>
    <row r="531" spans="1:6" x14ac:dyDescent="0.3">
      <c r="A531" s="2">
        <v>46143</v>
      </c>
      <c r="B531">
        <v>2026</v>
      </c>
      <c r="C531">
        <v>5</v>
      </c>
      <c r="D531" t="s">
        <v>3456</v>
      </c>
      <c r="E531" t="s">
        <v>3450</v>
      </c>
      <c r="F531" s="3">
        <v>39051.283115230857</v>
      </c>
    </row>
    <row r="532" spans="1:6" x14ac:dyDescent="0.3">
      <c r="A532" s="2">
        <v>46174</v>
      </c>
      <c r="B532">
        <v>2026</v>
      </c>
      <c r="C532">
        <v>6</v>
      </c>
      <c r="D532" t="s">
        <v>3441</v>
      </c>
      <c r="E532" t="s">
        <v>3442</v>
      </c>
      <c r="F532" s="3">
        <v>645594.53394030745</v>
      </c>
    </row>
    <row r="533" spans="1:6" x14ac:dyDescent="0.3">
      <c r="A533" s="2">
        <v>46174</v>
      </c>
      <c r="B533">
        <v>2026</v>
      </c>
      <c r="C533">
        <v>6</v>
      </c>
      <c r="D533" t="s">
        <v>3443</v>
      </c>
      <c r="E533" t="s">
        <v>3444</v>
      </c>
      <c r="F533" s="3">
        <v>178686.67861084049</v>
      </c>
    </row>
    <row r="534" spans="1:6" x14ac:dyDescent="0.3">
      <c r="A534" s="2">
        <v>46174</v>
      </c>
      <c r="B534">
        <v>2026</v>
      </c>
      <c r="C534">
        <v>6</v>
      </c>
      <c r="D534" t="s">
        <v>3445</v>
      </c>
      <c r="E534" t="s">
        <v>3446</v>
      </c>
      <c r="F534" s="3">
        <v>234414.8007565772</v>
      </c>
    </row>
    <row r="535" spans="1:6" x14ac:dyDescent="0.3">
      <c r="A535" s="2">
        <v>46174</v>
      </c>
      <c r="B535">
        <v>2026</v>
      </c>
      <c r="C535">
        <v>6</v>
      </c>
      <c r="D535" t="s">
        <v>3447</v>
      </c>
      <c r="E535" t="s">
        <v>3448</v>
      </c>
      <c r="F535" s="3">
        <v>82886.339469513841</v>
      </c>
    </row>
    <row r="536" spans="1:6" x14ac:dyDescent="0.3">
      <c r="A536" s="2">
        <v>46174</v>
      </c>
      <c r="B536">
        <v>2026</v>
      </c>
      <c r="C536">
        <v>6</v>
      </c>
      <c r="D536" t="s">
        <v>3449</v>
      </c>
      <c r="E536" t="s">
        <v>3450</v>
      </c>
      <c r="F536" s="3">
        <v>225629.11989844241</v>
      </c>
    </row>
    <row r="537" spans="1:6" x14ac:dyDescent="0.3">
      <c r="A537" s="2">
        <v>46174</v>
      </c>
      <c r="B537">
        <v>2026</v>
      </c>
      <c r="C537">
        <v>6</v>
      </c>
      <c r="D537" t="s">
        <v>3451</v>
      </c>
      <c r="E537" t="s">
        <v>3444</v>
      </c>
      <c r="F537" s="3">
        <v>51054.828107749367</v>
      </c>
    </row>
    <row r="538" spans="1:6" x14ac:dyDescent="0.3">
      <c r="A538" s="2">
        <v>46174</v>
      </c>
      <c r="B538">
        <v>2026</v>
      </c>
      <c r="C538">
        <v>6</v>
      </c>
      <c r="D538" t="s">
        <v>3452</v>
      </c>
      <c r="E538" t="s">
        <v>3453</v>
      </c>
      <c r="F538" s="3">
        <v>37927.973611948153</v>
      </c>
    </row>
    <row r="539" spans="1:6" x14ac:dyDescent="0.3">
      <c r="A539" s="2">
        <v>46174</v>
      </c>
      <c r="B539">
        <v>2026</v>
      </c>
      <c r="C539">
        <v>6</v>
      </c>
      <c r="D539" t="s">
        <v>3454</v>
      </c>
      <c r="E539" t="s">
        <v>3453</v>
      </c>
      <c r="F539" s="3">
        <v>47977.044103580738</v>
      </c>
    </row>
    <row r="540" spans="1:6" x14ac:dyDescent="0.3">
      <c r="A540" s="2">
        <v>46174</v>
      </c>
      <c r="B540">
        <v>2026</v>
      </c>
      <c r="C540">
        <v>6</v>
      </c>
      <c r="D540" t="s">
        <v>3455</v>
      </c>
      <c r="E540" t="s">
        <v>3453</v>
      </c>
      <c r="F540" s="3">
        <v>59512.693819333523</v>
      </c>
    </row>
    <row r="541" spans="1:6" x14ac:dyDescent="0.3">
      <c r="A541" s="2">
        <v>46174</v>
      </c>
      <c r="B541">
        <v>2026</v>
      </c>
      <c r="C541">
        <v>6</v>
      </c>
      <c r="D541" t="s">
        <v>3456</v>
      </c>
      <c r="E541" t="s">
        <v>3450</v>
      </c>
      <c r="F541" s="3">
        <v>42078.6402248839</v>
      </c>
    </row>
    <row r="542" spans="1:6" x14ac:dyDescent="0.3">
      <c r="A542" s="2">
        <v>46204</v>
      </c>
      <c r="B542">
        <v>2026</v>
      </c>
      <c r="C542">
        <v>7</v>
      </c>
      <c r="D542" t="s">
        <v>3441</v>
      </c>
      <c r="E542" t="s">
        <v>3442</v>
      </c>
      <c r="F542" s="3">
        <v>667405.45221902675</v>
      </c>
    </row>
    <row r="543" spans="1:6" x14ac:dyDescent="0.3">
      <c r="A543" s="2">
        <v>46204</v>
      </c>
      <c r="B543">
        <v>2026</v>
      </c>
      <c r="C543">
        <v>7</v>
      </c>
      <c r="D543" t="s">
        <v>3443</v>
      </c>
      <c r="E543" t="s">
        <v>3444</v>
      </c>
      <c r="F543" s="3">
        <v>186705.94682390301</v>
      </c>
    </row>
    <row r="544" spans="1:6" x14ac:dyDescent="0.3">
      <c r="A544" s="2">
        <v>46204</v>
      </c>
      <c r="B544">
        <v>2026</v>
      </c>
      <c r="C544">
        <v>7</v>
      </c>
      <c r="D544" t="s">
        <v>3445</v>
      </c>
      <c r="E544" t="s">
        <v>3446</v>
      </c>
      <c r="F544" s="3">
        <v>245876.68392122621</v>
      </c>
    </row>
    <row r="545" spans="1:6" x14ac:dyDescent="0.3">
      <c r="A545" s="2">
        <v>46204</v>
      </c>
      <c r="B545">
        <v>2026</v>
      </c>
      <c r="C545">
        <v>7</v>
      </c>
      <c r="D545" t="s">
        <v>3447</v>
      </c>
      <c r="E545" t="s">
        <v>3448</v>
      </c>
      <c r="F545" s="3">
        <v>88747.029552356558</v>
      </c>
    </row>
    <row r="546" spans="1:6" x14ac:dyDescent="0.3">
      <c r="A546" s="2">
        <v>46204</v>
      </c>
      <c r="B546">
        <v>2026</v>
      </c>
      <c r="C546">
        <v>7</v>
      </c>
      <c r="D546" t="s">
        <v>3449</v>
      </c>
      <c r="E546" t="s">
        <v>3450</v>
      </c>
      <c r="F546" s="3">
        <v>239616.63254240141</v>
      </c>
    </row>
    <row r="547" spans="1:6" x14ac:dyDescent="0.3">
      <c r="A547" s="2">
        <v>46204</v>
      </c>
      <c r="B547">
        <v>2026</v>
      </c>
      <c r="C547">
        <v>7</v>
      </c>
      <c r="D547" t="s">
        <v>3451</v>
      </c>
      <c r="E547" t="s">
        <v>3444</v>
      </c>
      <c r="F547" s="3">
        <v>55071.210578809711</v>
      </c>
    </row>
    <row r="548" spans="1:6" x14ac:dyDescent="0.3">
      <c r="A548" s="2">
        <v>46204</v>
      </c>
      <c r="B548">
        <v>2026</v>
      </c>
      <c r="C548">
        <v>7</v>
      </c>
      <c r="D548" t="s">
        <v>3452</v>
      </c>
      <c r="E548" t="s">
        <v>3453</v>
      </c>
      <c r="F548" s="3">
        <v>38802.246075045681</v>
      </c>
    </row>
    <row r="549" spans="1:6" x14ac:dyDescent="0.3">
      <c r="A549" s="2">
        <v>46204</v>
      </c>
      <c r="B549">
        <v>2026</v>
      </c>
      <c r="C549">
        <v>7</v>
      </c>
      <c r="D549" t="s">
        <v>3454</v>
      </c>
      <c r="E549" t="s">
        <v>3453</v>
      </c>
      <c r="F549" s="3">
        <v>50330.241890768353</v>
      </c>
    </row>
    <row r="550" spans="1:6" x14ac:dyDescent="0.3">
      <c r="A550" s="2">
        <v>46204</v>
      </c>
      <c r="B550">
        <v>2026</v>
      </c>
      <c r="C550">
        <v>7</v>
      </c>
      <c r="D550" t="s">
        <v>3455</v>
      </c>
      <c r="E550" t="s">
        <v>3453</v>
      </c>
      <c r="F550" s="3">
        <v>63594.289041225798</v>
      </c>
    </row>
    <row r="551" spans="1:6" x14ac:dyDescent="0.3">
      <c r="A551" s="2">
        <v>46204</v>
      </c>
      <c r="B551">
        <v>2026</v>
      </c>
      <c r="C551">
        <v>7</v>
      </c>
      <c r="D551" t="s">
        <v>3456</v>
      </c>
      <c r="E551" t="s">
        <v>3450</v>
      </c>
      <c r="F551" s="3">
        <v>45239.651819788502</v>
      </c>
    </row>
    <row r="552" spans="1:6" x14ac:dyDescent="0.3">
      <c r="A552" s="2">
        <v>46235</v>
      </c>
      <c r="B552">
        <v>2026</v>
      </c>
      <c r="C552">
        <v>8</v>
      </c>
      <c r="D552" t="s">
        <v>3441</v>
      </c>
      <c r="E552" t="s">
        <v>3442</v>
      </c>
      <c r="F552" s="3">
        <v>618009.34453848354</v>
      </c>
    </row>
    <row r="553" spans="1:6" x14ac:dyDescent="0.3">
      <c r="A553" s="2">
        <v>46235</v>
      </c>
      <c r="B553">
        <v>2026</v>
      </c>
      <c r="C553">
        <v>8</v>
      </c>
      <c r="D553" t="s">
        <v>3443</v>
      </c>
      <c r="E553" t="s">
        <v>3444</v>
      </c>
      <c r="F553" s="3">
        <v>177875.8989680614</v>
      </c>
    </row>
    <row r="554" spans="1:6" x14ac:dyDescent="0.3">
      <c r="A554" s="2">
        <v>46235</v>
      </c>
      <c r="B554">
        <v>2026</v>
      </c>
      <c r="C554">
        <v>8</v>
      </c>
      <c r="D554" t="s">
        <v>3445</v>
      </c>
      <c r="E554" t="s">
        <v>3446</v>
      </c>
      <c r="F554" s="3">
        <v>240068.42186227589</v>
      </c>
    </row>
    <row r="555" spans="1:6" x14ac:dyDescent="0.3">
      <c r="A555" s="2">
        <v>46235</v>
      </c>
      <c r="B555">
        <v>2026</v>
      </c>
      <c r="C555">
        <v>8</v>
      </c>
      <c r="D555" t="s">
        <v>3447</v>
      </c>
      <c r="E555" t="s">
        <v>3448</v>
      </c>
      <c r="F555" s="3">
        <v>80863.759218422521</v>
      </c>
    </row>
    <row r="556" spans="1:6" x14ac:dyDescent="0.3">
      <c r="A556" s="2">
        <v>46235</v>
      </c>
      <c r="B556">
        <v>2026</v>
      </c>
      <c r="C556">
        <v>8</v>
      </c>
      <c r="D556" t="s">
        <v>3449</v>
      </c>
      <c r="E556" t="s">
        <v>3450</v>
      </c>
      <c r="F556" s="3">
        <v>223840.26528352359</v>
      </c>
    </row>
    <row r="557" spans="1:6" x14ac:dyDescent="0.3">
      <c r="A557" s="2">
        <v>46235</v>
      </c>
      <c r="B557">
        <v>2026</v>
      </c>
      <c r="C557">
        <v>8</v>
      </c>
      <c r="D557" t="s">
        <v>3451</v>
      </c>
      <c r="E557" t="s">
        <v>3444</v>
      </c>
      <c r="F557" s="3">
        <v>53109.431674305073</v>
      </c>
    </row>
    <row r="558" spans="1:6" x14ac:dyDescent="0.3">
      <c r="A558" s="2">
        <v>46235</v>
      </c>
      <c r="B558">
        <v>2026</v>
      </c>
      <c r="C558">
        <v>8</v>
      </c>
      <c r="D558" t="s">
        <v>3452</v>
      </c>
      <c r="E558" t="s">
        <v>3453</v>
      </c>
      <c r="F558" s="3">
        <v>34451.891021784533</v>
      </c>
    </row>
    <row r="559" spans="1:6" x14ac:dyDescent="0.3">
      <c r="A559" s="2">
        <v>46235</v>
      </c>
      <c r="B559">
        <v>2026</v>
      </c>
      <c r="C559">
        <v>8</v>
      </c>
      <c r="D559" t="s">
        <v>3454</v>
      </c>
      <c r="E559" t="s">
        <v>3453</v>
      </c>
      <c r="F559" s="3">
        <v>49787.412399530724</v>
      </c>
    </row>
    <row r="560" spans="1:6" x14ac:dyDescent="0.3">
      <c r="A560" s="2">
        <v>46235</v>
      </c>
      <c r="B560">
        <v>2026</v>
      </c>
      <c r="C560">
        <v>8</v>
      </c>
      <c r="D560" t="s">
        <v>3455</v>
      </c>
      <c r="E560" t="s">
        <v>3453</v>
      </c>
      <c r="F560" s="3">
        <v>56756.211557198149</v>
      </c>
    </row>
    <row r="561" spans="1:6" x14ac:dyDescent="0.3">
      <c r="A561" s="2">
        <v>46235</v>
      </c>
      <c r="B561">
        <v>2026</v>
      </c>
      <c r="C561">
        <v>8</v>
      </c>
      <c r="D561" t="s">
        <v>3456</v>
      </c>
      <c r="E561" t="s">
        <v>3450</v>
      </c>
      <c r="F561" s="3">
        <v>39841.753506029992</v>
      </c>
    </row>
    <row r="562" spans="1:6" x14ac:dyDescent="0.3">
      <c r="A562" s="2">
        <v>46266</v>
      </c>
      <c r="B562">
        <v>2026</v>
      </c>
      <c r="C562">
        <v>9</v>
      </c>
      <c r="D562" t="s">
        <v>3441</v>
      </c>
      <c r="E562" t="s">
        <v>3442</v>
      </c>
      <c r="F562" s="3">
        <v>678956.35780506034</v>
      </c>
    </row>
    <row r="563" spans="1:6" x14ac:dyDescent="0.3">
      <c r="A563" s="2">
        <v>46266</v>
      </c>
      <c r="B563">
        <v>2026</v>
      </c>
      <c r="C563">
        <v>9</v>
      </c>
      <c r="D563" t="s">
        <v>3443</v>
      </c>
      <c r="E563" t="s">
        <v>3444</v>
      </c>
      <c r="F563" s="3">
        <v>191165.77134469469</v>
      </c>
    </row>
    <row r="564" spans="1:6" x14ac:dyDescent="0.3">
      <c r="A564" s="2">
        <v>46266</v>
      </c>
      <c r="B564">
        <v>2026</v>
      </c>
      <c r="C564">
        <v>9</v>
      </c>
      <c r="D564" t="s">
        <v>3445</v>
      </c>
      <c r="E564" t="s">
        <v>3446</v>
      </c>
      <c r="F564" s="3">
        <v>243999.14112142051</v>
      </c>
    </row>
    <row r="565" spans="1:6" x14ac:dyDescent="0.3">
      <c r="A565" s="2">
        <v>46266</v>
      </c>
      <c r="B565">
        <v>2026</v>
      </c>
      <c r="C565">
        <v>9</v>
      </c>
      <c r="D565" t="s">
        <v>3447</v>
      </c>
      <c r="E565" t="s">
        <v>3448</v>
      </c>
      <c r="F565" s="3">
        <v>88978.476536844479</v>
      </c>
    </row>
    <row r="566" spans="1:6" x14ac:dyDescent="0.3">
      <c r="A566" s="2">
        <v>46266</v>
      </c>
      <c r="B566">
        <v>2026</v>
      </c>
      <c r="C566">
        <v>9</v>
      </c>
      <c r="D566" t="s">
        <v>3449</v>
      </c>
      <c r="E566" t="s">
        <v>3450</v>
      </c>
      <c r="F566" s="3">
        <v>246631.22135235369</v>
      </c>
    </row>
    <row r="567" spans="1:6" x14ac:dyDescent="0.3">
      <c r="A567" s="2">
        <v>46266</v>
      </c>
      <c r="B567">
        <v>2026</v>
      </c>
      <c r="C567">
        <v>9</v>
      </c>
      <c r="D567" t="s">
        <v>3451</v>
      </c>
      <c r="E567" t="s">
        <v>3444</v>
      </c>
      <c r="F567" s="3">
        <v>56302.377308449337</v>
      </c>
    </row>
    <row r="568" spans="1:6" x14ac:dyDescent="0.3">
      <c r="A568" s="2">
        <v>46266</v>
      </c>
      <c r="B568">
        <v>2026</v>
      </c>
      <c r="C568">
        <v>9</v>
      </c>
      <c r="D568" t="s">
        <v>3452</v>
      </c>
      <c r="E568" t="s">
        <v>3453</v>
      </c>
      <c r="F568" s="3">
        <v>40003.849300150308</v>
      </c>
    </row>
    <row r="569" spans="1:6" x14ac:dyDescent="0.3">
      <c r="A569" s="2">
        <v>46266</v>
      </c>
      <c r="B569">
        <v>2026</v>
      </c>
      <c r="C569">
        <v>9</v>
      </c>
      <c r="D569" t="s">
        <v>3454</v>
      </c>
      <c r="E569" t="s">
        <v>3453</v>
      </c>
      <c r="F569" s="3">
        <v>47925.733119642056</v>
      </c>
    </row>
    <row r="570" spans="1:6" x14ac:dyDescent="0.3">
      <c r="A570" s="2">
        <v>46266</v>
      </c>
      <c r="B570">
        <v>2026</v>
      </c>
      <c r="C570">
        <v>9</v>
      </c>
      <c r="D570" t="s">
        <v>3455</v>
      </c>
      <c r="E570" t="s">
        <v>3453</v>
      </c>
      <c r="F570" s="3">
        <v>63691.493100397827</v>
      </c>
    </row>
    <row r="571" spans="1:6" x14ac:dyDescent="0.3">
      <c r="A571" s="2">
        <v>46266</v>
      </c>
      <c r="B571">
        <v>2026</v>
      </c>
      <c r="C571">
        <v>9</v>
      </c>
      <c r="D571" t="s">
        <v>3456</v>
      </c>
      <c r="E571" t="s">
        <v>3450</v>
      </c>
      <c r="F571" s="3">
        <v>45101.939387107981</v>
      </c>
    </row>
    <row r="572" spans="1:6" x14ac:dyDescent="0.3">
      <c r="A572" s="2">
        <v>46296</v>
      </c>
      <c r="B572">
        <v>2026</v>
      </c>
      <c r="C572">
        <v>10</v>
      </c>
      <c r="D572" t="s">
        <v>3441</v>
      </c>
      <c r="E572" t="s">
        <v>3442</v>
      </c>
      <c r="F572" s="3">
        <v>734407.06522666418</v>
      </c>
    </row>
    <row r="573" spans="1:6" x14ac:dyDescent="0.3">
      <c r="A573" s="2">
        <v>46296</v>
      </c>
      <c r="B573">
        <v>2026</v>
      </c>
      <c r="C573">
        <v>10</v>
      </c>
      <c r="D573" t="s">
        <v>3443</v>
      </c>
      <c r="E573" t="s">
        <v>3444</v>
      </c>
      <c r="F573" s="3">
        <v>204208.09695025641</v>
      </c>
    </row>
    <row r="574" spans="1:6" x14ac:dyDescent="0.3">
      <c r="A574" s="2">
        <v>46296</v>
      </c>
      <c r="B574">
        <v>2026</v>
      </c>
      <c r="C574">
        <v>10</v>
      </c>
      <c r="D574" t="s">
        <v>3445</v>
      </c>
      <c r="E574" t="s">
        <v>3446</v>
      </c>
      <c r="F574" s="3">
        <v>271688.47324070358</v>
      </c>
    </row>
    <row r="575" spans="1:6" x14ac:dyDescent="0.3">
      <c r="A575" s="2">
        <v>46296</v>
      </c>
      <c r="B575">
        <v>2026</v>
      </c>
      <c r="C575">
        <v>10</v>
      </c>
      <c r="D575" t="s">
        <v>3447</v>
      </c>
      <c r="E575" t="s">
        <v>3448</v>
      </c>
      <c r="F575" s="3">
        <v>96850.052282200631</v>
      </c>
    </row>
    <row r="576" spans="1:6" x14ac:dyDescent="0.3">
      <c r="A576" s="2">
        <v>46296</v>
      </c>
      <c r="B576">
        <v>2026</v>
      </c>
      <c r="C576">
        <v>10</v>
      </c>
      <c r="D576" t="s">
        <v>3449</v>
      </c>
      <c r="E576" t="s">
        <v>3450</v>
      </c>
      <c r="F576" s="3">
        <v>265294.09826707758</v>
      </c>
    </row>
    <row r="577" spans="1:6" x14ac:dyDescent="0.3">
      <c r="A577" s="2">
        <v>46296</v>
      </c>
      <c r="B577">
        <v>2026</v>
      </c>
      <c r="C577">
        <v>10</v>
      </c>
      <c r="D577" t="s">
        <v>3451</v>
      </c>
      <c r="E577" t="s">
        <v>3444</v>
      </c>
      <c r="F577" s="3">
        <v>62504.482462530177</v>
      </c>
    </row>
    <row r="578" spans="1:6" x14ac:dyDescent="0.3">
      <c r="A578" s="2">
        <v>46296</v>
      </c>
      <c r="B578">
        <v>2026</v>
      </c>
      <c r="C578">
        <v>10</v>
      </c>
      <c r="D578" t="s">
        <v>3452</v>
      </c>
      <c r="E578" t="s">
        <v>3453</v>
      </c>
      <c r="F578" s="3">
        <v>42118.740749819583</v>
      </c>
    </row>
    <row r="579" spans="1:6" x14ac:dyDescent="0.3">
      <c r="A579" s="2">
        <v>46296</v>
      </c>
      <c r="B579">
        <v>2026</v>
      </c>
      <c r="C579">
        <v>10</v>
      </c>
      <c r="D579" t="s">
        <v>3454</v>
      </c>
      <c r="E579" t="s">
        <v>3453</v>
      </c>
      <c r="F579" s="3">
        <v>53340.928994534923</v>
      </c>
    </row>
    <row r="580" spans="1:6" x14ac:dyDescent="0.3">
      <c r="A580" s="2">
        <v>46296</v>
      </c>
      <c r="B580">
        <v>2026</v>
      </c>
      <c r="C580">
        <v>10</v>
      </c>
      <c r="D580" t="s">
        <v>3455</v>
      </c>
      <c r="E580" t="s">
        <v>3453</v>
      </c>
      <c r="F580" s="3">
        <v>68029.314498462802</v>
      </c>
    </row>
    <row r="581" spans="1:6" x14ac:dyDescent="0.3">
      <c r="A581" s="2">
        <v>46296</v>
      </c>
      <c r="B581">
        <v>2026</v>
      </c>
      <c r="C581">
        <v>10</v>
      </c>
      <c r="D581" t="s">
        <v>3456</v>
      </c>
      <c r="E581" t="s">
        <v>3450</v>
      </c>
      <c r="F581" s="3">
        <v>46767.727233608413</v>
      </c>
    </row>
    <row r="582" spans="1:6" x14ac:dyDescent="0.3">
      <c r="A582" s="2">
        <v>46327</v>
      </c>
      <c r="B582">
        <v>2026</v>
      </c>
      <c r="C582">
        <v>11</v>
      </c>
      <c r="D582" t="s">
        <v>3441</v>
      </c>
      <c r="E582" t="s">
        <v>3442</v>
      </c>
      <c r="F582" s="3">
        <v>832683.29279080092</v>
      </c>
    </row>
    <row r="583" spans="1:6" x14ac:dyDescent="0.3">
      <c r="A583" s="2">
        <v>46327</v>
      </c>
      <c r="B583">
        <v>2026</v>
      </c>
      <c r="C583">
        <v>11</v>
      </c>
      <c r="D583" t="s">
        <v>3443</v>
      </c>
      <c r="E583" t="s">
        <v>3444</v>
      </c>
      <c r="F583" s="3">
        <v>246325.5156217101</v>
      </c>
    </row>
    <row r="584" spans="1:6" x14ac:dyDescent="0.3">
      <c r="A584" s="2">
        <v>46327</v>
      </c>
      <c r="B584">
        <v>2026</v>
      </c>
      <c r="C584">
        <v>11</v>
      </c>
      <c r="D584" t="s">
        <v>3445</v>
      </c>
      <c r="E584" t="s">
        <v>3446</v>
      </c>
      <c r="F584" s="3">
        <v>378979.67742715537</v>
      </c>
    </row>
    <row r="585" spans="1:6" x14ac:dyDescent="0.3">
      <c r="A585" s="2">
        <v>46327</v>
      </c>
      <c r="B585">
        <v>2026</v>
      </c>
      <c r="C585">
        <v>11</v>
      </c>
      <c r="D585" t="s">
        <v>3447</v>
      </c>
      <c r="E585" t="s">
        <v>3448</v>
      </c>
      <c r="F585" s="3">
        <v>119412.7355150623</v>
      </c>
    </row>
    <row r="586" spans="1:6" x14ac:dyDescent="0.3">
      <c r="A586" s="2">
        <v>46327</v>
      </c>
      <c r="B586">
        <v>2026</v>
      </c>
      <c r="C586">
        <v>11</v>
      </c>
      <c r="D586" t="s">
        <v>3449</v>
      </c>
      <c r="E586" t="s">
        <v>3450</v>
      </c>
      <c r="F586" s="3">
        <v>342451.85593737342</v>
      </c>
    </row>
    <row r="587" spans="1:6" x14ac:dyDescent="0.3">
      <c r="A587" s="2">
        <v>46327</v>
      </c>
      <c r="B587">
        <v>2026</v>
      </c>
      <c r="C587">
        <v>11</v>
      </c>
      <c r="D587" t="s">
        <v>3451</v>
      </c>
      <c r="E587" t="s">
        <v>3444</v>
      </c>
      <c r="F587" s="3">
        <v>72176.065691505341</v>
      </c>
    </row>
    <row r="588" spans="1:6" x14ac:dyDescent="0.3">
      <c r="A588" s="2">
        <v>46327</v>
      </c>
      <c r="B588">
        <v>2026</v>
      </c>
      <c r="C588">
        <v>11</v>
      </c>
      <c r="D588" t="s">
        <v>3452</v>
      </c>
      <c r="E588" t="s">
        <v>3453</v>
      </c>
      <c r="F588" s="3">
        <v>48173.21946556378</v>
      </c>
    </row>
    <row r="589" spans="1:6" x14ac:dyDescent="0.3">
      <c r="A589" s="2">
        <v>46327</v>
      </c>
      <c r="B589">
        <v>2026</v>
      </c>
      <c r="C589">
        <v>11</v>
      </c>
      <c r="D589" t="s">
        <v>3454</v>
      </c>
      <c r="E589" t="s">
        <v>3453</v>
      </c>
      <c r="F589" s="3">
        <v>63039.439888630892</v>
      </c>
    </row>
    <row r="590" spans="1:6" x14ac:dyDescent="0.3">
      <c r="A590" s="2">
        <v>46327</v>
      </c>
      <c r="B590">
        <v>2026</v>
      </c>
      <c r="C590">
        <v>11</v>
      </c>
      <c r="D590" t="s">
        <v>3455</v>
      </c>
      <c r="E590" t="s">
        <v>3453</v>
      </c>
      <c r="F590" s="3">
        <v>79960.347870646845</v>
      </c>
    </row>
    <row r="591" spans="1:6" x14ac:dyDescent="0.3">
      <c r="A591" s="2">
        <v>46327</v>
      </c>
      <c r="B591">
        <v>2026</v>
      </c>
      <c r="C591">
        <v>11</v>
      </c>
      <c r="D591" t="s">
        <v>3456</v>
      </c>
      <c r="E591" t="s">
        <v>3450</v>
      </c>
      <c r="F591" s="3">
        <v>57633.697607176087</v>
      </c>
    </row>
    <row r="592" spans="1:6" x14ac:dyDescent="0.3">
      <c r="A592" s="2">
        <v>46357</v>
      </c>
      <c r="B592">
        <v>2026</v>
      </c>
      <c r="C592">
        <v>12</v>
      </c>
      <c r="D592" t="s">
        <v>3441</v>
      </c>
      <c r="E592" t="s">
        <v>3442</v>
      </c>
      <c r="F592" s="3">
        <v>826762.97621794778</v>
      </c>
    </row>
    <row r="593" spans="1:6" x14ac:dyDescent="0.3">
      <c r="A593" s="2">
        <v>46357</v>
      </c>
      <c r="B593">
        <v>2026</v>
      </c>
      <c r="C593">
        <v>12</v>
      </c>
      <c r="D593" t="s">
        <v>3443</v>
      </c>
      <c r="E593" t="s">
        <v>3444</v>
      </c>
      <c r="F593" s="3">
        <v>230874.4337413958</v>
      </c>
    </row>
    <row r="594" spans="1:6" x14ac:dyDescent="0.3">
      <c r="A594" s="2">
        <v>46357</v>
      </c>
      <c r="B594">
        <v>2026</v>
      </c>
      <c r="C594">
        <v>12</v>
      </c>
      <c r="D594" t="s">
        <v>3445</v>
      </c>
      <c r="E594" t="s">
        <v>3446</v>
      </c>
      <c r="F594" s="3">
        <v>362022.95846600621</v>
      </c>
    </row>
    <row r="595" spans="1:6" x14ac:dyDescent="0.3">
      <c r="A595" s="2">
        <v>46357</v>
      </c>
      <c r="B595">
        <v>2026</v>
      </c>
      <c r="C595">
        <v>12</v>
      </c>
      <c r="D595" t="s">
        <v>3447</v>
      </c>
      <c r="E595" t="s">
        <v>3448</v>
      </c>
      <c r="F595" s="3">
        <v>108684.6909717516</v>
      </c>
    </row>
    <row r="596" spans="1:6" x14ac:dyDescent="0.3">
      <c r="A596" s="2">
        <v>46357</v>
      </c>
      <c r="B596">
        <v>2026</v>
      </c>
      <c r="C596">
        <v>12</v>
      </c>
      <c r="D596" t="s">
        <v>3449</v>
      </c>
      <c r="E596" t="s">
        <v>3450</v>
      </c>
      <c r="F596" s="3">
        <v>334779.53471488872</v>
      </c>
    </row>
    <row r="597" spans="1:6" x14ac:dyDescent="0.3">
      <c r="A597" s="2">
        <v>46357</v>
      </c>
      <c r="B597">
        <v>2026</v>
      </c>
      <c r="C597">
        <v>12</v>
      </c>
      <c r="D597" t="s">
        <v>3451</v>
      </c>
      <c r="E597" t="s">
        <v>3444</v>
      </c>
      <c r="F597" s="3">
        <v>72772.648897084116</v>
      </c>
    </row>
    <row r="598" spans="1:6" x14ac:dyDescent="0.3">
      <c r="A598" s="2">
        <v>46357</v>
      </c>
      <c r="B598">
        <v>2026</v>
      </c>
      <c r="C598">
        <v>12</v>
      </c>
      <c r="D598" t="s">
        <v>3452</v>
      </c>
      <c r="E598" t="s">
        <v>3453</v>
      </c>
      <c r="F598" s="3">
        <v>45530.632043280028</v>
      </c>
    </row>
    <row r="599" spans="1:6" x14ac:dyDescent="0.3">
      <c r="A599" s="2">
        <v>46357</v>
      </c>
      <c r="B599">
        <v>2026</v>
      </c>
      <c r="C599">
        <v>12</v>
      </c>
      <c r="D599" t="s">
        <v>3454</v>
      </c>
      <c r="E599" t="s">
        <v>3453</v>
      </c>
      <c r="F599" s="3">
        <v>62310.268138844673</v>
      </c>
    </row>
    <row r="600" spans="1:6" x14ac:dyDescent="0.3">
      <c r="A600" s="2">
        <v>46357</v>
      </c>
      <c r="B600">
        <v>2026</v>
      </c>
      <c r="C600">
        <v>12</v>
      </c>
      <c r="D600" t="s">
        <v>3455</v>
      </c>
      <c r="E600" t="s">
        <v>3453</v>
      </c>
      <c r="F600" s="3">
        <v>78798.883892172686</v>
      </c>
    </row>
    <row r="601" spans="1:6" x14ac:dyDescent="0.3">
      <c r="A601" s="2">
        <v>46357</v>
      </c>
      <c r="B601">
        <v>2026</v>
      </c>
      <c r="C601">
        <v>12</v>
      </c>
      <c r="D601" t="s">
        <v>3456</v>
      </c>
      <c r="E601" t="s">
        <v>3450</v>
      </c>
      <c r="F601" s="3">
        <v>52441.378876571667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1"/>
  <sheetViews>
    <sheetView workbookViewId="0">
      <pane ySplit="1" topLeftCell="A2" activePane="bottomLeft" state="frozen"/>
      <selection pane="bottomLeft" activeCell="F1" sqref="F1"/>
    </sheetView>
  </sheetViews>
  <sheetFormatPr defaultRowHeight="14.4" x14ac:dyDescent="0.3"/>
  <cols>
    <col min="1" max="1" width="21" customWidth="1"/>
    <col min="2" max="3" width="11" customWidth="1"/>
    <col min="4" max="14" width="20" customWidth="1"/>
  </cols>
  <sheetData>
    <row r="1" spans="1:14" x14ac:dyDescent="0.3">
      <c r="A1" s="1" t="s">
        <v>71</v>
      </c>
      <c r="B1" s="1" t="s">
        <v>72</v>
      </c>
      <c r="C1" s="1" t="s">
        <v>73</v>
      </c>
      <c r="D1" s="1" t="s">
        <v>74</v>
      </c>
      <c r="E1" s="1" t="s">
        <v>3457</v>
      </c>
      <c r="F1" s="1" t="s">
        <v>77</v>
      </c>
      <c r="G1" s="1" t="s">
        <v>3458</v>
      </c>
      <c r="H1" s="1" t="s">
        <v>3459</v>
      </c>
      <c r="I1" s="1" t="s">
        <v>3460</v>
      </c>
      <c r="J1" s="1" t="s">
        <v>3461</v>
      </c>
      <c r="K1" s="1" t="s">
        <v>3462</v>
      </c>
      <c r="L1" s="1" t="s">
        <v>3463</v>
      </c>
      <c r="M1" s="1" t="s">
        <v>3464</v>
      </c>
      <c r="N1" s="1" t="s">
        <v>3465</v>
      </c>
    </row>
    <row r="2" spans="1:14" x14ac:dyDescent="0.3">
      <c r="A2" s="2">
        <v>44562</v>
      </c>
      <c r="B2">
        <v>2022</v>
      </c>
      <c r="C2">
        <v>1</v>
      </c>
      <c r="D2" s="3">
        <v>2131659.9591402072</v>
      </c>
      <c r="E2" s="3">
        <v>1290161.5333330049</v>
      </c>
      <c r="F2" s="3">
        <v>841498.4258072013</v>
      </c>
      <c r="G2" s="3">
        <v>551501.84338025679</v>
      </c>
      <c r="H2" s="3">
        <v>289996.58242694451</v>
      </c>
      <c r="I2" s="3">
        <v>153061.8839921031</v>
      </c>
      <c r="J2" s="3">
        <v>136934.69843484141</v>
      </c>
      <c r="K2" s="3">
        <v>47347.30700185326</v>
      </c>
      <c r="L2" s="3">
        <v>89587.391432988152</v>
      </c>
      <c r="M2" s="3">
        <v>24188.5956869068</v>
      </c>
      <c r="N2" s="3">
        <v>65398.795746081349</v>
      </c>
    </row>
    <row r="3" spans="1:14" x14ac:dyDescent="0.3">
      <c r="A3" s="2">
        <v>44593</v>
      </c>
      <c r="B3">
        <v>2022</v>
      </c>
      <c r="C3">
        <v>2</v>
      </c>
      <c r="D3" s="3">
        <v>2070207.230006574</v>
      </c>
      <c r="E3" s="3">
        <v>1255932.103295472</v>
      </c>
      <c r="F3" s="3">
        <v>814275.1267111015</v>
      </c>
      <c r="G3" s="3">
        <v>541054.96227715863</v>
      </c>
      <c r="H3" s="3">
        <v>273220.16443394287</v>
      </c>
      <c r="I3" s="3">
        <v>153149.36888079761</v>
      </c>
      <c r="J3" s="3">
        <v>120070.7955531453</v>
      </c>
      <c r="K3" s="3">
        <v>48184.213963220784</v>
      </c>
      <c r="L3" s="3">
        <v>71886.581589924506</v>
      </c>
      <c r="M3" s="3">
        <v>19409.377029279622</v>
      </c>
      <c r="N3" s="3">
        <v>52477.204560644888</v>
      </c>
    </row>
    <row r="4" spans="1:14" x14ac:dyDescent="0.3">
      <c r="A4" s="2">
        <v>44621</v>
      </c>
      <c r="B4">
        <v>2022</v>
      </c>
      <c r="C4">
        <v>3</v>
      </c>
      <c r="D4" s="3">
        <v>2307904.0625161552</v>
      </c>
      <c r="E4" s="3">
        <v>1401969.309918616</v>
      </c>
      <c r="F4" s="3">
        <v>905934.75259753829</v>
      </c>
      <c r="G4" s="3">
        <v>608944.4247157427</v>
      </c>
      <c r="H4" s="3">
        <v>296990.32788179559</v>
      </c>
      <c r="I4" s="3">
        <v>154626.69890790831</v>
      </c>
      <c r="J4" s="3">
        <v>142363.6289738873</v>
      </c>
      <c r="K4" s="3">
        <v>47466.925341503003</v>
      </c>
      <c r="L4" s="3">
        <v>94896.703632384277</v>
      </c>
      <c r="M4" s="3">
        <v>25622.10998074376</v>
      </c>
      <c r="N4" s="3">
        <v>69274.59365164052</v>
      </c>
    </row>
    <row r="5" spans="1:14" x14ac:dyDescent="0.3">
      <c r="A5" s="2">
        <v>44652</v>
      </c>
      <c r="B5">
        <v>2022</v>
      </c>
      <c r="C5">
        <v>4</v>
      </c>
      <c r="D5" s="3">
        <v>2409981.0182736828</v>
      </c>
      <c r="E5" s="3">
        <v>1462931.3470174009</v>
      </c>
      <c r="F5" s="3">
        <v>947049.6712562819</v>
      </c>
      <c r="G5" s="3">
        <v>630480.36079209938</v>
      </c>
      <c r="H5" s="3">
        <v>316569.31046418252</v>
      </c>
      <c r="I5" s="3">
        <v>155995.0131067349</v>
      </c>
      <c r="J5" s="3">
        <v>160574.29735744759</v>
      </c>
      <c r="K5" s="3">
        <v>49654.151728940393</v>
      </c>
      <c r="L5" s="3">
        <v>110920.14562850721</v>
      </c>
      <c r="M5" s="3">
        <v>29948.439319696961</v>
      </c>
      <c r="N5" s="3">
        <v>80971.706308810288</v>
      </c>
    </row>
    <row r="6" spans="1:14" x14ac:dyDescent="0.3">
      <c r="A6" s="2">
        <v>44682</v>
      </c>
      <c r="B6">
        <v>2022</v>
      </c>
      <c r="C6">
        <v>5</v>
      </c>
      <c r="D6" s="3">
        <v>2596867.5145468488</v>
      </c>
      <c r="E6" s="3">
        <v>1567592.1014134141</v>
      </c>
      <c r="F6" s="3">
        <v>1029275.413133435</v>
      </c>
      <c r="G6" s="3">
        <v>687385.021978262</v>
      </c>
      <c r="H6" s="3">
        <v>341890.39115517301</v>
      </c>
      <c r="I6" s="3">
        <v>158811.2714014246</v>
      </c>
      <c r="J6" s="3">
        <v>183079.11975374841</v>
      </c>
      <c r="K6" s="3">
        <v>46154.139098820153</v>
      </c>
      <c r="L6" s="3">
        <v>136924.98065492819</v>
      </c>
      <c r="M6" s="3">
        <v>36969.744776830623</v>
      </c>
      <c r="N6" s="3">
        <v>99955.235878097592</v>
      </c>
    </row>
    <row r="7" spans="1:14" x14ac:dyDescent="0.3">
      <c r="A7" s="2">
        <v>44713</v>
      </c>
      <c r="B7">
        <v>2022</v>
      </c>
      <c r="C7">
        <v>6</v>
      </c>
      <c r="D7" s="3">
        <v>2535494.5864155418</v>
      </c>
      <c r="E7" s="3">
        <v>1538794.922323985</v>
      </c>
      <c r="F7" s="3">
        <v>996699.66409155726</v>
      </c>
      <c r="G7" s="3">
        <v>683063.43356514501</v>
      </c>
      <c r="H7" s="3">
        <v>313636.23052641231</v>
      </c>
      <c r="I7" s="3">
        <v>156341.6928274167</v>
      </c>
      <c r="J7" s="3">
        <v>157294.53769899561</v>
      </c>
      <c r="K7" s="3">
        <v>47829.097641538712</v>
      </c>
      <c r="L7" s="3">
        <v>109465.4400574568</v>
      </c>
      <c r="M7" s="3">
        <v>29555.668815513349</v>
      </c>
      <c r="N7" s="3">
        <v>79909.771241943497</v>
      </c>
    </row>
    <row r="8" spans="1:14" x14ac:dyDescent="0.3">
      <c r="A8" s="2">
        <v>44743</v>
      </c>
      <c r="B8">
        <v>2022</v>
      </c>
      <c r="C8">
        <v>7</v>
      </c>
      <c r="D8" s="3">
        <v>2528901.4277355731</v>
      </c>
      <c r="E8" s="3">
        <v>1529725.6282691429</v>
      </c>
      <c r="F8" s="3">
        <v>999175.79946642974</v>
      </c>
      <c r="G8" s="3">
        <v>689978.64647941734</v>
      </c>
      <c r="H8" s="3">
        <v>309197.15298701241</v>
      </c>
      <c r="I8" s="3">
        <v>155360.73617216191</v>
      </c>
      <c r="J8" s="3">
        <v>153836.4168148505</v>
      </c>
      <c r="K8" s="3">
        <v>47617.648287799158</v>
      </c>
      <c r="L8" s="3">
        <v>106218.7685270513</v>
      </c>
      <c r="M8" s="3">
        <v>28679.06750230386</v>
      </c>
      <c r="N8" s="3">
        <v>77539.701024747454</v>
      </c>
    </row>
    <row r="9" spans="1:14" x14ac:dyDescent="0.3">
      <c r="A9" s="2">
        <v>44774</v>
      </c>
      <c r="B9">
        <v>2022</v>
      </c>
      <c r="C9">
        <v>8</v>
      </c>
      <c r="D9" s="3">
        <v>2433091.8911615452</v>
      </c>
      <c r="E9" s="3">
        <v>1474398.5903288969</v>
      </c>
      <c r="F9" s="3">
        <v>958693.30083264806</v>
      </c>
      <c r="G9" s="3">
        <v>639969.5487427878</v>
      </c>
      <c r="H9" s="3">
        <v>318723.75208986033</v>
      </c>
      <c r="I9" s="3">
        <v>155273.39356448769</v>
      </c>
      <c r="J9" s="3">
        <v>163450.35852537249</v>
      </c>
      <c r="K9" s="3">
        <v>48145.351100229142</v>
      </c>
      <c r="L9" s="3">
        <v>115305.0074251434</v>
      </c>
      <c r="M9" s="3">
        <v>31132.35200478871</v>
      </c>
      <c r="N9" s="3">
        <v>84172.655420354669</v>
      </c>
    </row>
    <row r="10" spans="1:14" x14ac:dyDescent="0.3">
      <c r="A10" s="2">
        <v>44805</v>
      </c>
      <c r="B10">
        <v>2022</v>
      </c>
      <c r="C10">
        <v>9</v>
      </c>
      <c r="D10" s="3">
        <v>2569747.3349159602</v>
      </c>
      <c r="E10" s="3">
        <v>1553944.2848774651</v>
      </c>
      <c r="F10" s="3">
        <v>1015803.050038495</v>
      </c>
      <c r="G10" s="3">
        <v>694551.42332074966</v>
      </c>
      <c r="H10" s="3">
        <v>321251.62671774568</v>
      </c>
      <c r="I10" s="3">
        <v>153653.9371641638</v>
      </c>
      <c r="J10" s="3">
        <v>167597.68955358191</v>
      </c>
      <c r="K10" s="3">
        <v>47139.487154087823</v>
      </c>
      <c r="L10" s="3">
        <v>120458.2023994941</v>
      </c>
      <c r="M10" s="3">
        <v>32523.714647863409</v>
      </c>
      <c r="N10" s="3">
        <v>87934.487751630673</v>
      </c>
    </row>
    <row r="11" spans="1:14" x14ac:dyDescent="0.3">
      <c r="A11" s="2">
        <v>44835</v>
      </c>
      <c r="B11">
        <v>2022</v>
      </c>
      <c r="C11">
        <v>10</v>
      </c>
      <c r="D11" s="3">
        <v>2855531.144611083</v>
      </c>
      <c r="E11" s="3">
        <v>1725337.518288394</v>
      </c>
      <c r="F11" s="3">
        <v>1130193.6263226881</v>
      </c>
      <c r="G11" s="3">
        <v>743834.81983087515</v>
      </c>
      <c r="H11" s="3">
        <v>386358.80649181292</v>
      </c>
      <c r="I11" s="3">
        <v>153956.78253790969</v>
      </c>
      <c r="J11" s="3">
        <v>232402.0239539032</v>
      </c>
      <c r="K11" s="3">
        <v>48224.888893878502</v>
      </c>
      <c r="L11" s="3">
        <v>184177.13506002471</v>
      </c>
      <c r="M11" s="3">
        <v>49727.826466206679</v>
      </c>
      <c r="N11" s="3">
        <v>134449.30859381799</v>
      </c>
    </row>
    <row r="12" spans="1:14" x14ac:dyDescent="0.3">
      <c r="A12" s="2">
        <v>44866</v>
      </c>
      <c r="B12">
        <v>2022</v>
      </c>
      <c r="C12">
        <v>11</v>
      </c>
      <c r="D12" s="3">
        <v>3307858.3184503498</v>
      </c>
      <c r="E12" s="3">
        <v>2009798.724465657</v>
      </c>
      <c r="F12" s="3">
        <v>1298059.593984694</v>
      </c>
      <c r="G12" s="3">
        <v>947500.14761205914</v>
      </c>
      <c r="H12" s="3">
        <v>350559.44637263438</v>
      </c>
      <c r="I12" s="3">
        <v>156392.6664944159</v>
      </c>
      <c r="J12" s="3">
        <v>194166.77987821851</v>
      </c>
      <c r="K12" s="3">
        <v>48819.215018246548</v>
      </c>
      <c r="L12" s="3">
        <v>145347.5648599719</v>
      </c>
      <c r="M12" s="3">
        <v>39243.842512192423</v>
      </c>
      <c r="N12" s="3">
        <v>106103.72234777951</v>
      </c>
    </row>
    <row r="13" spans="1:14" x14ac:dyDescent="0.3">
      <c r="A13" s="2">
        <v>44896</v>
      </c>
      <c r="B13">
        <v>2022</v>
      </c>
      <c r="C13">
        <v>12</v>
      </c>
      <c r="D13" s="3">
        <v>3330659.267993351</v>
      </c>
      <c r="E13" s="3">
        <v>2023972.363251575</v>
      </c>
      <c r="F13" s="3">
        <v>1306686.9047417759</v>
      </c>
      <c r="G13" s="3">
        <v>960308.47288219165</v>
      </c>
      <c r="H13" s="3">
        <v>346378.43185958482</v>
      </c>
      <c r="I13" s="3">
        <v>153851.0081963694</v>
      </c>
      <c r="J13" s="3">
        <v>192527.4236632153</v>
      </c>
      <c r="K13" s="3">
        <v>48272.490784610629</v>
      </c>
      <c r="L13" s="3">
        <v>144254.93287860471</v>
      </c>
      <c r="M13" s="3">
        <v>38948.831877223267</v>
      </c>
      <c r="N13" s="3">
        <v>105306.10100138139</v>
      </c>
    </row>
    <row r="14" spans="1:14" x14ac:dyDescent="0.3">
      <c r="A14" s="2">
        <v>44927</v>
      </c>
      <c r="B14">
        <v>2023</v>
      </c>
      <c r="C14">
        <v>1</v>
      </c>
      <c r="D14" s="3">
        <v>2514614.5749123739</v>
      </c>
      <c r="E14" s="3">
        <v>1530374.8316606849</v>
      </c>
      <c r="F14" s="3">
        <v>984239.74325168855</v>
      </c>
      <c r="G14" s="3">
        <v>685249.86986710737</v>
      </c>
      <c r="H14" s="3">
        <v>298989.87338458118</v>
      </c>
      <c r="I14" s="3">
        <v>165885.8985452374</v>
      </c>
      <c r="J14" s="3">
        <v>133103.97483934369</v>
      </c>
      <c r="K14" s="3">
        <v>50592.540232318512</v>
      </c>
      <c r="L14" s="3">
        <v>82511.434607025236</v>
      </c>
      <c r="M14" s="3">
        <v>22278.087343896819</v>
      </c>
      <c r="N14" s="3">
        <v>60233.347263128417</v>
      </c>
    </row>
    <row r="15" spans="1:14" x14ac:dyDescent="0.3">
      <c r="A15" s="2">
        <v>44958</v>
      </c>
      <c r="B15">
        <v>2023</v>
      </c>
      <c r="C15">
        <v>2</v>
      </c>
      <c r="D15" s="3">
        <v>2339753.6534984359</v>
      </c>
      <c r="E15" s="3">
        <v>1420935.6571732911</v>
      </c>
      <c r="F15" s="3">
        <v>918817.99632514454</v>
      </c>
      <c r="G15" s="3">
        <v>655532.44148147642</v>
      </c>
      <c r="H15" s="3">
        <v>263285.55484366813</v>
      </c>
      <c r="I15" s="3">
        <v>163380.69036292209</v>
      </c>
      <c r="J15" s="3">
        <v>99904.864480745979</v>
      </c>
      <c r="K15" s="3">
        <v>49221.542710379712</v>
      </c>
      <c r="L15" s="3">
        <v>50683.321770366267</v>
      </c>
      <c r="M15" s="3">
        <v>13684.49687799889</v>
      </c>
      <c r="N15" s="3">
        <v>36998.824892367367</v>
      </c>
    </row>
    <row r="16" spans="1:14" x14ac:dyDescent="0.3">
      <c r="A16" s="2">
        <v>44986</v>
      </c>
      <c r="B16">
        <v>2023</v>
      </c>
      <c r="C16">
        <v>3</v>
      </c>
      <c r="D16" s="3">
        <v>2710488.6969533218</v>
      </c>
      <c r="E16" s="3">
        <v>1643230.3016111681</v>
      </c>
      <c r="F16" s="3">
        <v>1067258.395342154</v>
      </c>
      <c r="G16" s="3">
        <v>737048.8196763728</v>
      </c>
      <c r="H16" s="3">
        <v>330209.57566578122</v>
      </c>
      <c r="I16" s="3">
        <v>163993.80385507151</v>
      </c>
      <c r="J16" s="3">
        <v>166215.7718107097</v>
      </c>
      <c r="K16" s="3">
        <v>48303.169250799037</v>
      </c>
      <c r="L16" s="3">
        <v>117912.60255991069</v>
      </c>
      <c r="M16" s="3">
        <v>31836.402691175881</v>
      </c>
      <c r="N16" s="3">
        <v>86076.19986873478</v>
      </c>
    </row>
    <row r="17" spans="1:14" x14ac:dyDescent="0.3">
      <c r="A17" s="2">
        <v>45017</v>
      </c>
      <c r="B17">
        <v>2023</v>
      </c>
      <c r="C17">
        <v>4</v>
      </c>
      <c r="D17" s="3">
        <v>2877734.8909791792</v>
      </c>
      <c r="E17" s="3">
        <v>1747627.088903948</v>
      </c>
      <c r="F17" s="3">
        <v>1130107.802075231</v>
      </c>
      <c r="G17" s="3">
        <v>788934.49707364244</v>
      </c>
      <c r="H17" s="3">
        <v>341173.30500158807</v>
      </c>
      <c r="I17" s="3">
        <v>163050.10007061879</v>
      </c>
      <c r="J17" s="3">
        <v>178123.20493096931</v>
      </c>
      <c r="K17" s="3">
        <v>50176.247030810227</v>
      </c>
      <c r="L17" s="3">
        <v>127946.957900159</v>
      </c>
      <c r="M17" s="3">
        <v>34545.678633042953</v>
      </c>
      <c r="N17" s="3">
        <v>93401.279267116101</v>
      </c>
    </row>
    <row r="18" spans="1:14" x14ac:dyDescent="0.3">
      <c r="A18" s="2">
        <v>45047</v>
      </c>
      <c r="B18">
        <v>2023</v>
      </c>
      <c r="C18">
        <v>5</v>
      </c>
      <c r="D18" s="3">
        <v>3081955.1654242161</v>
      </c>
      <c r="E18" s="3">
        <v>1869335.2372922241</v>
      </c>
      <c r="F18" s="3">
        <v>1212619.928131992</v>
      </c>
      <c r="G18" s="3">
        <v>852868.22500554682</v>
      </c>
      <c r="H18" s="3">
        <v>359751.70312644518</v>
      </c>
      <c r="I18" s="3">
        <v>165099.61606513421</v>
      </c>
      <c r="J18" s="3">
        <v>194652.087061311</v>
      </c>
      <c r="K18" s="3">
        <v>49172.75939280499</v>
      </c>
      <c r="L18" s="3">
        <v>145479.32766850601</v>
      </c>
      <c r="M18" s="3">
        <v>39279.418470496617</v>
      </c>
      <c r="N18" s="3">
        <v>106199.90919800939</v>
      </c>
    </row>
    <row r="19" spans="1:14" x14ac:dyDescent="0.3">
      <c r="A19" s="2">
        <v>45078</v>
      </c>
      <c r="B19">
        <v>2023</v>
      </c>
      <c r="C19">
        <v>6</v>
      </c>
      <c r="D19" s="3">
        <v>3005441.4505228489</v>
      </c>
      <c r="E19" s="3">
        <v>1813096.733313167</v>
      </c>
      <c r="F19" s="3">
        <v>1192344.7172096821</v>
      </c>
      <c r="G19" s="3">
        <v>838609.25303878612</v>
      </c>
      <c r="H19" s="3">
        <v>353735.46417089569</v>
      </c>
      <c r="I19" s="3">
        <v>164059.03553249169</v>
      </c>
      <c r="J19" s="3">
        <v>189676.42863840409</v>
      </c>
      <c r="K19" s="3">
        <v>48624.585743520569</v>
      </c>
      <c r="L19" s="3">
        <v>141051.84289488351</v>
      </c>
      <c r="M19" s="3">
        <v>38083.99758161854</v>
      </c>
      <c r="N19" s="3">
        <v>102967.8453132649</v>
      </c>
    </row>
    <row r="20" spans="1:14" x14ac:dyDescent="0.3">
      <c r="A20" s="2">
        <v>45108</v>
      </c>
      <c r="B20">
        <v>2023</v>
      </c>
      <c r="C20">
        <v>7</v>
      </c>
      <c r="D20" s="3">
        <v>2951999.2839889978</v>
      </c>
      <c r="E20" s="3">
        <v>1791139.1989792041</v>
      </c>
      <c r="F20" s="3">
        <v>1160860.085009794</v>
      </c>
      <c r="G20" s="3">
        <v>830611.73523939401</v>
      </c>
      <c r="H20" s="3">
        <v>330248.34977040021</v>
      </c>
      <c r="I20" s="3">
        <v>165250.5783030774</v>
      </c>
      <c r="J20" s="3">
        <v>164997.7714673228</v>
      </c>
      <c r="K20" s="3">
        <v>49363.050163948254</v>
      </c>
      <c r="L20" s="3">
        <v>115634.72130337451</v>
      </c>
      <c r="M20" s="3">
        <v>31221.37475191112</v>
      </c>
      <c r="N20" s="3">
        <v>84413.346551463401</v>
      </c>
    </row>
    <row r="21" spans="1:14" x14ac:dyDescent="0.3">
      <c r="A21" s="2">
        <v>45139</v>
      </c>
      <c r="B21">
        <v>2023</v>
      </c>
      <c r="C21">
        <v>8</v>
      </c>
      <c r="D21" s="3">
        <v>2934404.3596180561</v>
      </c>
      <c r="E21" s="3">
        <v>1790173.206244438</v>
      </c>
      <c r="F21" s="3">
        <v>1144231.1533736179</v>
      </c>
      <c r="G21" s="3">
        <v>820441.13523004798</v>
      </c>
      <c r="H21" s="3">
        <v>323790.01814357023</v>
      </c>
      <c r="I21" s="3">
        <v>162848.12558292091</v>
      </c>
      <c r="J21" s="3">
        <v>160941.89256064931</v>
      </c>
      <c r="K21" s="3">
        <v>49082.327470870863</v>
      </c>
      <c r="L21" s="3">
        <v>111859.56508977849</v>
      </c>
      <c r="M21" s="3">
        <v>30202.082574240179</v>
      </c>
      <c r="N21" s="3">
        <v>81657.482515538271</v>
      </c>
    </row>
    <row r="22" spans="1:14" x14ac:dyDescent="0.3">
      <c r="A22" s="2">
        <v>45170</v>
      </c>
      <c r="B22">
        <v>2023</v>
      </c>
      <c r="C22">
        <v>9</v>
      </c>
      <c r="D22" s="3">
        <v>3179341.3323501302</v>
      </c>
      <c r="E22" s="3">
        <v>1930103.7601962821</v>
      </c>
      <c r="F22" s="3">
        <v>1249237.5721538491</v>
      </c>
      <c r="G22" s="3">
        <v>883273.51696083916</v>
      </c>
      <c r="H22" s="3">
        <v>365964.05519300938</v>
      </c>
      <c r="I22" s="3">
        <v>163370.72920622799</v>
      </c>
      <c r="J22" s="3">
        <v>202593.32598678139</v>
      </c>
      <c r="K22" s="3">
        <v>48997.138584691267</v>
      </c>
      <c r="L22" s="3">
        <v>153596.18740209009</v>
      </c>
      <c r="M22" s="3">
        <v>41470.970598564338</v>
      </c>
      <c r="N22" s="3">
        <v>112125.21680352579</v>
      </c>
    </row>
    <row r="23" spans="1:14" x14ac:dyDescent="0.3">
      <c r="A23" s="2">
        <v>45200</v>
      </c>
      <c r="B23">
        <v>2023</v>
      </c>
      <c r="C23">
        <v>10</v>
      </c>
      <c r="D23" s="3">
        <v>3341981.8496119939</v>
      </c>
      <c r="E23" s="3">
        <v>2033218.8799956141</v>
      </c>
      <c r="F23" s="3">
        <v>1308762.9696163801</v>
      </c>
      <c r="G23" s="3">
        <v>958878.71359509917</v>
      </c>
      <c r="H23" s="3">
        <v>349884.25602128112</v>
      </c>
      <c r="I23" s="3">
        <v>165139.34259943481</v>
      </c>
      <c r="J23" s="3">
        <v>184744.91342184629</v>
      </c>
      <c r="K23" s="3">
        <v>49049.143627721613</v>
      </c>
      <c r="L23" s="3">
        <v>135695.7697941247</v>
      </c>
      <c r="M23" s="3">
        <v>36637.85784441368</v>
      </c>
      <c r="N23" s="3">
        <v>99057.911949711051</v>
      </c>
    </row>
    <row r="24" spans="1:14" x14ac:dyDescent="0.3">
      <c r="A24" s="2">
        <v>45231</v>
      </c>
      <c r="B24">
        <v>2023</v>
      </c>
      <c r="C24">
        <v>11</v>
      </c>
      <c r="D24" s="3">
        <v>3927107.9284450468</v>
      </c>
      <c r="E24" s="3">
        <v>2379631.4801812582</v>
      </c>
      <c r="F24" s="3">
        <v>1547476.4482637891</v>
      </c>
      <c r="G24" s="3">
        <v>1168387.5071698551</v>
      </c>
      <c r="H24" s="3">
        <v>379088.94109393418</v>
      </c>
      <c r="I24" s="3">
        <v>167432.34180704321</v>
      </c>
      <c r="J24" s="3">
        <v>211656.59928689111</v>
      </c>
      <c r="K24" s="3">
        <v>50888.80014584239</v>
      </c>
      <c r="L24" s="3">
        <v>160767.79914104869</v>
      </c>
      <c r="M24" s="3">
        <v>43407.305768083148</v>
      </c>
      <c r="N24" s="3">
        <v>117360.4933729655</v>
      </c>
    </row>
    <row r="25" spans="1:14" x14ac:dyDescent="0.3">
      <c r="A25" s="2">
        <v>45261</v>
      </c>
      <c r="B25">
        <v>2023</v>
      </c>
      <c r="C25">
        <v>12</v>
      </c>
      <c r="D25" s="3">
        <v>4264608.9214708358</v>
      </c>
      <c r="E25" s="3">
        <v>2585483.950978064</v>
      </c>
      <c r="F25" s="3">
        <v>1679124.9704927721</v>
      </c>
      <c r="G25" s="3">
        <v>1292267.1276305199</v>
      </c>
      <c r="H25" s="3">
        <v>386857.84286225238</v>
      </c>
      <c r="I25" s="3">
        <v>161338.1552623231</v>
      </c>
      <c r="J25" s="3">
        <v>225519.68759992931</v>
      </c>
      <c r="K25" s="3">
        <v>49508.923581611678</v>
      </c>
      <c r="L25" s="3">
        <v>176010.7640183176</v>
      </c>
      <c r="M25" s="3">
        <v>47522.906284945748</v>
      </c>
      <c r="N25" s="3">
        <v>128487.8577333718</v>
      </c>
    </row>
    <row r="26" spans="1:14" x14ac:dyDescent="0.3">
      <c r="A26" s="2">
        <v>45292</v>
      </c>
      <c r="B26">
        <v>2024</v>
      </c>
      <c r="C26">
        <v>1</v>
      </c>
      <c r="D26" s="3">
        <v>2958175.9497846421</v>
      </c>
      <c r="E26" s="3">
        <v>1796039.4627790791</v>
      </c>
      <c r="F26" s="3">
        <v>1162136.487005563</v>
      </c>
      <c r="G26" s="3">
        <v>856113.04895473283</v>
      </c>
      <c r="H26" s="3">
        <v>306023.43805082969</v>
      </c>
      <c r="I26" s="3">
        <v>170835.1167751367</v>
      </c>
      <c r="J26" s="3">
        <v>135188.32127569299</v>
      </c>
      <c r="K26" s="3">
        <v>50590.521216204666</v>
      </c>
      <c r="L26" s="3">
        <v>84597.800059488334</v>
      </c>
      <c r="M26" s="3">
        <v>22841.40601606185</v>
      </c>
      <c r="N26" s="3">
        <v>61756.39404342648</v>
      </c>
    </row>
    <row r="27" spans="1:14" x14ac:dyDescent="0.3">
      <c r="A27" s="2">
        <v>45323</v>
      </c>
      <c r="B27">
        <v>2024</v>
      </c>
      <c r="C27">
        <v>2</v>
      </c>
      <c r="D27" s="3">
        <v>2853997.6844250732</v>
      </c>
      <c r="E27" s="3">
        <v>1732874.1452105399</v>
      </c>
      <c r="F27" s="3">
        <v>1121123.5392145331</v>
      </c>
      <c r="G27" s="3">
        <v>792194.17275948217</v>
      </c>
      <c r="H27" s="3">
        <v>328929.36645505071</v>
      </c>
      <c r="I27" s="3">
        <v>177700.7230098077</v>
      </c>
      <c r="J27" s="3">
        <v>151228.64344524301</v>
      </c>
      <c r="K27" s="3">
        <v>50609.949584238573</v>
      </c>
      <c r="L27" s="3">
        <v>100618.6938610044</v>
      </c>
      <c r="M27" s="3">
        <v>27167.047342471189</v>
      </c>
      <c r="N27" s="3">
        <v>73451.646518533205</v>
      </c>
    </row>
    <row r="28" spans="1:14" x14ac:dyDescent="0.3">
      <c r="A28" s="2">
        <v>45352</v>
      </c>
      <c r="B28">
        <v>2024</v>
      </c>
      <c r="C28">
        <v>3</v>
      </c>
      <c r="D28" s="3">
        <v>3391902.6126483879</v>
      </c>
      <c r="E28" s="3">
        <v>2056727.650587098</v>
      </c>
      <c r="F28" s="3">
        <v>1335174.9620612899</v>
      </c>
      <c r="G28" s="3">
        <v>964729.75798440538</v>
      </c>
      <c r="H28" s="3">
        <v>370445.20407688478</v>
      </c>
      <c r="I28" s="3">
        <v>173451.06185993459</v>
      </c>
      <c r="J28" s="3">
        <v>196994.14221695019</v>
      </c>
      <c r="K28" s="3">
        <v>51474.516250380853</v>
      </c>
      <c r="L28" s="3">
        <v>145519.62596656941</v>
      </c>
      <c r="M28" s="3">
        <v>39290.299010973729</v>
      </c>
      <c r="N28" s="3">
        <v>106229.32695559561</v>
      </c>
    </row>
    <row r="29" spans="1:14" x14ac:dyDescent="0.3">
      <c r="A29" s="2">
        <v>45383</v>
      </c>
      <c r="B29">
        <v>2024</v>
      </c>
      <c r="C29">
        <v>4</v>
      </c>
      <c r="D29" s="3">
        <v>3406596.8396097971</v>
      </c>
      <c r="E29" s="3">
        <v>2062521.586075379</v>
      </c>
      <c r="F29" s="3">
        <v>1344075.253534419</v>
      </c>
      <c r="G29" s="3">
        <v>986235.51468654966</v>
      </c>
      <c r="H29" s="3">
        <v>357839.73884786892</v>
      </c>
      <c r="I29" s="3">
        <v>169929.46319550849</v>
      </c>
      <c r="J29" s="3">
        <v>187910.27565236029</v>
      </c>
      <c r="K29" s="3">
        <v>50052.316042751299</v>
      </c>
      <c r="L29" s="3">
        <v>137857.95960960901</v>
      </c>
      <c r="M29" s="3">
        <v>37221.649094594453</v>
      </c>
      <c r="N29" s="3">
        <v>100636.3105150146</v>
      </c>
    </row>
    <row r="30" spans="1:14" x14ac:dyDescent="0.3">
      <c r="A30" s="2">
        <v>45413</v>
      </c>
      <c r="B30">
        <v>2024</v>
      </c>
      <c r="C30">
        <v>5</v>
      </c>
      <c r="D30" s="3">
        <v>3375428.0079640392</v>
      </c>
      <c r="E30" s="3">
        <v>2037905.9541626959</v>
      </c>
      <c r="F30" s="3">
        <v>1337522.0538013431</v>
      </c>
      <c r="G30" s="3">
        <v>971359.69573016919</v>
      </c>
      <c r="H30" s="3">
        <v>366162.35807117412</v>
      </c>
      <c r="I30" s="3">
        <v>169397.95065889761</v>
      </c>
      <c r="J30" s="3">
        <v>196764.40741227649</v>
      </c>
      <c r="K30" s="3">
        <v>50020.870702471533</v>
      </c>
      <c r="L30" s="3">
        <v>146743.53670980499</v>
      </c>
      <c r="M30" s="3">
        <v>39620.75491164736</v>
      </c>
      <c r="N30" s="3">
        <v>107122.7817981577</v>
      </c>
    </row>
    <row r="31" spans="1:14" x14ac:dyDescent="0.3">
      <c r="A31" s="2">
        <v>45444</v>
      </c>
      <c r="B31">
        <v>2024</v>
      </c>
      <c r="C31">
        <v>6</v>
      </c>
      <c r="D31" s="3">
        <v>3815466.3147034398</v>
      </c>
      <c r="E31" s="3">
        <v>2317890.9949867981</v>
      </c>
      <c r="F31" s="3">
        <v>1497575.3197166419</v>
      </c>
      <c r="G31" s="3">
        <v>1095101.4365338441</v>
      </c>
      <c r="H31" s="3">
        <v>402473.88318279851</v>
      </c>
      <c r="I31" s="3">
        <v>165143.61517736709</v>
      </c>
      <c r="J31" s="3">
        <v>237330.2680054314</v>
      </c>
      <c r="K31" s="3">
        <v>51477.837570241878</v>
      </c>
      <c r="L31" s="3">
        <v>185852.43043518951</v>
      </c>
      <c r="M31" s="3">
        <v>50180.156217501179</v>
      </c>
      <c r="N31" s="3">
        <v>135672.27421768839</v>
      </c>
    </row>
    <row r="32" spans="1:14" x14ac:dyDescent="0.3">
      <c r="A32" s="2">
        <v>45474</v>
      </c>
      <c r="B32">
        <v>2024</v>
      </c>
      <c r="C32">
        <v>7</v>
      </c>
      <c r="D32" s="3">
        <v>3415287.6819018191</v>
      </c>
      <c r="E32" s="3">
        <v>2065645.9105931011</v>
      </c>
      <c r="F32" s="3">
        <v>1349641.771308718</v>
      </c>
      <c r="G32" s="3">
        <v>1010192.341012806</v>
      </c>
      <c r="H32" s="3">
        <v>339449.43029591162</v>
      </c>
      <c r="I32" s="3">
        <v>177834.6831578814</v>
      </c>
      <c r="J32" s="3">
        <v>161614.74713803019</v>
      </c>
      <c r="K32" s="3">
        <v>51073.750101162099</v>
      </c>
      <c r="L32" s="3">
        <v>110540.9970368682</v>
      </c>
      <c r="M32" s="3">
        <v>29846.0691999544</v>
      </c>
      <c r="N32" s="3">
        <v>80694.927836913746</v>
      </c>
    </row>
    <row r="33" spans="1:14" x14ac:dyDescent="0.3">
      <c r="A33" s="2">
        <v>45505</v>
      </c>
      <c r="B33">
        <v>2024</v>
      </c>
      <c r="C33">
        <v>8</v>
      </c>
      <c r="D33" s="3">
        <v>3558676.150255139</v>
      </c>
      <c r="E33" s="3">
        <v>2164856.7864462738</v>
      </c>
      <c r="F33" s="3">
        <v>1393819.363808865</v>
      </c>
      <c r="G33" s="3">
        <v>1051224.670613172</v>
      </c>
      <c r="H33" s="3">
        <v>342594.69319569302</v>
      </c>
      <c r="I33" s="3">
        <v>168853.8783453354</v>
      </c>
      <c r="J33" s="3">
        <v>173740.81485035759</v>
      </c>
      <c r="K33" s="3">
        <v>50268.555393966177</v>
      </c>
      <c r="L33" s="3">
        <v>123472.2594563914</v>
      </c>
      <c r="M33" s="3">
        <v>33337.510053225677</v>
      </c>
      <c r="N33" s="3">
        <v>90134.749403165741</v>
      </c>
    </row>
    <row r="34" spans="1:14" x14ac:dyDescent="0.3">
      <c r="A34" s="2">
        <v>45536</v>
      </c>
      <c r="B34">
        <v>2024</v>
      </c>
      <c r="C34">
        <v>9</v>
      </c>
      <c r="D34" s="3">
        <v>3673854.5092151389</v>
      </c>
      <c r="E34" s="3">
        <v>2231531.9500558572</v>
      </c>
      <c r="F34" s="3">
        <v>1442322.5591592819</v>
      </c>
      <c r="G34" s="3">
        <v>1077698.896003484</v>
      </c>
      <c r="H34" s="3">
        <v>364623.66315579758</v>
      </c>
      <c r="I34" s="3">
        <v>171331.4012439911</v>
      </c>
      <c r="J34" s="3">
        <v>193292.26191180659</v>
      </c>
      <c r="K34" s="3">
        <v>49886.826537460147</v>
      </c>
      <c r="L34" s="3">
        <v>143405.43537434639</v>
      </c>
      <c r="M34" s="3">
        <v>38719.467551073532</v>
      </c>
      <c r="N34" s="3">
        <v>104685.96782327291</v>
      </c>
    </row>
    <row r="35" spans="1:14" x14ac:dyDescent="0.3">
      <c r="A35" s="2">
        <v>45566</v>
      </c>
      <c r="B35">
        <v>2024</v>
      </c>
      <c r="C35">
        <v>10</v>
      </c>
      <c r="D35" s="3">
        <v>3902800.8898576582</v>
      </c>
      <c r="E35" s="3">
        <v>2364397.1887271702</v>
      </c>
      <c r="F35" s="3">
        <v>1538403.701130488</v>
      </c>
      <c r="G35" s="3">
        <v>1160788.2632825091</v>
      </c>
      <c r="H35" s="3">
        <v>377615.43784797873</v>
      </c>
      <c r="I35" s="3">
        <v>174744.84111605701</v>
      </c>
      <c r="J35" s="3">
        <v>202870.59673192169</v>
      </c>
      <c r="K35" s="3">
        <v>51748.420685834673</v>
      </c>
      <c r="L35" s="3">
        <v>151122.17604608709</v>
      </c>
      <c r="M35" s="3">
        <v>40802.987532443512</v>
      </c>
      <c r="N35" s="3">
        <v>110319.1885136435</v>
      </c>
    </row>
    <row r="36" spans="1:14" x14ac:dyDescent="0.3">
      <c r="A36" s="2">
        <v>45597</v>
      </c>
      <c r="B36">
        <v>2024</v>
      </c>
      <c r="C36">
        <v>11</v>
      </c>
      <c r="D36" s="3">
        <v>4357249.5739383157</v>
      </c>
      <c r="E36" s="3">
        <v>2638338.3474133369</v>
      </c>
      <c r="F36" s="3">
        <v>1718911.2265249791</v>
      </c>
      <c r="G36" s="3">
        <v>1398646.4844432171</v>
      </c>
      <c r="H36" s="3">
        <v>320264.74208176159</v>
      </c>
      <c r="I36" s="3">
        <v>169528.81634620769</v>
      </c>
      <c r="J36" s="3">
        <v>150735.9257355539</v>
      </c>
      <c r="K36" s="3">
        <v>51661.668940852192</v>
      </c>
      <c r="L36" s="3">
        <v>99074.256794701709</v>
      </c>
      <c r="M36" s="3">
        <v>26750.049334569459</v>
      </c>
      <c r="N36" s="3">
        <v>72324.207460132253</v>
      </c>
    </row>
    <row r="37" spans="1:14" x14ac:dyDescent="0.3">
      <c r="A37" s="2">
        <v>45627</v>
      </c>
      <c r="B37">
        <v>2024</v>
      </c>
      <c r="C37">
        <v>12</v>
      </c>
      <c r="D37" s="3">
        <v>5009815.8613135451</v>
      </c>
      <c r="E37" s="3">
        <v>3040266.782747</v>
      </c>
      <c r="F37" s="3">
        <v>1969549.0785665449</v>
      </c>
      <c r="G37" s="3">
        <v>1601228.918755126</v>
      </c>
      <c r="H37" s="3">
        <v>368320.15981141833</v>
      </c>
      <c r="I37" s="3">
        <v>176469.93504584159</v>
      </c>
      <c r="J37" s="3">
        <v>191850.22476557671</v>
      </c>
      <c r="K37" s="3">
        <v>52860.887039930909</v>
      </c>
      <c r="L37" s="3">
        <v>138989.3377256458</v>
      </c>
      <c r="M37" s="3">
        <v>37527.12118592437</v>
      </c>
      <c r="N37" s="3">
        <v>101462.2165397214</v>
      </c>
    </row>
    <row r="38" spans="1:14" x14ac:dyDescent="0.3">
      <c r="A38" s="2">
        <v>45658</v>
      </c>
      <c r="B38">
        <v>2025</v>
      </c>
      <c r="C38">
        <v>1</v>
      </c>
      <c r="D38" s="3">
        <v>3827935.9638799359</v>
      </c>
      <c r="E38" s="3">
        <v>2310433.5674122302</v>
      </c>
      <c r="F38" s="3">
        <v>1517502.396467706</v>
      </c>
      <c r="G38" s="3">
        <v>1116268.9996604479</v>
      </c>
      <c r="H38" s="3">
        <v>401233.39680725802</v>
      </c>
      <c r="I38" s="3">
        <v>189829.7605506478</v>
      </c>
      <c r="J38" s="3">
        <v>211403.63625661019</v>
      </c>
      <c r="K38" s="3">
        <v>51504.68954702581</v>
      </c>
      <c r="L38" s="3">
        <v>159898.94670958439</v>
      </c>
      <c r="M38" s="3">
        <v>43172.715611587788</v>
      </c>
      <c r="N38" s="3">
        <v>116726.2310979966</v>
      </c>
    </row>
    <row r="39" spans="1:14" x14ac:dyDescent="0.3">
      <c r="A39" s="2">
        <v>45689</v>
      </c>
      <c r="B39">
        <v>2025</v>
      </c>
      <c r="C39">
        <v>2</v>
      </c>
      <c r="D39" s="3">
        <v>3214414.6344625512</v>
      </c>
      <c r="E39" s="3">
        <v>1956745.206924757</v>
      </c>
      <c r="F39" s="3">
        <v>1257669.4275377949</v>
      </c>
      <c r="G39" s="3">
        <v>927031.54691731394</v>
      </c>
      <c r="H39" s="3">
        <v>330637.88062048069</v>
      </c>
      <c r="I39" s="3">
        <v>189717.84893354459</v>
      </c>
      <c r="J39" s="3">
        <v>140920.03168693621</v>
      </c>
      <c r="K39" s="3">
        <v>52079.327151075799</v>
      </c>
      <c r="L39" s="3">
        <v>88840.704535860365</v>
      </c>
      <c r="M39" s="3">
        <v>23986.9902246823</v>
      </c>
      <c r="N39" s="3">
        <v>64853.714311178061</v>
      </c>
    </row>
    <row r="40" spans="1:14" x14ac:dyDescent="0.3">
      <c r="A40" s="2">
        <v>45717</v>
      </c>
      <c r="B40">
        <v>2025</v>
      </c>
      <c r="C40">
        <v>3</v>
      </c>
      <c r="D40" s="3">
        <v>3747420.4052916178</v>
      </c>
      <c r="E40" s="3">
        <v>2281049.7306947839</v>
      </c>
      <c r="F40" s="3">
        <v>1466370.674596834</v>
      </c>
      <c r="G40" s="3">
        <v>1139638.098459366</v>
      </c>
      <c r="H40" s="3">
        <v>326732.57613746729</v>
      </c>
      <c r="I40" s="3">
        <v>180389.91655150399</v>
      </c>
      <c r="J40" s="3">
        <v>146342.65958596329</v>
      </c>
      <c r="K40" s="3">
        <v>52794.000782383817</v>
      </c>
      <c r="L40" s="3">
        <v>93548.658803579485</v>
      </c>
      <c r="M40" s="3">
        <v>25258.137876966459</v>
      </c>
      <c r="N40" s="3">
        <v>68290.520926613026</v>
      </c>
    </row>
    <row r="41" spans="1:14" x14ac:dyDescent="0.3">
      <c r="A41" s="2">
        <v>45748</v>
      </c>
      <c r="B41">
        <v>2025</v>
      </c>
      <c r="C41">
        <v>4</v>
      </c>
      <c r="D41" s="3">
        <v>3901202.5860191379</v>
      </c>
      <c r="E41" s="3">
        <v>2373050.3972744462</v>
      </c>
      <c r="F41" s="3">
        <v>1528152.1887446919</v>
      </c>
      <c r="G41" s="3">
        <v>1165448.68992676</v>
      </c>
      <c r="H41" s="3">
        <v>362703.49881793262</v>
      </c>
      <c r="I41" s="3">
        <v>180418.3209595246</v>
      </c>
      <c r="J41" s="3">
        <v>182285.1778584079</v>
      </c>
      <c r="K41" s="3">
        <v>52869.500454409201</v>
      </c>
      <c r="L41" s="3">
        <v>129415.67740399871</v>
      </c>
      <c r="M41" s="3">
        <v>34942.23289907966</v>
      </c>
      <c r="N41" s="3">
        <v>94473.444504919084</v>
      </c>
    </row>
    <row r="42" spans="1:14" x14ac:dyDescent="0.3">
      <c r="A42" s="2">
        <v>45778</v>
      </c>
      <c r="B42">
        <v>2025</v>
      </c>
      <c r="C42">
        <v>5</v>
      </c>
      <c r="D42" s="3">
        <v>3873153.2024112321</v>
      </c>
      <c r="E42" s="3">
        <v>2348575.4162510331</v>
      </c>
      <c r="F42" s="3">
        <v>1524577.786160199</v>
      </c>
      <c r="G42" s="3">
        <v>1165839.2359389421</v>
      </c>
      <c r="H42" s="3">
        <v>358738.55022125691</v>
      </c>
      <c r="I42" s="3">
        <v>178403.4556140191</v>
      </c>
      <c r="J42" s="3">
        <v>180335.09460723781</v>
      </c>
      <c r="K42" s="3">
        <v>52200.440241988828</v>
      </c>
      <c r="L42" s="3">
        <v>128134.65436524901</v>
      </c>
      <c r="M42" s="3">
        <v>34596.356678617223</v>
      </c>
      <c r="N42" s="3">
        <v>93538.297686631762</v>
      </c>
    </row>
    <row r="43" spans="1:14" x14ac:dyDescent="0.3">
      <c r="A43" s="2">
        <v>45809</v>
      </c>
      <c r="B43">
        <v>2025</v>
      </c>
      <c r="C43">
        <v>6</v>
      </c>
      <c r="D43" s="3">
        <v>4314027.2389881881</v>
      </c>
      <c r="E43" s="3">
        <v>2616155.203186891</v>
      </c>
      <c r="F43" s="3">
        <v>1697872.035801298</v>
      </c>
      <c r="G43" s="3">
        <v>1301428.9322706759</v>
      </c>
      <c r="H43" s="3">
        <v>396443.10353062162</v>
      </c>
      <c r="I43" s="3">
        <v>185517.19557753441</v>
      </c>
      <c r="J43" s="3">
        <v>210925.90795308721</v>
      </c>
      <c r="K43" s="3">
        <v>52391.037682750379</v>
      </c>
      <c r="L43" s="3">
        <v>158534.87027033689</v>
      </c>
      <c r="M43" s="3">
        <v>42804.414972990948</v>
      </c>
      <c r="N43" s="3">
        <v>115730.45529734591</v>
      </c>
    </row>
    <row r="44" spans="1:14" x14ac:dyDescent="0.3">
      <c r="A44" s="2">
        <v>45839</v>
      </c>
      <c r="B44">
        <v>2025</v>
      </c>
      <c r="C44">
        <v>7</v>
      </c>
      <c r="D44" s="3">
        <v>4508307.0699972762</v>
      </c>
      <c r="E44" s="3">
        <v>2735095.2435450922</v>
      </c>
      <c r="F44" s="3">
        <v>1773211.826452184</v>
      </c>
      <c r="G44" s="3">
        <v>1369337.763787647</v>
      </c>
      <c r="H44" s="3">
        <v>403874.06266453722</v>
      </c>
      <c r="I44" s="3">
        <v>182393.9853678089</v>
      </c>
      <c r="J44" s="3">
        <v>221480.07729672841</v>
      </c>
      <c r="K44" s="3">
        <v>52949.450792982658</v>
      </c>
      <c r="L44" s="3">
        <v>168530.62650374571</v>
      </c>
      <c r="M44" s="3">
        <v>45503.269156011353</v>
      </c>
      <c r="N44" s="3">
        <v>123027.3573477344</v>
      </c>
    </row>
    <row r="45" spans="1:14" x14ac:dyDescent="0.3">
      <c r="A45" s="2">
        <v>45870</v>
      </c>
      <c r="B45">
        <v>2025</v>
      </c>
      <c r="C45">
        <v>8</v>
      </c>
      <c r="D45" s="3">
        <v>4070656.4074953999</v>
      </c>
      <c r="E45" s="3">
        <v>2469058.7502575759</v>
      </c>
      <c r="F45" s="3">
        <v>1601597.6572378241</v>
      </c>
      <c r="G45" s="3">
        <v>1255140.4563055029</v>
      </c>
      <c r="H45" s="3">
        <v>346457.20093232091</v>
      </c>
      <c r="I45" s="3">
        <v>185203.449546952</v>
      </c>
      <c r="J45" s="3">
        <v>161253.7513853689</v>
      </c>
      <c r="K45" s="3">
        <v>50714.535615286441</v>
      </c>
      <c r="L45" s="3">
        <v>110539.2157700824</v>
      </c>
      <c r="M45" s="3">
        <v>29845.58825792226</v>
      </c>
      <c r="N45" s="3">
        <v>80693.627512160165</v>
      </c>
    </row>
    <row r="46" spans="1:14" x14ac:dyDescent="0.3">
      <c r="A46" s="2">
        <v>45901</v>
      </c>
      <c r="B46">
        <v>2025</v>
      </c>
      <c r="C46">
        <v>9</v>
      </c>
      <c r="D46" s="3">
        <v>4485147.0190509073</v>
      </c>
      <c r="E46" s="3">
        <v>2725839.7763171182</v>
      </c>
      <c r="F46" s="3">
        <v>1759307.2427337901</v>
      </c>
      <c r="G46" s="3">
        <v>1343261.97032571</v>
      </c>
      <c r="H46" s="3">
        <v>416045.27240807941</v>
      </c>
      <c r="I46" s="3">
        <v>183603.22878376409</v>
      </c>
      <c r="J46" s="3">
        <v>232442.04362431529</v>
      </c>
      <c r="K46" s="3">
        <v>52169.613237882018</v>
      </c>
      <c r="L46" s="3">
        <v>180272.43038643329</v>
      </c>
      <c r="M46" s="3">
        <v>48673.556204336986</v>
      </c>
      <c r="N46" s="3">
        <v>131598.8741820963</v>
      </c>
    </row>
    <row r="47" spans="1:14" x14ac:dyDescent="0.3">
      <c r="A47" s="2">
        <v>45931</v>
      </c>
      <c r="B47">
        <v>2025</v>
      </c>
      <c r="C47">
        <v>10</v>
      </c>
      <c r="D47" s="3">
        <v>4253039.2362032803</v>
      </c>
      <c r="E47" s="3">
        <v>2583361.8250302649</v>
      </c>
      <c r="F47" s="3">
        <v>1669677.4111730149</v>
      </c>
      <c r="G47" s="3">
        <v>1328157.317009731</v>
      </c>
      <c r="H47" s="3">
        <v>341520.09416328458</v>
      </c>
      <c r="I47" s="3">
        <v>182462.35310881451</v>
      </c>
      <c r="J47" s="3">
        <v>159057.7410544701</v>
      </c>
      <c r="K47" s="3">
        <v>53562.80272238778</v>
      </c>
      <c r="L47" s="3">
        <v>105494.9383320824</v>
      </c>
      <c r="M47" s="3">
        <v>28483.633349662239</v>
      </c>
      <c r="N47" s="3">
        <v>77011.304982420115</v>
      </c>
    </row>
    <row r="48" spans="1:14" x14ac:dyDescent="0.3">
      <c r="A48" s="2">
        <v>45962</v>
      </c>
      <c r="B48">
        <v>2025</v>
      </c>
      <c r="C48">
        <v>11</v>
      </c>
      <c r="D48" s="3">
        <v>5500749.0600316087</v>
      </c>
      <c r="E48" s="3">
        <v>3326690.6241427632</v>
      </c>
      <c r="F48" s="3">
        <v>2174058.4358888459</v>
      </c>
      <c r="G48" s="3">
        <v>1841800.201145052</v>
      </c>
      <c r="H48" s="3">
        <v>332258.23474379402</v>
      </c>
      <c r="I48" s="3">
        <v>178747.1507768218</v>
      </c>
      <c r="J48" s="3">
        <v>153511.0839669721</v>
      </c>
      <c r="K48" s="3">
        <v>51388.613834337812</v>
      </c>
      <c r="L48" s="3">
        <v>102122.47013263431</v>
      </c>
      <c r="M48" s="3">
        <v>27573.066935811268</v>
      </c>
      <c r="N48" s="3">
        <v>74549.403196823056</v>
      </c>
    </row>
    <row r="49" spans="1:14" x14ac:dyDescent="0.3">
      <c r="A49" s="2">
        <v>45992</v>
      </c>
      <c r="B49">
        <v>2025</v>
      </c>
      <c r="C49">
        <v>12</v>
      </c>
      <c r="D49" s="3">
        <v>5928876.8975026226</v>
      </c>
      <c r="E49" s="3">
        <v>3598579.3642850551</v>
      </c>
      <c r="F49" s="3">
        <v>2330297.533217568</v>
      </c>
      <c r="G49" s="3">
        <v>1963045.63947989</v>
      </c>
      <c r="H49" s="3">
        <v>367251.89373767842</v>
      </c>
      <c r="I49" s="3">
        <v>176723.47412121799</v>
      </c>
      <c r="J49" s="3">
        <v>190528.41961646051</v>
      </c>
      <c r="K49" s="3">
        <v>51874.818429161562</v>
      </c>
      <c r="L49" s="3">
        <v>138653.60118729889</v>
      </c>
      <c r="M49" s="3">
        <v>37436.472320570712</v>
      </c>
      <c r="N49" s="3">
        <v>101217.12886672821</v>
      </c>
    </row>
    <row r="50" spans="1:14" x14ac:dyDescent="0.3">
      <c r="A50" s="2">
        <v>46023</v>
      </c>
      <c r="B50">
        <v>2026</v>
      </c>
      <c r="C50">
        <v>1</v>
      </c>
      <c r="D50" s="3">
        <v>4212572.7406411339</v>
      </c>
      <c r="E50" s="3">
        <v>2550404.467103987</v>
      </c>
      <c r="F50" s="3">
        <v>1662168.2735371459</v>
      </c>
      <c r="G50" s="3">
        <v>1312719.4702725911</v>
      </c>
      <c r="H50" s="3">
        <v>349448.80326455511</v>
      </c>
      <c r="I50" s="3">
        <v>195849.82164015231</v>
      </c>
      <c r="J50" s="3">
        <v>153598.9816244028</v>
      </c>
      <c r="K50" s="3">
        <v>53894.129814719992</v>
      </c>
      <c r="L50" s="3">
        <v>99704.851809682819</v>
      </c>
      <c r="M50" s="3">
        <v>26920.309988614361</v>
      </c>
      <c r="N50" s="3">
        <v>72784.541821068458</v>
      </c>
    </row>
    <row r="51" spans="1:14" x14ac:dyDescent="0.3">
      <c r="A51" s="2">
        <v>46054</v>
      </c>
      <c r="B51">
        <v>2026</v>
      </c>
      <c r="C51">
        <v>2</v>
      </c>
      <c r="D51" s="3">
        <v>4035314.06397497</v>
      </c>
      <c r="E51" s="3">
        <v>2446766.849404322</v>
      </c>
      <c r="F51" s="3">
        <v>1588547.214570648</v>
      </c>
      <c r="G51" s="3">
        <v>1252280.511490518</v>
      </c>
      <c r="H51" s="3">
        <v>336266.70308012929</v>
      </c>
      <c r="I51" s="3">
        <v>188157.9029149808</v>
      </c>
      <c r="J51" s="3">
        <v>148108.80016514851</v>
      </c>
      <c r="K51" s="3">
        <v>53499.652602385009</v>
      </c>
      <c r="L51" s="3">
        <v>94609.147562763537</v>
      </c>
      <c r="M51" s="3">
        <v>25544.46984194616</v>
      </c>
      <c r="N51" s="3">
        <v>69064.677720817388</v>
      </c>
    </row>
    <row r="52" spans="1:14" x14ac:dyDescent="0.3">
      <c r="A52" s="2">
        <v>46082</v>
      </c>
      <c r="B52">
        <v>2026</v>
      </c>
      <c r="C52">
        <v>3</v>
      </c>
      <c r="D52" s="3">
        <v>4531062.9001190942</v>
      </c>
      <c r="E52" s="3">
        <v>2750144.7927663191</v>
      </c>
      <c r="F52" s="3">
        <v>1780918.107352776</v>
      </c>
      <c r="G52" s="3">
        <v>1416879.2086711291</v>
      </c>
      <c r="H52" s="3">
        <v>364038.89868164668</v>
      </c>
      <c r="I52" s="3">
        <v>187732.38141648809</v>
      </c>
      <c r="J52" s="3">
        <v>176306.5172651585</v>
      </c>
      <c r="K52" s="3">
        <v>52808.672284427543</v>
      </c>
      <c r="L52" s="3">
        <v>123497.844980731</v>
      </c>
      <c r="M52" s="3">
        <v>33344.418144797368</v>
      </c>
      <c r="N52" s="3">
        <v>90153.426835933627</v>
      </c>
    </row>
    <row r="53" spans="1:14" x14ac:dyDescent="0.3">
      <c r="A53" s="2">
        <v>46113</v>
      </c>
      <c r="B53">
        <v>2026</v>
      </c>
      <c r="C53">
        <v>4</v>
      </c>
      <c r="D53" s="3">
        <v>4816125.2401128169</v>
      </c>
      <c r="E53" s="3">
        <v>2917841.512844556</v>
      </c>
      <c r="F53" s="3">
        <v>1898283.7272682609</v>
      </c>
      <c r="G53" s="3">
        <v>1517388.066203706</v>
      </c>
      <c r="H53" s="3">
        <v>380895.66106455558</v>
      </c>
      <c r="I53" s="3">
        <v>193137.72324466839</v>
      </c>
      <c r="J53" s="3">
        <v>187757.93781988719</v>
      </c>
      <c r="K53" s="3">
        <v>52756.066300241822</v>
      </c>
      <c r="L53" s="3">
        <v>135001.87151964541</v>
      </c>
      <c r="M53" s="3">
        <v>36450.505310304266</v>
      </c>
      <c r="N53" s="3">
        <v>98551.366209341155</v>
      </c>
    </row>
    <row r="54" spans="1:14" x14ac:dyDescent="0.3">
      <c r="A54" s="2">
        <v>46143</v>
      </c>
      <c r="B54">
        <v>2026</v>
      </c>
      <c r="C54">
        <v>5</v>
      </c>
      <c r="D54" s="3">
        <v>4702177.3349259738</v>
      </c>
      <c r="E54" s="3">
        <v>2857080.8505067369</v>
      </c>
      <c r="F54" s="3">
        <v>1845096.4844192369</v>
      </c>
      <c r="G54" s="3">
        <v>1492443.5791378571</v>
      </c>
      <c r="H54" s="3">
        <v>352652.90528138028</v>
      </c>
      <c r="I54" s="3">
        <v>195222.5050671442</v>
      </c>
      <c r="J54" s="3">
        <v>157430.40021423611</v>
      </c>
      <c r="K54" s="3">
        <v>53947.578226656668</v>
      </c>
      <c r="L54" s="3">
        <v>103482.8219875794</v>
      </c>
      <c r="M54" s="3">
        <v>27940.361936646452</v>
      </c>
      <c r="N54" s="3">
        <v>75542.460050932976</v>
      </c>
    </row>
    <row r="55" spans="1:14" x14ac:dyDescent="0.3">
      <c r="A55" s="2">
        <v>46174</v>
      </c>
      <c r="B55">
        <v>2026</v>
      </c>
      <c r="C55">
        <v>6</v>
      </c>
      <c r="D55" s="3">
        <v>4979507.1950580208</v>
      </c>
      <c r="E55" s="3">
        <v>3006171.1362215918</v>
      </c>
      <c r="F55" s="3">
        <v>1973336.058836428</v>
      </c>
      <c r="G55" s="3">
        <v>1605762.6525431769</v>
      </c>
      <c r="H55" s="3">
        <v>367573.40629325161</v>
      </c>
      <c r="I55" s="3">
        <v>192264.35647478691</v>
      </c>
      <c r="J55" s="3">
        <v>175309.0498184647</v>
      </c>
      <c r="K55" s="3">
        <v>53723.644101591817</v>
      </c>
      <c r="L55" s="3">
        <v>121585.40571687291</v>
      </c>
      <c r="M55" s="3">
        <v>32828.059543555682</v>
      </c>
      <c r="N55" s="3">
        <v>88757.346173317186</v>
      </c>
    </row>
    <row r="56" spans="1:14" x14ac:dyDescent="0.3">
      <c r="A56" s="2">
        <v>46204</v>
      </c>
      <c r="B56">
        <v>2026</v>
      </c>
      <c r="C56">
        <v>7</v>
      </c>
      <c r="D56" s="3">
        <v>5237215.710577759</v>
      </c>
      <c r="E56" s="3">
        <v>3172311.2972327881</v>
      </c>
      <c r="F56" s="3">
        <v>2064904.4133449709</v>
      </c>
      <c r="G56" s="3">
        <v>1681389.3844645519</v>
      </c>
      <c r="H56" s="3">
        <v>383515.02888041869</v>
      </c>
      <c r="I56" s="3">
        <v>194243.8292139257</v>
      </c>
      <c r="J56" s="3">
        <v>189271.19966649299</v>
      </c>
      <c r="K56" s="3">
        <v>54870.618099198371</v>
      </c>
      <c r="L56" s="3">
        <v>134400.58156729469</v>
      </c>
      <c r="M56" s="3">
        <v>36288.157023169559</v>
      </c>
      <c r="N56" s="3">
        <v>98112.424544125097</v>
      </c>
    </row>
    <row r="57" spans="1:14" x14ac:dyDescent="0.3">
      <c r="A57" s="2">
        <v>46235</v>
      </c>
      <c r="B57">
        <v>2026</v>
      </c>
      <c r="C57">
        <v>8</v>
      </c>
      <c r="D57" s="3">
        <v>4963206.0573440008</v>
      </c>
      <c r="E57" s="3">
        <v>3016350.2872082568</v>
      </c>
      <c r="F57" s="3">
        <v>1946855.770135744</v>
      </c>
      <c r="G57" s="3">
        <v>1574604.390029615</v>
      </c>
      <c r="H57" s="3">
        <v>372251.38010612852</v>
      </c>
      <c r="I57" s="3">
        <v>192982.86694466649</v>
      </c>
      <c r="J57" s="3">
        <v>179268.513161462</v>
      </c>
      <c r="K57" s="3">
        <v>54634.670989911443</v>
      </c>
      <c r="L57" s="3">
        <v>124633.8421715505</v>
      </c>
      <c r="M57" s="3">
        <v>33651.137386318653</v>
      </c>
      <c r="N57" s="3">
        <v>90982.704785231879</v>
      </c>
    </row>
    <row r="58" spans="1:14" x14ac:dyDescent="0.3">
      <c r="A58" s="2">
        <v>46266</v>
      </c>
      <c r="B58">
        <v>2026</v>
      </c>
      <c r="C58">
        <v>9</v>
      </c>
      <c r="D58" s="3">
        <v>5234289.4773274157</v>
      </c>
      <c r="E58" s="3">
        <v>3185742.9486177019</v>
      </c>
      <c r="F58" s="3">
        <v>2048546.5287097141</v>
      </c>
      <c r="G58" s="3">
        <v>1702756.360376121</v>
      </c>
      <c r="H58" s="3">
        <v>345790.16833359282</v>
      </c>
      <c r="I58" s="3">
        <v>191406.9459032412</v>
      </c>
      <c r="J58" s="3">
        <v>154383.22243035171</v>
      </c>
      <c r="K58" s="3">
        <v>54610.266970641242</v>
      </c>
      <c r="L58" s="3">
        <v>99772.955459710414</v>
      </c>
      <c r="M58" s="3">
        <v>26938.697974121809</v>
      </c>
      <c r="N58" s="3">
        <v>72834.257485588605</v>
      </c>
    </row>
    <row r="59" spans="1:14" x14ac:dyDescent="0.3">
      <c r="A59" s="2">
        <v>46296</v>
      </c>
      <c r="B59">
        <v>2026</v>
      </c>
      <c r="C59">
        <v>10</v>
      </c>
      <c r="D59" s="3">
        <v>5671493.3794715405</v>
      </c>
      <c r="E59" s="3">
        <v>3439913.9326749342</v>
      </c>
      <c r="F59" s="3">
        <v>2231579.4467966058</v>
      </c>
      <c r="G59" s="3">
        <v>1845208.9799058579</v>
      </c>
      <c r="H59" s="3">
        <v>386370.46689074789</v>
      </c>
      <c r="I59" s="3">
        <v>191044.6425344889</v>
      </c>
      <c r="J59" s="3">
        <v>195325.82435625899</v>
      </c>
      <c r="K59" s="3">
        <v>54026.834121988213</v>
      </c>
      <c r="L59" s="3">
        <v>141298.99023427081</v>
      </c>
      <c r="M59" s="3">
        <v>38150.727363253107</v>
      </c>
      <c r="N59" s="3">
        <v>103148.26287101769</v>
      </c>
    </row>
    <row r="60" spans="1:14" x14ac:dyDescent="0.3">
      <c r="A60" s="2">
        <v>46327</v>
      </c>
      <c r="B60">
        <v>2026</v>
      </c>
      <c r="C60">
        <v>11</v>
      </c>
      <c r="D60" s="3">
        <v>6470776.879941145</v>
      </c>
      <c r="E60" s="3">
        <v>3919590.1148898811</v>
      </c>
      <c r="F60" s="3">
        <v>2551186.7650512639</v>
      </c>
      <c r="G60" s="3">
        <v>2240835.8478156249</v>
      </c>
      <c r="H60" s="3">
        <v>310350.91723563941</v>
      </c>
      <c r="I60" s="3">
        <v>191226.77343293701</v>
      </c>
      <c r="J60" s="3">
        <v>119124.1438027024</v>
      </c>
      <c r="K60" s="3">
        <v>53530.403525664879</v>
      </c>
      <c r="L60" s="3">
        <v>65593.740277037548</v>
      </c>
      <c r="M60" s="3">
        <v>17710.309874800139</v>
      </c>
      <c r="N60" s="3">
        <v>47883.430402237413</v>
      </c>
    </row>
    <row r="61" spans="1:14" x14ac:dyDescent="0.3">
      <c r="A61" s="2">
        <v>46357</v>
      </c>
      <c r="B61">
        <v>2026</v>
      </c>
      <c r="C61">
        <v>12</v>
      </c>
      <c r="D61" s="3">
        <v>6294204.2601246517</v>
      </c>
      <c r="E61" s="3">
        <v>3819099.129775519</v>
      </c>
      <c r="F61" s="3">
        <v>2475105.1303491322</v>
      </c>
      <c r="G61" s="3">
        <v>2174978.4059599428</v>
      </c>
      <c r="H61" s="3">
        <v>300126.72438918939</v>
      </c>
      <c r="I61" s="3">
        <v>190032.99466109881</v>
      </c>
      <c r="J61" s="3">
        <v>110093.72972809061</v>
      </c>
      <c r="K61" s="3">
        <v>54529.75663895328</v>
      </c>
      <c r="L61" s="3">
        <v>55563.973089137296</v>
      </c>
      <c r="M61" s="3">
        <v>15002.27273406707</v>
      </c>
      <c r="N61" s="3">
        <v>40561.700355070221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6"/>
  <sheetViews>
    <sheetView workbookViewId="0">
      <pane ySplit="1" topLeftCell="A2" activePane="bottomLeft" state="frozen"/>
      <selection pane="bottomLeft" activeCell="K4" sqref="K4"/>
    </sheetView>
  </sheetViews>
  <sheetFormatPr defaultRowHeight="14.4" x14ac:dyDescent="0.3"/>
  <cols>
    <col min="1" max="2" width="11" customWidth="1"/>
    <col min="3" max="6" width="20" customWidth="1"/>
    <col min="7" max="7" width="19" customWidth="1"/>
    <col min="8" max="9" width="20" customWidth="1"/>
    <col min="10" max="10" width="19" customWidth="1"/>
    <col min="11" max="11" width="20" customWidth="1"/>
    <col min="12" max="12" width="19" customWidth="1"/>
    <col min="13" max="13" width="20" customWidth="1"/>
    <col min="14" max="15" width="21" customWidth="1"/>
    <col min="16" max="16" width="22" customWidth="1"/>
    <col min="17" max="17" width="21" customWidth="1"/>
    <col min="18" max="18" width="24" customWidth="1"/>
    <col min="19" max="19" width="21" customWidth="1"/>
  </cols>
  <sheetData>
    <row r="1" spans="1:19" x14ac:dyDescent="0.3">
      <c r="A1" s="1" t="s">
        <v>72</v>
      </c>
      <c r="B1" s="1" t="s">
        <v>73</v>
      </c>
      <c r="C1" s="1" t="s">
        <v>74</v>
      </c>
      <c r="D1" s="1" t="s">
        <v>3457</v>
      </c>
      <c r="E1" s="1" t="s">
        <v>77</v>
      </c>
      <c r="F1" s="1" t="s">
        <v>3458</v>
      </c>
      <c r="G1" s="1" t="s">
        <v>3459</v>
      </c>
      <c r="H1" s="1" t="s">
        <v>3460</v>
      </c>
      <c r="I1" s="1" t="s">
        <v>3461</v>
      </c>
      <c r="J1" s="1" t="s">
        <v>3462</v>
      </c>
      <c r="K1" s="1" t="s">
        <v>3463</v>
      </c>
      <c r="L1" s="1" t="s">
        <v>3464</v>
      </c>
      <c r="M1" s="1" t="s">
        <v>3465</v>
      </c>
      <c r="N1" s="1" t="s">
        <v>3466</v>
      </c>
      <c r="O1" s="1" t="s">
        <v>3467</v>
      </c>
      <c r="P1" s="1" t="s">
        <v>3468</v>
      </c>
      <c r="Q1" s="1" t="s">
        <v>3469</v>
      </c>
      <c r="R1" s="1" t="s">
        <v>3470</v>
      </c>
      <c r="S1" s="1" t="s">
        <v>3471</v>
      </c>
    </row>
    <row r="2" spans="1:19" x14ac:dyDescent="0.3">
      <c r="A2">
        <v>2022</v>
      </c>
      <c r="B2">
        <v>78</v>
      </c>
      <c r="C2" s="3">
        <v>31077903.755766869</v>
      </c>
      <c r="D2" s="3">
        <v>18834558.426783029</v>
      </c>
      <c r="E2" s="3">
        <v>12243345.328983851</v>
      </c>
      <c r="F2" s="3">
        <v>8378573.1055767452</v>
      </c>
      <c r="G2" s="3">
        <v>3864772.2234071009</v>
      </c>
      <c r="H2" s="3">
        <v>1860474.4532458941</v>
      </c>
      <c r="I2" s="3">
        <v>2004297.770161208</v>
      </c>
      <c r="J2" s="3">
        <v>574854.91601472814</v>
      </c>
      <c r="K2" s="3">
        <v>1429442.8541464789</v>
      </c>
      <c r="L2" s="3">
        <v>385949.57061954949</v>
      </c>
      <c r="M2" s="3">
        <v>1043493.28352693</v>
      </c>
      <c r="N2" s="4">
        <v>0.39395660097286811</v>
      </c>
      <c r="O2" s="4">
        <v>0.1243575581474007</v>
      </c>
      <c r="P2" s="4">
        <v>3.3576694610018457E-2</v>
      </c>
      <c r="Q2" s="4"/>
      <c r="R2" s="4"/>
      <c r="S2" s="4"/>
    </row>
    <row r="3" spans="1:19" x14ac:dyDescent="0.3">
      <c r="A3">
        <v>2023</v>
      </c>
      <c r="B3">
        <v>78</v>
      </c>
      <c r="C3" s="3">
        <v>37129432.107775427</v>
      </c>
      <c r="D3" s="3">
        <v>22534350.326529339</v>
      </c>
      <c r="E3" s="3">
        <v>14595081.78124609</v>
      </c>
      <c r="F3" s="3">
        <v>10512102.841968689</v>
      </c>
      <c r="G3" s="3">
        <v>4082978.9392774068</v>
      </c>
      <c r="H3" s="3">
        <v>1970848.4171925031</v>
      </c>
      <c r="I3" s="3">
        <v>2112130.5220849039</v>
      </c>
      <c r="J3" s="3">
        <v>592980.22793531907</v>
      </c>
      <c r="K3" s="3">
        <v>1519150.2941495851</v>
      </c>
      <c r="L3" s="3">
        <v>410170.57942038792</v>
      </c>
      <c r="M3" s="3">
        <v>1108979.7147291971</v>
      </c>
      <c r="N3" s="4">
        <v>0.39308658798984641</v>
      </c>
      <c r="O3" s="4">
        <v>0.10996610256321079</v>
      </c>
      <c r="P3" s="4">
        <v>2.986794173178212E-2</v>
      </c>
      <c r="Q3" s="4">
        <v>0.19472125274490651</v>
      </c>
      <c r="R3" s="4">
        <v>6.2756926408694902E-2</v>
      </c>
      <c r="S3" s="4">
        <v>0.25464117929243502</v>
      </c>
    </row>
    <row r="4" spans="1:19" x14ac:dyDescent="0.3">
      <c r="A4">
        <v>2024</v>
      </c>
      <c r="B4">
        <v>78</v>
      </c>
      <c r="C4" s="3">
        <v>43719252.075616993</v>
      </c>
      <c r="D4" s="3">
        <v>26508996.75978433</v>
      </c>
      <c r="E4" s="3">
        <v>17210255.315832671</v>
      </c>
      <c r="F4" s="3">
        <v>12965513.2007595</v>
      </c>
      <c r="G4" s="3">
        <v>4244742.1150731677</v>
      </c>
      <c r="H4" s="3">
        <v>2065221.485931966</v>
      </c>
      <c r="I4" s="3">
        <v>2179520.6291412008</v>
      </c>
      <c r="J4" s="3">
        <v>611726.12006549502</v>
      </c>
      <c r="K4" s="3">
        <v>1567794.5090757059</v>
      </c>
      <c r="L4" s="3">
        <v>423304.51745044068</v>
      </c>
      <c r="M4" s="3">
        <v>1144489.991625265</v>
      </c>
      <c r="N4" s="4">
        <v>0.39365392816111627</v>
      </c>
      <c r="O4" s="4">
        <v>9.7090913351661298E-2</v>
      </c>
      <c r="P4" s="4">
        <v>2.6178169508612611E-2</v>
      </c>
      <c r="Q4" s="4">
        <v>0.17748237971195779</v>
      </c>
      <c r="R4" s="4">
        <v>3.2020673078533068E-2</v>
      </c>
      <c r="S4" s="4">
        <v>0.23338911307029611</v>
      </c>
    </row>
    <row r="5" spans="1:19" x14ac:dyDescent="0.3">
      <c r="A5">
        <v>2025</v>
      </c>
      <c r="B5">
        <v>78</v>
      </c>
      <c r="C5" s="3">
        <v>51624929.721333757</v>
      </c>
      <c r="D5" s="3">
        <v>31324635.105322011</v>
      </c>
      <c r="E5" s="3">
        <v>20300294.61601175</v>
      </c>
      <c r="F5" s="3">
        <v>15916398.851227039</v>
      </c>
      <c r="G5" s="3">
        <v>4383895.7647847114</v>
      </c>
      <c r="H5" s="3">
        <v>2193410.1398921539</v>
      </c>
      <c r="I5" s="3">
        <v>2190485.624892558</v>
      </c>
      <c r="J5" s="3">
        <v>626498.83049167215</v>
      </c>
      <c r="K5" s="3">
        <v>1563986.7944008859</v>
      </c>
      <c r="L5" s="3">
        <v>422276.43448823917</v>
      </c>
      <c r="M5" s="3">
        <v>1141710.359912646</v>
      </c>
      <c r="N5" s="4">
        <v>0.39322658114191578</v>
      </c>
      <c r="O5" s="4">
        <v>8.4918193369919251E-2</v>
      </c>
      <c r="P5" s="4">
        <v>2.2115485020037521E-2</v>
      </c>
      <c r="Q5" s="4">
        <v>0.1808282912077972</v>
      </c>
      <c r="R5" s="4">
        <v>-2.4287077501409242E-3</v>
      </c>
      <c r="S5" s="4">
        <v>0.2275949748209489</v>
      </c>
    </row>
    <row r="6" spans="1:19" x14ac:dyDescent="0.3">
      <c r="A6">
        <v>2026</v>
      </c>
      <c r="B6">
        <v>78</v>
      </c>
      <c r="C6" s="3">
        <v>61147945.239618517</v>
      </c>
      <c r="D6" s="3">
        <v>37081417.31924659</v>
      </c>
      <c r="E6" s="3">
        <v>24066527.920371931</v>
      </c>
      <c r="F6" s="3">
        <v>19817246.856870688</v>
      </c>
      <c r="G6" s="3">
        <v>4249281.0635012351</v>
      </c>
      <c r="H6" s="3">
        <v>2303302.7434485792</v>
      </c>
      <c r="I6" s="3">
        <v>1945978.320052657</v>
      </c>
      <c r="J6" s="3">
        <v>646832.2936763803</v>
      </c>
      <c r="K6" s="3">
        <v>1299146.026376276</v>
      </c>
      <c r="L6" s="3">
        <v>350769.42712159461</v>
      </c>
      <c r="M6" s="3">
        <v>948376.59925468161</v>
      </c>
      <c r="N6" s="4">
        <v>0.3935786856952132</v>
      </c>
      <c r="O6" s="4">
        <v>6.9491804619921591E-2</v>
      </c>
      <c r="P6" s="4">
        <v>1.5509541580478429E-2</v>
      </c>
      <c r="Q6" s="4">
        <v>0.18446544275583629</v>
      </c>
      <c r="R6" s="4">
        <v>-0.16933695922033759</v>
      </c>
      <c r="S6" s="4">
        <v>0.2450835796530022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6"/>
  <sheetViews>
    <sheetView topLeftCell="F1" workbookViewId="0">
      <pane ySplit="1" topLeftCell="A2" activePane="bottomLeft" state="frozen"/>
      <selection pane="bottomLeft" activeCell="H2" sqref="H2"/>
    </sheetView>
  </sheetViews>
  <sheetFormatPr defaultRowHeight="14.4" x14ac:dyDescent="0.3"/>
  <cols>
    <col min="1" max="1" width="11" customWidth="1"/>
    <col min="2" max="2" width="19" customWidth="1"/>
    <col min="3" max="4" width="20" customWidth="1"/>
    <col min="5" max="5" width="26" customWidth="1"/>
    <col min="6" max="12" width="20" customWidth="1"/>
    <col min="13" max="13" width="21" customWidth="1"/>
    <col min="14" max="14" width="20" customWidth="1"/>
    <col min="15" max="15" width="21" customWidth="1"/>
  </cols>
  <sheetData>
    <row r="1" spans="1:15" x14ac:dyDescent="0.3">
      <c r="A1" s="1" t="s">
        <v>72</v>
      </c>
      <c r="B1" s="1" t="s">
        <v>3472</v>
      </c>
      <c r="C1" s="1" t="s">
        <v>3473</v>
      </c>
      <c r="D1" s="1" t="s">
        <v>3474</v>
      </c>
      <c r="E1" s="1" t="s">
        <v>3475</v>
      </c>
      <c r="F1" s="1" t="s">
        <v>3476</v>
      </c>
      <c r="G1" s="1" t="s">
        <v>3477</v>
      </c>
      <c r="H1" s="1" t="s">
        <v>3478</v>
      </c>
      <c r="I1" s="1" t="s">
        <v>3479</v>
      </c>
      <c r="J1" s="1" t="s">
        <v>3480</v>
      </c>
      <c r="K1" s="1" t="s">
        <v>3481</v>
      </c>
      <c r="L1" s="1" t="s">
        <v>3482</v>
      </c>
      <c r="M1" s="1" t="s">
        <v>3483</v>
      </c>
      <c r="N1" s="1" t="s">
        <v>3484</v>
      </c>
      <c r="O1" s="1" t="s">
        <v>3485</v>
      </c>
    </row>
    <row r="2" spans="1:15" x14ac:dyDescent="0.3">
      <c r="A2">
        <v>2022</v>
      </c>
      <c r="B2" s="3">
        <v>3921593.1243884722</v>
      </c>
      <c r="C2" s="3">
        <v>1769337.1072673411</v>
      </c>
      <c r="D2" s="3">
        <v>2788781.2182743521</v>
      </c>
      <c r="E2" s="3">
        <v>5958142.3359737676</v>
      </c>
      <c r="F2" s="3">
        <v>14437853.785903931</v>
      </c>
      <c r="G2" s="3">
        <v>1540586.9905223739</v>
      </c>
      <c r="H2" s="3">
        <v>1200000</v>
      </c>
      <c r="I2" s="3">
        <v>3500000</v>
      </c>
      <c r="J2" s="3">
        <v>6240586.9905223725</v>
      </c>
      <c r="K2" s="3">
        <v>8197266.7953815591</v>
      </c>
      <c r="L2" s="3">
        <v>8479711.449930165</v>
      </c>
      <c r="M2" s="3">
        <v>2740586.9905223739</v>
      </c>
      <c r="N2" s="3">
        <v>3.0941223465101091</v>
      </c>
      <c r="O2" s="3">
        <v>0.57336184332173223</v>
      </c>
    </row>
    <row r="3" spans="1:15" x14ac:dyDescent="0.3">
      <c r="A3">
        <v>2023</v>
      </c>
      <c r="B3" s="3">
        <v>4486977.0283607971</v>
      </c>
      <c r="C3" s="3">
        <v>2078921.8108338821</v>
      </c>
      <c r="D3" s="3">
        <v>3179730.9714224748</v>
      </c>
      <c r="E3" s="3">
        <v>6288254.5251577506</v>
      </c>
      <c r="F3" s="3">
        <v>16033884.33577491</v>
      </c>
      <c r="G3" s="3">
        <v>1863346.2946577531</v>
      </c>
      <c r="H3" s="3">
        <v>1152000</v>
      </c>
      <c r="I3" s="3">
        <v>3290000</v>
      </c>
      <c r="J3" s="3">
        <v>6305346.2946577538</v>
      </c>
      <c r="K3" s="3">
        <v>9728538.0411171522</v>
      </c>
      <c r="L3" s="3">
        <v>9745629.8106171545</v>
      </c>
      <c r="M3" s="3">
        <v>3015346.2946577528</v>
      </c>
      <c r="N3" s="3">
        <v>3.2320101435391848</v>
      </c>
      <c r="O3" s="3">
        <v>0.45659481221393411</v>
      </c>
    </row>
    <row r="4" spans="1:15" x14ac:dyDescent="0.3">
      <c r="A4">
        <v>2024</v>
      </c>
      <c r="B4" s="3">
        <v>5207926.5828815419</v>
      </c>
      <c r="C4" s="3">
        <v>2297464.2757934369</v>
      </c>
      <c r="D4" s="3">
        <v>3812168.6328149131</v>
      </c>
      <c r="E4" s="3">
        <v>6629901.4457795899</v>
      </c>
      <c r="F4" s="3">
        <v>17947460.937269479</v>
      </c>
      <c r="G4" s="3">
        <v>2294382.3330530059</v>
      </c>
      <c r="H4" s="3">
        <v>1105920</v>
      </c>
      <c r="I4" s="3">
        <v>3092600</v>
      </c>
      <c r="J4" s="3">
        <v>6492902.3330530059</v>
      </c>
      <c r="K4" s="3">
        <v>11454558.604216469</v>
      </c>
      <c r="L4" s="3">
        <v>11317559.491489889</v>
      </c>
      <c r="M4" s="3">
        <v>3400302.3330530059</v>
      </c>
      <c r="N4" s="3">
        <v>3.3283980019883321</v>
      </c>
      <c r="O4" s="3">
        <v>0.36653703953764799</v>
      </c>
    </row>
    <row r="5" spans="1:15" x14ac:dyDescent="0.3">
      <c r="A5">
        <v>2025</v>
      </c>
      <c r="B5" s="3">
        <v>5802251.2605839213</v>
      </c>
      <c r="C5" s="3">
        <v>2955231.7985426271</v>
      </c>
      <c r="D5" s="3">
        <v>4439305.7636464806</v>
      </c>
      <c r="E5" s="3">
        <v>6998926.4669676451</v>
      </c>
      <c r="F5" s="3">
        <v>20195715.28974067</v>
      </c>
      <c r="G5" s="3">
        <v>2647441.6813185322</v>
      </c>
      <c r="H5" s="3">
        <v>1061683.2</v>
      </c>
      <c r="I5" s="3">
        <v>2907044</v>
      </c>
      <c r="J5" s="3">
        <v>6616168.8813185319</v>
      </c>
      <c r="K5" s="3">
        <v>13579546.40842214</v>
      </c>
      <c r="L5" s="3">
        <v>13196788.82277303</v>
      </c>
      <c r="M5" s="3">
        <v>3709124.8813185319</v>
      </c>
      <c r="N5" s="3">
        <v>3.5579251831719909</v>
      </c>
      <c r="O5" s="3">
        <v>0.29225771470088008</v>
      </c>
    </row>
    <row r="6" spans="1:15" x14ac:dyDescent="0.3">
      <c r="A6">
        <v>2026</v>
      </c>
      <c r="B6" s="3">
        <v>6047890.8199793901</v>
      </c>
      <c r="C6" s="3">
        <v>3607177.4186528572</v>
      </c>
      <c r="D6" s="3">
        <v>4931222.0803731261</v>
      </c>
      <c r="E6" s="3">
        <v>7380643.9364095721</v>
      </c>
      <c r="F6" s="3">
        <v>21966934.255414952</v>
      </c>
      <c r="G6" s="3">
        <v>3293327.4358881349</v>
      </c>
      <c r="H6" s="3">
        <v>1019215.872</v>
      </c>
      <c r="I6" s="3">
        <v>2732621.3599999989</v>
      </c>
      <c r="J6" s="3">
        <v>7045164.6678881338</v>
      </c>
      <c r="K6" s="3">
        <v>14921769.587526809</v>
      </c>
      <c r="L6" s="3">
        <v>14586290.31900537</v>
      </c>
      <c r="M6" s="3">
        <v>4312543.3078881344</v>
      </c>
      <c r="N6" s="3">
        <v>3.3822942235328699</v>
      </c>
      <c r="O6" s="3">
        <v>0.25143380012623839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"/>
  <sheetViews>
    <sheetView workbookViewId="0">
      <pane ySplit="1" topLeftCell="A2" activePane="bottomLeft" state="frozen"/>
      <selection pane="bottomLeft" activeCell="I7" sqref="I7"/>
    </sheetView>
  </sheetViews>
  <sheetFormatPr defaultRowHeight="14.4" x14ac:dyDescent="0.3"/>
  <cols>
    <col min="1" max="1" width="11" customWidth="1"/>
    <col min="2" max="2" width="23.88671875" bestFit="1" customWidth="1"/>
    <col min="3" max="3" width="21" customWidth="1"/>
    <col min="4" max="5" width="23.5546875" bestFit="1" customWidth="1"/>
  </cols>
  <sheetData>
    <row r="1" spans="1:5" x14ac:dyDescent="0.3">
      <c r="A1" s="1" t="s">
        <v>72</v>
      </c>
      <c r="B1" s="1" t="s">
        <v>3486</v>
      </c>
      <c r="C1" s="1" t="s">
        <v>3487</v>
      </c>
      <c r="D1" s="1" t="s">
        <v>3488</v>
      </c>
      <c r="E1" s="1" t="s">
        <v>3489</v>
      </c>
    </row>
    <row r="2" spans="1:5" x14ac:dyDescent="0.3">
      <c r="A2">
        <v>2022</v>
      </c>
      <c r="B2" s="3">
        <v>2830130.7042145561</v>
      </c>
      <c r="C2" s="3">
        <v>-1000000</v>
      </c>
      <c r="D2" s="3">
        <v>-450000</v>
      </c>
      <c r="E2" s="3">
        <v>1380130.7042145601</v>
      </c>
    </row>
    <row r="3" spans="1:5" x14ac:dyDescent="0.3">
      <c r="A3">
        <v>2023</v>
      </c>
      <c r="B3" s="3">
        <v>2996454.4983449681</v>
      </c>
      <c r="C3" s="3">
        <v>-1060000</v>
      </c>
      <c r="D3" s="3">
        <v>-436500</v>
      </c>
      <c r="E3" s="3">
        <v>1499954.4983449681</v>
      </c>
    </row>
    <row r="4" spans="1:5" x14ac:dyDescent="0.3">
      <c r="A4">
        <v>2024</v>
      </c>
      <c r="B4" s="3">
        <v>3114351.7867675312</v>
      </c>
      <c r="C4" s="3">
        <v>-1123600</v>
      </c>
      <c r="D4" s="3">
        <v>-423000</v>
      </c>
      <c r="E4" s="3">
        <v>1567751.786767531</v>
      </c>
    </row>
    <row r="5" spans="1:5" x14ac:dyDescent="0.3">
      <c r="A5">
        <v>2025</v>
      </c>
      <c r="B5" s="3">
        <v>3218597.633603605</v>
      </c>
      <c r="C5" s="3">
        <v>-1191016</v>
      </c>
      <c r="D5" s="3">
        <v>-409500</v>
      </c>
      <c r="E5" s="3">
        <v>1618081.633603605</v>
      </c>
    </row>
    <row r="6" spans="1:5" x14ac:dyDescent="0.3">
      <c r="A6">
        <v>2026</v>
      </c>
      <c r="B6" s="3">
        <v>3122749.4910041681</v>
      </c>
      <c r="C6" s="3">
        <v>-1262476.96</v>
      </c>
      <c r="D6" s="3">
        <v>-396000</v>
      </c>
      <c r="E6" s="3">
        <v>1464272.5310041669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6"/>
  <sheetViews>
    <sheetView workbookViewId="0">
      <pane ySplit="1" topLeftCell="A20" activePane="bottomLeft" state="frozen"/>
      <selection pane="bottomLeft" activeCell="C3" sqref="C3"/>
    </sheetView>
  </sheetViews>
  <sheetFormatPr defaultRowHeight="14.4" x14ac:dyDescent="0.3"/>
  <cols>
    <col min="1" max="1" width="11" customWidth="1"/>
    <col min="2" max="2" width="13" customWidth="1"/>
    <col min="3" max="4" width="20" customWidth="1"/>
    <col min="5" max="5" width="14.44140625" bestFit="1" customWidth="1"/>
    <col min="6" max="6" width="20" customWidth="1"/>
    <col min="7" max="7" width="21" customWidth="1"/>
  </cols>
  <sheetData>
    <row r="1" spans="1:7" x14ac:dyDescent="0.3">
      <c r="A1" s="1" t="s">
        <v>72</v>
      </c>
      <c r="B1" s="1" t="s">
        <v>16</v>
      </c>
      <c r="C1" s="1" t="s">
        <v>74</v>
      </c>
      <c r="D1" s="1" t="s">
        <v>76</v>
      </c>
      <c r="E1" s="1" t="s">
        <v>75</v>
      </c>
      <c r="F1" s="1" t="s">
        <v>77</v>
      </c>
      <c r="G1" s="1" t="s">
        <v>3466</v>
      </c>
    </row>
    <row r="2" spans="1:7" x14ac:dyDescent="0.3">
      <c r="A2">
        <v>2022</v>
      </c>
      <c r="B2" t="s">
        <v>24</v>
      </c>
      <c r="C2" s="3">
        <v>5904276.1947737504</v>
      </c>
      <c r="D2" s="3">
        <v>3891933.2888139049</v>
      </c>
      <c r="E2">
        <v>969</v>
      </c>
      <c r="F2" s="3">
        <v>2012342.905959846</v>
      </c>
      <c r="G2" s="4">
        <v>0.34082804387455617</v>
      </c>
    </row>
    <row r="3" spans="1:7" x14ac:dyDescent="0.3">
      <c r="A3">
        <v>2022</v>
      </c>
      <c r="B3" t="s">
        <v>29</v>
      </c>
      <c r="C3" s="3">
        <v>4006546.2424656078</v>
      </c>
      <c r="D3" s="3">
        <v>2558177.1053581168</v>
      </c>
      <c r="E3">
        <v>930</v>
      </c>
      <c r="F3" s="3">
        <v>1448369.137107491</v>
      </c>
      <c r="G3" s="4">
        <v>0.36150066652323781</v>
      </c>
    </row>
    <row r="4" spans="1:7" x14ac:dyDescent="0.3">
      <c r="A4">
        <v>2022</v>
      </c>
      <c r="B4" t="s">
        <v>34</v>
      </c>
      <c r="C4" s="3">
        <v>3729708.4758699671</v>
      </c>
      <c r="D4" s="3">
        <v>1783564.2682149471</v>
      </c>
      <c r="E4">
        <v>4389</v>
      </c>
      <c r="F4" s="3">
        <v>1946144.2076550201</v>
      </c>
      <c r="G4" s="4">
        <v>0.52179526100926044</v>
      </c>
    </row>
    <row r="5" spans="1:7" x14ac:dyDescent="0.3">
      <c r="A5">
        <v>2022</v>
      </c>
      <c r="B5" t="s">
        <v>43</v>
      </c>
      <c r="C5" s="3">
        <v>5964714.3078494947</v>
      </c>
      <c r="D5" s="3">
        <v>3521350.9780079839</v>
      </c>
      <c r="E5">
        <v>1700</v>
      </c>
      <c r="F5" s="3">
        <v>2443363.3298415099</v>
      </c>
      <c r="G5" s="4">
        <v>0.40963627153543181</v>
      </c>
    </row>
    <row r="6" spans="1:7" x14ac:dyDescent="0.3">
      <c r="A6">
        <v>2022</v>
      </c>
      <c r="B6" t="s">
        <v>37</v>
      </c>
      <c r="C6" s="3">
        <v>3121468.6577523928</v>
      </c>
      <c r="D6" s="3">
        <v>1714384.9804844919</v>
      </c>
      <c r="E6">
        <v>4337</v>
      </c>
      <c r="F6" s="3">
        <v>1407083.6772679009</v>
      </c>
      <c r="G6" s="4">
        <v>0.4507761671011199</v>
      </c>
    </row>
    <row r="7" spans="1:7" x14ac:dyDescent="0.3">
      <c r="A7">
        <v>2022</v>
      </c>
      <c r="B7" t="s">
        <v>19</v>
      </c>
      <c r="C7" s="3">
        <v>5528177.9648076557</v>
      </c>
      <c r="D7" s="3">
        <v>3425586.7259340719</v>
      </c>
      <c r="E7">
        <v>1065</v>
      </c>
      <c r="F7" s="3">
        <v>2102591.2388735842</v>
      </c>
      <c r="G7" s="4">
        <v>0.38034072930695528</v>
      </c>
    </row>
    <row r="8" spans="1:7" x14ac:dyDescent="0.3">
      <c r="A8">
        <v>2022</v>
      </c>
      <c r="B8" t="s">
        <v>40</v>
      </c>
      <c r="C8" s="3">
        <v>2823011.9122480019</v>
      </c>
      <c r="D8" s="3">
        <v>1939561.0799695081</v>
      </c>
      <c r="E8">
        <v>522</v>
      </c>
      <c r="F8" s="3">
        <v>883450.83227849449</v>
      </c>
      <c r="G8" s="4">
        <v>0.31294619354793679</v>
      </c>
    </row>
    <row r="9" spans="1:7" x14ac:dyDescent="0.3">
      <c r="A9">
        <v>2023</v>
      </c>
      <c r="B9" t="s">
        <v>24</v>
      </c>
      <c r="C9" s="3">
        <v>7074690.6456196699</v>
      </c>
      <c r="D9" s="3">
        <v>4668428.3323739134</v>
      </c>
      <c r="E9">
        <v>1162</v>
      </c>
      <c r="F9" s="3">
        <v>2406262.313245757</v>
      </c>
      <c r="G9" s="4">
        <v>0.34012261931701648</v>
      </c>
    </row>
    <row r="10" spans="1:7" x14ac:dyDescent="0.3">
      <c r="A10">
        <v>2023</v>
      </c>
      <c r="B10" t="s">
        <v>29</v>
      </c>
      <c r="C10" s="3">
        <v>4871517.872046005</v>
      </c>
      <c r="D10" s="3">
        <v>3125189.717012662</v>
      </c>
      <c r="E10">
        <v>1132</v>
      </c>
      <c r="F10" s="3">
        <v>1746328.155033343</v>
      </c>
      <c r="G10" s="4">
        <v>0.35847721406385752</v>
      </c>
    </row>
    <row r="11" spans="1:7" x14ac:dyDescent="0.3">
      <c r="A11">
        <v>2023</v>
      </c>
      <c r="B11" t="s">
        <v>34</v>
      </c>
      <c r="C11" s="3">
        <v>4476407.1285215113</v>
      </c>
      <c r="D11" s="3">
        <v>2149467.1301984792</v>
      </c>
      <c r="E11">
        <v>5265</v>
      </c>
      <c r="F11" s="3">
        <v>2326939.9983230331</v>
      </c>
      <c r="G11" s="4">
        <v>0.5198231375106368</v>
      </c>
    </row>
    <row r="12" spans="1:7" x14ac:dyDescent="0.3">
      <c r="A12">
        <v>2023</v>
      </c>
      <c r="B12" t="s">
        <v>43</v>
      </c>
      <c r="C12" s="3">
        <v>7027012.6763691027</v>
      </c>
      <c r="D12" s="3">
        <v>4138368.7451414689</v>
      </c>
      <c r="E12">
        <v>2002</v>
      </c>
      <c r="F12" s="3">
        <v>2888643.9312276328</v>
      </c>
      <c r="G12" s="4">
        <v>0.41107709125696518</v>
      </c>
    </row>
    <row r="13" spans="1:7" x14ac:dyDescent="0.3">
      <c r="A13">
        <v>2023</v>
      </c>
      <c r="B13" t="s">
        <v>37</v>
      </c>
      <c r="C13" s="3">
        <v>3687986.4276043419</v>
      </c>
      <c r="D13" s="3">
        <v>2034001.3963792711</v>
      </c>
      <c r="E13">
        <v>5126</v>
      </c>
      <c r="F13" s="3">
        <v>1653985.031225072</v>
      </c>
      <c r="G13" s="4">
        <v>0.44847915351453022</v>
      </c>
    </row>
    <row r="14" spans="1:7" x14ac:dyDescent="0.3">
      <c r="A14">
        <v>2023</v>
      </c>
      <c r="B14" t="s">
        <v>19</v>
      </c>
      <c r="C14" s="3">
        <v>6643719.3964912994</v>
      </c>
      <c r="D14" s="3">
        <v>4117736.90921264</v>
      </c>
      <c r="E14">
        <v>1279</v>
      </c>
      <c r="F14" s="3">
        <v>2525982.4872786598</v>
      </c>
      <c r="G14" s="4">
        <v>0.38020607682688851</v>
      </c>
    </row>
    <row r="15" spans="1:7" x14ac:dyDescent="0.3">
      <c r="A15">
        <v>2023</v>
      </c>
      <c r="B15" t="s">
        <v>40</v>
      </c>
      <c r="C15" s="3">
        <v>3348097.9611235061</v>
      </c>
      <c r="D15" s="3">
        <v>2301158.0962109081</v>
      </c>
      <c r="E15">
        <v>618</v>
      </c>
      <c r="F15" s="3">
        <v>1046939.864912598</v>
      </c>
      <c r="G15" s="4">
        <v>0.31269690345657669</v>
      </c>
    </row>
    <row r="16" spans="1:7" x14ac:dyDescent="0.3">
      <c r="A16">
        <v>2024</v>
      </c>
      <c r="B16" t="s">
        <v>24</v>
      </c>
      <c r="C16" s="3">
        <v>8312062.8728655372</v>
      </c>
      <c r="D16" s="3">
        <v>5473254.655794573</v>
      </c>
      <c r="E16">
        <v>1367</v>
      </c>
      <c r="F16" s="3">
        <v>2838808.2170709642</v>
      </c>
      <c r="G16" s="4">
        <v>0.34152872283223012</v>
      </c>
    </row>
    <row r="17" spans="1:7" x14ac:dyDescent="0.3">
      <c r="A17">
        <v>2024</v>
      </c>
      <c r="B17" t="s">
        <v>29</v>
      </c>
      <c r="C17" s="3">
        <v>5702975.3489790829</v>
      </c>
      <c r="D17" s="3">
        <v>3649366.909772668</v>
      </c>
      <c r="E17">
        <v>1325</v>
      </c>
      <c r="F17" s="3">
        <v>2053608.4392064151</v>
      </c>
      <c r="G17" s="4">
        <v>0.36009421635919248</v>
      </c>
    </row>
    <row r="18" spans="1:7" x14ac:dyDescent="0.3">
      <c r="A18">
        <v>2024</v>
      </c>
      <c r="B18" t="s">
        <v>34</v>
      </c>
      <c r="C18" s="3">
        <v>5245083.9747517072</v>
      </c>
      <c r="D18" s="3">
        <v>2514007.5283405669</v>
      </c>
      <c r="E18">
        <v>6174</v>
      </c>
      <c r="F18" s="3">
        <v>2731076.4464111398</v>
      </c>
      <c r="G18" s="4">
        <v>0.52069260655458327</v>
      </c>
    </row>
    <row r="19" spans="1:7" x14ac:dyDescent="0.3">
      <c r="A19">
        <v>2024</v>
      </c>
      <c r="B19" t="s">
        <v>43</v>
      </c>
      <c r="C19" s="3">
        <v>8173884.8498188248</v>
      </c>
      <c r="D19" s="3">
        <v>4811278.1787718637</v>
      </c>
      <c r="E19">
        <v>2336</v>
      </c>
      <c r="F19" s="3">
        <v>3362606.6710469611</v>
      </c>
      <c r="G19" s="4">
        <v>0.41138414998854478</v>
      </c>
    </row>
    <row r="20" spans="1:7" x14ac:dyDescent="0.3">
      <c r="A20">
        <v>2024</v>
      </c>
      <c r="B20" t="s">
        <v>37</v>
      </c>
      <c r="C20" s="3">
        <v>4349334.5682003004</v>
      </c>
      <c r="D20" s="3">
        <v>2387582.4446931998</v>
      </c>
      <c r="E20">
        <v>6041</v>
      </c>
      <c r="F20" s="3">
        <v>1961752.1235070999</v>
      </c>
      <c r="G20" s="4">
        <v>0.45104649751487119</v>
      </c>
    </row>
    <row r="21" spans="1:7" x14ac:dyDescent="0.3">
      <c r="A21">
        <v>2024</v>
      </c>
      <c r="B21" t="s">
        <v>19</v>
      </c>
      <c r="C21" s="3">
        <v>7956312.4984354479</v>
      </c>
      <c r="D21" s="3">
        <v>4930072.7830705792</v>
      </c>
      <c r="E21">
        <v>1533</v>
      </c>
      <c r="F21" s="3">
        <v>3026239.7153648692</v>
      </c>
      <c r="G21" s="4">
        <v>0.3803570706856923</v>
      </c>
    </row>
    <row r="22" spans="1:7" x14ac:dyDescent="0.3">
      <c r="A22">
        <v>2024</v>
      </c>
      <c r="B22" t="s">
        <v>40</v>
      </c>
      <c r="C22" s="3">
        <v>3979597.9625660949</v>
      </c>
      <c r="D22" s="3">
        <v>2743434.25934088</v>
      </c>
      <c r="E22">
        <v>732</v>
      </c>
      <c r="F22" s="3">
        <v>1236163.7032252159</v>
      </c>
      <c r="G22" s="4">
        <v>0.3106252729178004</v>
      </c>
    </row>
    <row r="23" spans="1:7" x14ac:dyDescent="0.3">
      <c r="A23">
        <v>2025</v>
      </c>
      <c r="B23" t="s">
        <v>24</v>
      </c>
      <c r="C23" s="3">
        <v>9958726.7335746586</v>
      </c>
      <c r="D23" s="3">
        <v>6576712.0225585746</v>
      </c>
      <c r="E23">
        <v>1633</v>
      </c>
      <c r="F23" s="3">
        <v>3382014.7110160831</v>
      </c>
      <c r="G23" s="4">
        <v>0.33960312412369192</v>
      </c>
    </row>
    <row r="24" spans="1:7" x14ac:dyDescent="0.3">
      <c r="A24">
        <v>2025</v>
      </c>
      <c r="B24" t="s">
        <v>29</v>
      </c>
      <c r="C24" s="3">
        <v>6678570.8220791696</v>
      </c>
      <c r="D24" s="3">
        <v>4271436.1501327259</v>
      </c>
      <c r="E24">
        <v>1555</v>
      </c>
      <c r="F24" s="3">
        <v>2407134.671946445</v>
      </c>
      <c r="G24" s="4">
        <v>0.36042661462666892</v>
      </c>
    </row>
    <row r="25" spans="1:7" x14ac:dyDescent="0.3">
      <c r="A25">
        <v>2025</v>
      </c>
      <c r="B25" t="s">
        <v>34</v>
      </c>
      <c r="C25" s="3">
        <v>6184757.5350897042</v>
      </c>
      <c r="D25" s="3">
        <v>2967817.405129713</v>
      </c>
      <c r="E25">
        <v>7274</v>
      </c>
      <c r="F25" s="3">
        <v>3216940.1299599912</v>
      </c>
      <c r="G25" s="4">
        <v>0.52014005588876044</v>
      </c>
    </row>
    <row r="26" spans="1:7" x14ac:dyDescent="0.3">
      <c r="A26">
        <v>2025</v>
      </c>
      <c r="B26" t="s">
        <v>43</v>
      </c>
      <c r="C26" s="3">
        <v>9715851.2110815905</v>
      </c>
      <c r="D26" s="3">
        <v>5722946.9130407656</v>
      </c>
      <c r="E26">
        <v>2774</v>
      </c>
      <c r="F26" s="3">
        <v>3992904.298040824</v>
      </c>
      <c r="G26" s="4">
        <v>0.41096803679811861</v>
      </c>
    </row>
    <row r="27" spans="1:7" x14ac:dyDescent="0.3">
      <c r="A27">
        <v>2025</v>
      </c>
      <c r="B27" t="s">
        <v>37</v>
      </c>
      <c r="C27" s="3">
        <v>5161243.221037887</v>
      </c>
      <c r="D27" s="3">
        <v>2834613.8598457021</v>
      </c>
      <c r="E27">
        <v>7170</v>
      </c>
      <c r="F27" s="3">
        <v>2326629.361192185</v>
      </c>
      <c r="G27" s="4">
        <v>0.45078855259301598</v>
      </c>
    </row>
    <row r="28" spans="1:7" x14ac:dyDescent="0.3">
      <c r="A28">
        <v>2025</v>
      </c>
      <c r="B28" t="s">
        <v>19</v>
      </c>
      <c r="C28" s="3">
        <v>9238965.986519482</v>
      </c>
      <c r="D28" s="3">
        <v>5715431.2982365573</v>
      </c>
      <c r="E28">
        <v>1776</v>
      </c>
      <c r="F28" s="3">
        <v>3523534.6882829252</v>
      </c>
      <c r="G28" s="4">
        <v>0.38137760150043759</v>
      </c>
    </row>
    <row r="29" spans="1:7" x14ac:dyDescent="0.3">
      <c r="A29">
        <v>2025</v>
      </c>
      <c r="B29" t="s">
        <v>40</v>
      </c>
      <c r="C29" s="3">
        <v>4686814.211951266</v>
      </c>
      <c r="D29" s="3">
        <v>3235677.4563779668</v>
      </c>
      <c r="E29">
        <v>868</v>
      </c>
      <c r="F29" s="3">
        <v>1451136.755573299</v>
      </c>
      <c r="G29" s="4">
        <v>0.30962113921071038</v>
      </c>
    </row>
    <row r="30" spans="1:7" x14ac:dyDescent="0.3">
      <c r="A30">
        <v>2026</v>
      </c>
      <c r="B30" t="s">
        <v>24</v>
      </c>
      <c r="C30" s="3">
        <v>11655702.36284492</v>
      </c>
      <c r="D30" s="3">
        <v>7669861.9440311044</v>
      </c>
      <c r="E30">
        <v>1912</v>
      </c>
      <c r="F30" s="3">
        <v>3985840.4188138139</v>
      </c>
      <c r="G30" s="4">
        <v>0.34196484216339862</v>
      </c>
    </row>
    <row r="31" spans="1:7" x14ac:dyDescent="0.3">
      <c r="A31">
        <v>2026</v>
      </c>
      <c r="B31" t="s">
        <v>29</v>
      </c>
      <c r="C31" s="3">
        <v>7920075.5726905623</v>
      </c>
      <c r="D31" s="3">
        <v>5059857.9024801003</v>
      </c>
      <c r="E31">
        <v>1841</v>
      </c>
      <c r="F31" s="3">
        <v>2860217.6702104621</v>
      </c>
      <c r="G31" s="4">
        <v>0.36113514876964808</v>
      </c>
    </row>
    <row r="32" spans="1:7" x14ac:dyDescent="0.3">
      <c r="A32">
        <v>2026</v>
      </c>
      <c r="B32" t="s">
        <v>34</v>
      </c>
      <c r="C32" s="3">
        <v>7252595.4069797425</v>
      </c>
      <c r="D32" s="3">
        <v>3488272.6113151978</v>
      </c>
      <c r="E32">
        <v>8535</v>
      </c>
      <c r="F32" s="3">
        <v>3764322.7956645451</v>
      </c>
      <c r="G32" s="4">
        <v>0.51903113084756403</v>
      </c>
    </row>
    <row r="33" spans="1:7" x14ac:dyDescent="0.3">
      <c r="A33">
        <v>2026</v>
      </c>
      <c r="B33" t="s">
        <v>43</v>
      </c>
      <c r="C33" s="3">
        <v>11702938.52897739</v>
      </c>
      <c r="D33" s="3">
        <v>6887031.4666669248</v>
      </c>
      <c r="E33">
        <v>3344</v>
      </c>
      <c r="F33" s="3">
        <v>4815907.0623104693</v>
      </c>
      <c r="G33" s="4">
        <v>0.41151263423164242</v>
      </c>
    </row>
    <row r="34" spans="1:7" x14ac:dyDescent="0.3">
      <c r="A34">
        <v>2026</v>
      </c>
      <c r="B34" t="s">
        <v>37</v>
      </c>
      <c r="C34" s="3">
        <v>6102669.9666126976</v>
      </c>
      <c r="D34" s="3">
        <v>3355455.3274780749</v>
      </c>
      <c r="E34">
        <v>8475</v>
      </c>
      <c r="F34" s="3">
        <v>2747214.6391346231</v>
      </c>
      <c r="G34" s="4">
        <v>0.45016601817965768</v>
      </c>
    </row>
    <row r="35" spans="1:7" x14ac:dyDescent="0.3">
      <c r="A35">
        <v>2026</v>
      </c>
      <c r="B35" t="s">
        <v>19</v>
      </c>
      <c r="C35" s="3">
        <v>11001983.110127371</v>
      </c>
      <c r="D35" s="3">
        <v>6809375.8582880944</v>
      </c>
      <c r="E35">
        <v>2115</v>
      </c>
      <c r="F35" s="3">
        <v>4192607.2518392801</v>
      </c>
      <c r="G35" s="4">
        <v>0.38107741212399848</v>
      </c>
    </row>
    <row r="36" spans="1:7" x14ac:dyDescent="0.3">
      <c r="A36">
        <v>2026</v>
      </c>
      <c r="B36" t="s">
        <v>40</v>
      </c>
      <c r="C36" s="3">
        <v>5511980.2913858322</v>
      </c>
      <c r="D36" s="3">
        <v>3811562.2089870991</v>
      </c>
      <c r="E36">
        <v>1026</v>
      </c>
      <c r="F36" s="3">
        <v>1700418.0823987341</v>
      </c>
      <c r="G36" s="4">
        <v>0.30849494963836521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5" customWidth="1"/>
    <col min="3" max="4" width="20" customWidth="1"/>
    <col min="5" max="5" width="12" customWidth="1"/>
    <col min="6" max="6" width="20" customWidth="1"/>
    <col min="7" max="7" width="21" customWidth="1"/>
  </cols>
  <sheetData>
    <row r="1" spans="1:7" x14ac:dyDescent="0.3">
      <c r="A1" s="1" t="s">
        <v>72</v>
      </c>
      <c r="B1" s="1" t="s">
        <v>46</v>
      </c>
      <c r="C1" s="1" t="s">
        <v>74</v>
      </c>
      <c r="D1" s="1" t="s">
        <v>76</v>
      </c>
      <c r="E1" s="1" t="s">
        <v>75</v>
      </c>
      <c r="F1" s="1" t="s">
        <v>77</v>
      </c>
      <c r="G1" s="1" t="s">
        <v>3466</v>
      </c>
    </row>
    <row r="2" spans="1:7" x14ac:dyDescent="0.3">
      <c r="A2">
        <v>2022</v>
      </c>
      <c r="B2" t="s">
        <v>62</v>
      </c>
      <c r="C2" s="3">
        <v>4643661.6796041094</v>
      </c>
      <c r="D2" s="3">
        <v>2824915.8278203402</v>
      </c>
      <c r="E2">
        <v>2067</v>
      </c>
      <c r="F2" s="3">
        <v>1818745.8517837699</v>
      </c>
      <c r="G2" s="4">
        <v>0.39166200668150852</v>
      </c>
    </row>
    <row r="3" spans="1:7" x14ac:dyDescent="0.3">
      <c r="A3">
        <v>2022</v>
      </c>
      <c r="B3" t="s">
        <v>50</v>
      </c>
      <c r="C3" s="3">
        <v>11177493.89162752</v>
      </c>
      <c r="D3" s="3">
        <v>6776371.8389052767</v>
      </c>
      <c r="E3">
        <v>4999</v>
      </c>
      <c r="F3" s="3">
        <v>4401122.0527222399</v>
      </c>
      <c r="G3" s="4">
        <v>0.39374855360188499</v>
      </c>
    </row>
    <row r="4" spans="1:7" x14ac:dyDescent="0.3">
      <c r="A4">
        <v>2022</v>
      </c>
      <c r="B4" t="s">
        <v>58</v>
      </c>
      <c r="C4" s="3">
        <v>6220519.7032434754</v>
      </c>
      <c r="D4" s="3">
        <v>3765341.0528939492</v>
      </c>
      <c r="E4">
        <v>2788</v>
      </c>
      <c r="F4" s="3">
        <v>2455178.6503495262</v>
      </c>
      <c r="G4" s="4">
        <v>0.39469027789902472</v>
      </c>
    </row>
    <row r="5" spans="1:7" x14ac:dyDescent="0.3">
      <c r="A5">
        <v>2022</v>
      </c>
      <c r="B5" t="s">
        <v>54</v>
      </c>
      <c r="C5" s="3">
        <v>9036228.4812917691</v>
      </c>
      <c r="D5" s="3">
        <v>5467929.7071634587</v>
      </c>
      <c r="E5">
        <v>4058</v>
      </c>
      <c r="F5" s="3">
        <v>3568298.7741283099</v>
      </c>
      <c r="G5" s="4">
        <v>0.3948880643640173</v>
      </c>
    </row>
    <row r="6" spans="1:7" x14ac:dyDescent="0.3">
      <c r="A6">
        <v>2023</v>
      </c>
      <c r="B6" t="s">
        <v>62</v>
      </c>
      <c r="C6" s="3">
        <v>5571726.7968517318</v>
      </c>
      <c r="D6" s="3">
        <v>3380901.4616277581</v>
      </c>
      <c r="E6">
        <v>2492</v>
      </c>
      <c r="F6" s="3">
        <v>2190825.3352239742</v>
      </c>
      <c r="G6" s="4">
        <v>0.39320401288553591</v>
      </c>
    </row>
    <row r="7" spans="1:7" x14ac:dyDescent="0.3">
      <c r="A7">
        <v>2023</v>
      </c>
      <c r="B7" t="s">
        <v>50</v>
      </c>
      <c r="C7" s="3">
        <v>13316167.09026425</v>
      </c>
      <c r="D7" s="3">
        <v>8090349.6223197272</v>
      </c>
      <c r="E7">
        <v>5950</v>
      </c>
      <c r="F7" s="3">
        <v>5225817.4679445215</v>
      </c>
      <c r="G7" s="4">
        <v>0.39244156614445258</v>
      </c>
    </row>
    <row r="8" spans="1:7" x14ac:dyDescent="0.3">
      <c r="A8">
        <v>2023</v>
      </c>
      <c r="B8" t="s">
        <v>58</v>
      </c>
      <c r="C8" s="3">
        <v>7437652.969351586</v>
      </c>
      <c r="D8" s="3">
        <v>4521374.9857455092</v>
      </c>
      <c r="E8">
        <v>3322</v>
      </c>
      <c r="F8" s="3">
        <v>2916277.9836060768</v>
      </c>
      <c r="G8" s="4">
        <v>0.39209653846760723</v>
      </c>
    </row>
    <row r="9" spans="1:7" x14ac:dyDescent="0.3">
      <c r="A9">
        <v>2023</v>
      </c>
      <c r="B9" t="s">
        <v>54</v>
      </c>
      <c r="C9" s="3">
        <v>10803885.251307869</v>
      </c>
      <c r="D9" s="3">
        <v>6541724.2568363482</v>
      </c>
      <c r="E9">
        <v>4820</v>
      </c>
      <c r="F9" s="3">
        <v>4262160.994471523</v>
      </c>
      <c r="G9" s="4">
        <v>0.39450261598766651</v>
      </c>
    </row>
    <row r="10" spans="1:7" x14ac:dyDescent="0.3">
      <c r="A10">
        <v>2024</v>
      </c>
      <c r="B10" t="s">
        <v>62</v>
      </c>
      <c r="C10" s="3">
        <v>6492993.3603347391</v>
      </c>
      <c r="D10" s="3">
        <v>3938891.8303552628</v>
      </c>
      <c r="E10">
        <v>2895</v>
      </c>
      <c r="F10" s="3">
        <v>2554101.5299794758</v>
      </c>
      <c r="G10" s="4">
        <v>0.39336272012571438</v>
      </c>
    </row>
    <row r="11" spans="1:7" x14ac:dyDescent="0.3">
      <c r="A11">
        <v>2024</v>
      </c>
      <c r="B11" t="s">
        <v>50</v>
      </c>
      <c r="C11" s="3">
        <v>15828448.35951178</v>
      </c>
      <c r="D11" s="3">
        <v>9593120.3222319633</v>
      </c>
      <c r="E11">
        <v>7078</v>
      </c>
      <c r="F11" s="3">
        <v>6235328.0372798201</v>
      </c>
      <c r="G11" s="4">
        <v>0.39393172948205157</v>
      </c>
    </row>
    <row r="12" spans="1:7" x14ac:dyDescent="0.3">
      <c r="A12">
        <v>2024</v>
      </c>
      <c r="B12" t="s">
        <v>58</v>
      </c>
      <c r="C12" s="3">
        <v>8756759.461538747</v>
      </c>
      <c r="D12" s="3">
        <v>5312371.8480006605</v>
      </c>
      <c r="E12">
        <v>3915</v>
      </c>
      <c r="F12" s="3">
        <v>3444387.6135380859</v>
      </c>
      <c r="G12" s="4">
        <v>0.39334043931050672</v>
      </c>
    </row>
    <row r="13" spans="1:7" x14ac:dyDescent="0.3">
      <c r="A13">
        <v>2024</v>
      </c>
      <c r="B13" t="s">
        <v>54</v>
      </c>
      <c r="C13" s="3">
        <v>12641050.894231729</v>
      </c>
      <c r="D13" s="3">
        <v>7664612.7591964426</v>
      </c>
      <c r="E13">
        <v>5620</v>
      </c>
      <c r="F13" s="3">
        <v>4976438.135035282</v>
      </c>
      <c r="G13" s="4">
        <v>0.39367281855546482</v>
      </c>
    </row>
    <row r="14" spans="1:7" x14ac:dyDescent="0.3">
      <c r="A14">
        <v>2025</v>
      </c>
      <c r="B14" t="s">
        <v>62</v>
      </c>
      <c r="C14" s="3">
        <v>7766774.0458830316</v>
      </c>
      <c r="D14" s="3">
        <v>4709296.2239055904</v>
      </c>
      <c r="E14">
        <v>3457</v>
      </c>
      <c r="F14" s="3">
        <v>3057477.8219774421</v>
      </c>
      <c r="G14" s="4">
        <v>0.39366122973516038</v>
      </c>
    </row>
    <row r="15" spans="1:7" x14ac:dyDescent="0.3">
      <c r="A15">
        <v>2025</v>
      </c>
      <c r="B15" t="s">
        <v>50</v>
      </c>
      <c r="C15" s="3">
        <v>18634815.786416352</v>
      </c>
      <c r="D15" s="3">
        <v>11289738.472895021</v>
      </c>
      <c r="E15">
        <v>8367</v>
      </c>
      <c r="F15" s="3">
        <v>7345077.3135213293</v>
      </c>
      <c r="G15" s="4">
        <v>0.39415883675520119</v>
      </c>
    </row>
    <row r="16" spans="1:7" x14ac:dyDescent="0.3">
      <c r="A16">
        <v>2025</v>
      </c>
      <c r="B16" t="s">
        <v>58</v>
      </c>
      <c r="C16" s="3">
        <v>10330222.038779041</v>
      </c>
      <c r="D16" s="3">
        <v>6269826.4176652255</v>
      </c>
      <c r="E16">
        <v>4604</v>
      </c>
      <c r="F16" s="3">
        <v>4060395.62111382</v>
      </c>
      <c r="G16" s="4">
        <v>0.3930598593013136</v>
      </c>
    </row>
    <row r="17" spans="1:7" x14ac:dyDescent="0.3">
      <c r="A17">
        <v>2025</v>
      </c>
      <c r="B17" t="s">
        <v>54</v>
      </c>
      <c r="C17" s="3">
        <v>14893117.850255329</v>
      </c>
      <c r="D17" s="3">
        <v>9055773.9908561707</v>
      </c>
      <c r="E17">
        <v>6622</v>
      </c>
      <c r="F17" s="3">
        <v>5837343.8593991604</v>
      </c>
      <c r="G17" s="4">
        <v>0.39194908132007322</v>
      </c>
    </row>
    <row r="18" spans="1:7" x14ac:dyDescent="0.3">
      <c r="A18">
        <v>2026</v>
      </c>
      <c r="B18" t="s">
        <v>62</v>
      </c>
      <c r="C18" s="3">
        <v>9143941.0619651973</v>
      </c>
      <c r="D18" s="3">
        <v>5545696.4264119407</v>
      </c>
      <c r="E18">
        <v>4112</v>
      </c>
      <c r="F18" s="3">
        <v>3598244.6355532571</v>
      </c>
      <c r="G18" s="4">
        <v>0.39351135480524729</v>
      </c>
    </row>
    <row r="19" spans="1:7" x14ac:dyDescent="0.3">
      <c r="A19">
        <v>2026</v>
      </c>
      <c r="B19" t="s">
        <v>50</v>
      </c>
      <c r="C19" s="3">
        <v>21997397.681295808</v>
      </c>
      <c r="D19" s="3">
        <v>13356627.916755199</v>
      </c>
      <c r="E19">
        <v>9777</v>
      </c>
      <c r="F19" s="3">
        <v>8640769.764540609</v>
      </c>
      <c r="G19" s="4">
        <v>0.39280872627437102</v>
      </c>
    </row>
    <row r="20" spans="1:7" x14ac:dyDescent="0.3">
      <c r="A20">
        <v>2026</v>
      </c>
      <c r="B20" t="s">
        <v>58</v>
      </c>
      <c r="C20" s="3">
        <v>12273854.932993591</v>
      </c>
      <c r="D20" s="3">
        <v>7448047.8693270609</v>
      </c>
      <c r="E20">
        <v>5455</v>
      </c>
      <c r="F20" s="3">
        <v>4825807.06366653</v>
      </c>
      <c r="G20" s="4">
        <v>0.39317778236845402</v>
      </c>
    </row>
    <row r="21" spans="1:7" x14ac:dyDescent="0.3">
      <c r="A21">
        <v>2026</v>
      </c>
      <c r="B21" t="s">
        <v>54</v>
      </c>
      <c r="C21" s="3">
        <v>17732751.563363921</v>
      </c>
      <c r="D21" s="3">
        <v>10731045.10675239</v>
      </c>
      <c r="E21">
        <v>7904</v>
      </c>
      <c r="F21" s="3">
        <v>7001706.4566115271</v>
      </c>
      <c r="G21" s="4">
        <v>0.39484602440814309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7" customWidth="1"/>
    <col min="3" max="3" width="49.77734375" bestFit="1" customWidth="1"/>
  </cols>
  <sheetData>
    <row r="1" spans="1:3" x14ac:dyDescent="0.3">
      <c r="A1" s="1" t="s">
        <v>3490</v>
      </c>
      <c r="B1" s="1" t="s">
        <v>2</v>
      </c>
      <c r="C1" s="1" t="s">
        <v>3491</v>
      </c>
    </row>
    <row r="2" spans="1:3" x14ac:dyDescent="0.3">
      <c r="A2" t="s">
        <v>3492</v>
      </c>
      <c r="B2" t="s">
        <v>3493</v>
      </c>
      <c r="C2" t="s">
        <v>3494</v>
      </c>
    </row>
    <row r="3" spans="1:3" x14ac:dyDescent="0.3">
      <c r="A3" t="s">
        <v>7</v>
      </c>
      <c r="B3" t="s">
        <v>3495</v>
      </c>
      <c r="C3" t="s">
        <v>3496</v>
      </c>
    </row>
    <row r="4" spans="1:3" x14ac:dyDescent="0.3">
      <c r="A4" t="s">
        <v>3497</v>
      </c>
      <c r="B4" s="3">
        <v>0.27</v>
      </c>
      <c r="C4" t="s">
        <v>3498</v>
      </c>
    </row>
    <row r="5" spans="1:3" x14ac:dyDescent="0.3">
      <c r="A5" t="s">
        <v>3499</v>
      </c>
      <c r="B5" t="s">
        <v>3500</v>
      </c>
      <c r="C5" t="s">
        <v>3501</v>
      </c>
    </row>
    <row r="6" spans="1:3" x14ac:dyDescent="0.3">
      <c r="A6" t="s">
        <v>3502</v>
      </c>
      <c r="B6" t="s">
        <v>3503</v>
      </c>
      <c r="C6" t="s">
        <v>3504</v>
      </c>
    </row>
    <row r="7" spans="1:3" x14ac:dyDescent="0.3">
      <c r="A7" t="s">
        <v>3505</v>
      </c>
      <c r="B7" t="s">
        <v>3506</v>
      </c>
      <c r="C7" t="s">
        <v>3507</v>
      </c>
    </row>
    <row r="8" spans="1:3" x14ac:dyDescent="0.3">
      <c r="A8" t="s">
        <v>3508</v>
      </c>
      <c r="B8" t="s">
        <v>3509</v>
      </c>
      <c r="C8" t="s">
        <v>3510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Analysis</vt:lpstr>
      <vt:lpstr>Company_Info</vt:lpstr>
      <vt:lpstr>Products</vt:lpstr>
      <vt:lpstr>Regions</vt:lpstr>
      <vt:lpstr>Channels</vt:lpstr>
      <vt:lpstr>Sales_Data</vt:lpstr>
      <vt:lpstr>Expenses_Data</vt:lpstr>
      <vt:lpstr>Income_Statement</vt:lpstr>
      <vt:lpstr>Annual_Summary</vt:lpstr>
      <vt:lpstr>Balance_Sheet</vt:lpstr>
      <vt:lpstr>Cash_Flow</vt:lpstr>
      <vt:lpstr>Category_Performance</vt:lpstr>
      <vt:lpstr>Regional_Performance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Awodwa Picane</dc:creator>
  <cp:lastModifiedBy>Awodwa  Picane</cp:lastModifiedBy>
  <dcterms:created xsi:type="dcterms:W3CDTF">2026-09-03T09:05:28Z</dcterms:created>
  <dcterms:modified xsi:type="dcterms:W3CDTF">2026-09-11T12:23:46Z</dcterms:modified>
</cp:coreProperties>
</file>